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upos" sheetId="1" r:id="rId4"/>
    <sheet state="visible" name="Texturas" sheetId="2" r:id="rId5"/>
    <sheet state="visible" name="Modelos" sheetId="3" r:id="rId6"/>
    <sheet state="visible" name="Custos" sheetId="4" r:id="rId7"/>
    <sheet state="visible" name="Pecas" sheetId="5" r:id="rId8"/>
  </sheets>
  <definedNames/>
  <calcPr/>
</workbook>
</file>

<file path=xl/sharedStrings.xml><?xml version="1.0" encoding="utf-8"?>
<sst xmlns="http://schemas.openxmlformats.org/spreadsheetml/2006/main" count="797" uniqueCount="359">
  <si>
    <t>objeto</t>
  </si>
  <si>
    <t>grupo</t>
  </si>
  <si>
    <t>abertos</t>
  </si>
  <si>
    <t>fechados</t>
  </si>
  <si>
    <t>visivel_inicialmente</t>
  </si>
  <si>
    <t>caixaria</t>
  </si>
  <si>
    <t>caixarias</t>
  </si>
  <si>
    <t>sim</t>
  </si>
  <si>
    <t>porta_fixa</t>
  </si>
  <si>
    <t>tamponamentos</t>
  </si>
  <si>
    <t>soculo</t>
  </si>
  <si>
    <t>tamponamento</t>
  </si>
  <si>
    <t>puxador01_aberto</t>
  </si>
  <si>
    <t>puxadores</t>
  </si>
  <si>
    <t>puxador02_aberto</t>
  </si>
  <si>
    <t>puxador03_aberto</t>
  </si>
  <si>
    <t>puxador04_aberto</t>
  </si>
  <si>
    <t>puxador05_aberto</t>
  </si>
  <si>
    <t>puxador06_aberto</t>
  </si>
  <si>
    <t>puxador07_aberto</t>
  </si>
  <si>
    <t>puxador08_aberto</t>
  </si>
  <si>
    <t>puxador09_aberto</t>
  </si>
  <si>
    <t>puxador10_aberto</t>
  </si>
  <si>
    <t>puxador01_fechado</t>
  </si>
  <si>
    <t>puxador02_fechado</t>
  </si>
  <si>
    <t>puxador03_fechado</t>
  </si>
  <si>
    <t>puxador04_fechado</t>
  </si>
  <si>
    <t>puxador05_fechado</t>
  </si>
  <si>
    <t>puxador06_fechado</t>
  </si>
  <si>
    <t>puxador07_fechado</t>
  </si>
  <si>
    <t>puxador08_fechado</t>
  </si>
  <si>
    <t>puxador09_fechado</t>
  </si>
  <si>
    <t>puxador10_fechado</t>
  </si>
  <si>
    <t>corredica_aberta</t>
  </si>
  <si>
    <t>ferragens</t>
  </si>
  <si>
    <t>corredica_fechada</t>
  </si>
  <si>
    <t>gaveta_aberta</t>
  </si>
  <si>
    <t>gaveta_fechada</t>
  </si>
  <si>
    <t>porta_aberta</t>
  </si>
  <si>
    <t>porta_fechada</t>
  </si>
  <si>
    <t>dobradica_aberta</t>
  </si>
  <si>
    <t>dobradica_fechada</t>
  </si>
  <si>
    <t>nome_textura</t>
  </si>
  <si>
    <t>arquivo</t>
  </si>
  <si>
    <t>grupo_destino</t>
  </si>
  <si>
    <t>default</t>
  </si>
  <si>
    <t>imagem_botao</t>
  </si>
  <si>
    <t>custo_textura</t>
  </si>
  <si>
    <t>custo_puxador</t>
  </si>
  <si>
    <t>metal_polido</t>
  </si>
  <si>
    <t>black_metal</t>
  </si>
  <si>
    <t>black_metal.jpg</t>
  </si>
  <si>
    <t>puxadores-textura</t>
  </si>
  <si>
    <t>bronze</t>
  </si>
  <si>
    <t>bronze.jpg</t>
  </si>
  <si>
    <t>puxador01</t>
  </si>
  <si>
    <t>puxadores-tipo</t>
  </si>
  <si>
    <t>puxador02</t>
  </si>
  <si>
    <t>puxador03</t>
  </si>
  <si>
    <t>puxador04</t>
  </si>
  <si>
    <t>puxador05</t>
  </si>
  <si>
    <t>puxador06</t>
  </si>
  <si>
    <t>puxador07</t>
  </si>
  <si>
    <t>puxador08</t>
  </si>
  <si>
    <t>puxador09</t>
  </si>
  <si>
    <t>puxador10</t>
  </si>
  <si>
    <t>alabama</t>
  </si>
  <si>
    <t>amadeiradas</t>
  </si>
  <si>
    <t>botao-cores-amadeiradas-23_alabama.jpg</t>
  </si>
  <si>
    <t>alecrim</t>
  </si>
  <si>
    <t>solidas</t>
  </si>
  <si>
    <t>botao-cores-solidas-16_alecrim.jpg</t>
  </si>
  <si>
    <t>ametista</t>
  </si>
  <si>
    <t>botao-cores-solidas-9_ametista.jpg</t>
  </si>
  <si>
    <t>antiqua</t>
  </si>
  <si>
    <t>botao-cores-amadeiradas-15_antiqua.jpg</t>
  </si>
  <si>
    <t>antuerpia</t>
  </si>
  <si>
    <t>botao-cores-amadeiradas-7_antuerpia.jpg</t>
  </si>
  <si>
    <t>araucaria</t>
  </si>
  <si>
    <t>botao-cores-amadeiradas-2_araucaria.jpg</t>
  </si>
  <si>
    <t>areia</t>
  </si>
  <si>
    <t>botao-cores-solidas-5_areia.jpg</t>
  </si>
  <si>
    <t>aura</t>
  </si>
  <si>
    <t>diversas</t>
  </si>
  <si>
    <t>botao-cores-diversas-6_aura.jpg</t>
  </si>
  <si>
    <t>azul_ardosia</t>
  </si>
  <si>
    <t>botao-cores-solidas-18_azul-ardosia.jpg</t>
  </si>
  <si>
    <t>azul_marinho</t>
  </si>
  <si>
    <t>botao-cores-solidas-20_azul-marinho.jpg</t>
  </si>
  <si>
    <t>azul_petroleo</t>
  </si>
  <si>
    <t>azul_petroleo.jpg</t>
  </si>
  <si>
    <t>botao-cores-solidas-19_azul-petroleo.jpg</t>
  </si>
  <si>
    <t>baviera</t>
  </si>
  <si>
    <t>botao-cores-amadeiradas-30_baviera.jpg</t>
  </si>
  <si>
    <t>bilbao</t>
  </si>
  <si>
    <t>botao-cores-amadeiradas-4_bilbao.jpg</t>
  </si>
  <si>
    <t>branco</t>
  </si>
  <si>
    <t>botao-cores-solidas-1_branco.jpg</t>
  </si>
  <si>
    <t>brisa</t>
  </si>
  <si>
    <t>botao-cores-solidas-2_brisa.jpg</t>
  </si>
  <si>
    <t>bronzina</t>
  </si>
  <si>
    <t>botao-cores-diversas-9_bronzina.jpg</t>
  </si>
  <si>
    <t>capuccino</t>
  </si>
  <si>
    <t>botao-cores-solidas-13_capuccino.jpg</t>
  </si>
  <si>
    <t>caribe</t>
  </si>
  <si>
    <t>botao-cores-amadeiradas-20_caribe.jpg</t>
  </si>
  <si>
    <t>carvalho_capri</t>
  </si>
  <si>
    <t>botao-cores-amadeiradas-11_carvalho-capri.jpg</t>
  </si>
  <si>
    <t>carvalho_natural</t>
  </si>
  <si>
    <t>botao-cores-amadeiradas-5_carvalho-natural.jpg</t>
  </si>
  <si>
    <t>cinza_perfeito</t>
  </si>
  <si>
    <t>botao-cores-solidas-27_cinza-perfeito.jpg</t>
  </si>
  <si>
    <t>cinza_urban</t>
  </si>
  <si>
    <t>botao-cores-diversas-13_cinza-urban.jpg</t>
  </si>
  <si>
    <t>cipres</t>
  </si>
  <si>
    <t>cipres.jpg</t>
  </si>
  <si>
    <t>botao-cores-amadeiradas-3_cipres.jpg</t>
  </si>
  <si>
    <t>cobre</t>
  </si>
  <si>
    <t>botao-cores-solidas-15_cobre-texturizado.jpg</t>
  </si>
  <si>
    <t>corten</t>
  </si>
  <si>
    <t>botao-cores-diversas-10_corten.jpg</t>
  </si>
  <si>
    <t>cosmos</t>
  </si>
  <si>
    <t>botao-cores-diversas-15_cosmos.jpg</t>
  </si>
  <si>
    <t>cromio</t>
  </si>
  <si>
    <t>botao-cores-diversas-12_cromio.jpg</t>
  </si>
  <si>
    <t>curupixa</t>
  </si>
  <si>
    <t>botao-cores-amadeiradas-6_curupixa.jpg</t>
  </si>
  <si>
    <t>erva_mate</t>
  </si>
  <si>
    <t>botao-cores-solidas-17_erva-mate.jpg</t>
  </si>
  <si>
    <t>fendi</t>
  </si>
  <si>
    <t>botao-cores-solidas-12_fendi.jpg</t>
  </si>
  <si>
    <t>fontana</t>
  </si>
  <si>
    <t>botao-cores-diversas-2_fontana.jpg</t>
  </si>
  <si>
    <t>freijo</t>
  </si>
  <si>
    <t>botao-cores-amadeiradas-13_freijo.jpg</t>
  </si>
  <si>
    <t>fresno_acores</t>
  </si>
  <si>
    <t>botao-cores-amadeiradas-29_fresno-acores.jpg</t>
  </si>
  <si>
    <t>fresno_aveiro</t>
  </si>
  <si>
    <t>botao-cores-amadeiradas-16_fresno-aveiro.jpg</t>
  </si>
  <si>
    <t>fresno_coimbra</t>
  </si>
  <si>
    <t>botao-cores-amadeiradas-21_fresno-coimbra.jpg</t>
  </si>
  <si>
    <t>fresno_madeira</t>
  </si>
  <si>
    <t>botao-cores-amadeiradas-9_fresno-madeira.jpg</t>
  </si>
  <si>
    <t>gali</t>
  </si>
  <si>
    <t>botao-cores-diversas-7_gali.jpg</t>
  </si>
  <si>
    <t>grafite</t>
  </si>
  <si>
    <t>botao-cores-solidas-22_grafite.jpg</t>
  </si>
  <si>
    <t>imbuia</t>
  </si>
  <si>
    <t>botao-cores-amadeiradas-19_imbuia.jpg</t>
  </si>
  <si>
    <t>jaspe</t>
  </si>
  <si>
    <t>botao-cores-diversas-8_jaspe.jpg</t>
  </si>
  <si>
    <t>lisboa</t>
  </si>
  <si>
    <t>botao-cores-amadeiradas-26_lisboa.jpg</t>
  </si>
  <si>
    <t>lume</t>
  </si>
  <si>
    <t>botao-cores-solidas-3_lume.jpg</t>
  </si>
  <si>
    <t>mangue</t>
  </si>
  <si>
    <t>botao-cores-solidas-11_mangue.jpg</t>
  </si>
  <si>
    <t>marmo</t>
  </si>
  <si>
    <t>botao-cores-diversas-16_marmo.jpg</t>
  </si>
  <si>
    <t>marsala</t>
  </si>
  <si>
    <t>botao-cores-solidas-8_marsala.jpg</t>
  </si>
  <si>
    <t>metal_champagne</t>
  </si>
  <si>
    <t>botao-cores-solidas-14_metal-champagne-texturizado.jpg</t>
  </si>
  <si>
    <t>neblina</t>
  </si>
  <si>
    <t>botao-cores-solidas-26_neblina.jpg</t>
  </si>
  <si>
    <t>nero</t>
  </si>
  <si>
    <t>botao-cores-amadeiradas-31_nero.jpg</t>
  </si>
  <si>
    <t>niquel</t>
  </si>
  <si>
    <t>botao-cores-solidas-25_niquel.jpg</t>
  </si>
  <si>
    <t>nogal_champagne</t>
  </si>
  <si>
    <t>botao-cores-amadeiradas-25_nogal-champagne.jpg</t>
  </si>
  <si>
    <t>nogal_sevilha</t>
  </si>
  <si>
    <t>botao-cores-amadeiradas-22_nogal-sevilha.jpg</t>
  </si>
  <si>
    <t>nogueira_ambar</t>
  </si>
  <si>
    <t>botao-cores-amadeiradas-12_nogueira-ambar.jpg</t>
  </si>
  <si>
    <t>nogueira_rubi</t>
  </si>
  <si>
    <t>botao-cores-amadeiradas-18_nogueira-rubi.jpg</t>
  </si>
  <si>
    <t>noite</t>
  </si>
  <si>
    <t>botao-cores-solidas-23_noite.jpg</t>
  </si>
  <si>
    <t>nuvem</t>
  </si>
  <si>
    <t>botao-cores-solidas-4_nuvem.jpg</t>
  </si>
  <si>
    <t>onix</t>
  </si>
  <si>
    <t>botao-cores-solidas-24_onix.jpg</t>
  </si>
  <si>
    <t>pau_ferro</t>
  </si>
  <si>
    <t>botao-cores-amadeiradas-17_pau-ferro.jpg</t>
  </si>
  <si>
    <t>peroba</t>
  </si>
  <si>
    <t>botao-cores-amadeiradas-24_peroba.jpg</t>
  </si>
  <si>
    <t>petra</t>
  </si>
  <si>
    <t>botao-cores-diversas-14_petra.jpg</t>
  </si>
  <si>
    <t>platina</t>
  </si>
  <si>
    <t>botao-cores-diversas-3_platina.jpg</t>
  </si>
  <si>
    <t>preto_silk</t>
  </si>
  <si>
    <t>botao-cores-solidas-21_preto-silk-texturizado.jpg</t>
  </si>
  <si>
    <t>quartzo</t>
  </si>
  <si>
    <t>botao-cores-diversas-1_quartzo.jpg</t>
  </si>
  <si>
    <t>rosa_milkshake</t>
  </si>
  <si>
    <t>botao-cores-solidas-7_rosa-milkshake.jpg</t>
  </si>
  <si>
    <t>salerno</t>
  </si>
  <si>
    <t>botao-cores-amadeiradas-10_salerno.jpg</t>
  </si>
  <si>
    <t>santorini</t>
  </si>
  <si>
    <t>botao-cores-amadeiradas-28_santorini.jpg</t>
  </si>
  <si>
    <t>savana</t>
  </si>
  <si>
    <t>botao-cores-amadeiradas-27_savana.jpg</t>
  </si>
  <si>
    <t>sonora</t>
  </si>
  <si>
    <t>botao-cores-amadeiradas-14_sonora.jpg</t>
  </si>
  <si>
    <t>tauari</t>
  </si>
  <si>
    <t>botao-cores-amadeiradas-8_tauari.jpg</t>
  </si>
  <si>
    <t>tear</t>
  </si>
  <si>
    <t>botao-cores-diversas-4_tear.jpg</t>
  </si>
  <si>
    <t>tecno</t>
  </si>
  <si>
    <t>botao-cores-diversas-11_tecno.jpg</t>
  </si>
  <si>
    <t>teka_bianco</t>
  </si>
  <si>
    <t>botao-cores-amadeiradas-1_teka-bianco.jpg</t>
  </si>
  <si>
    <t>tela</t>
  </si>
  <si>
    <t>botao-cores-diversas-5_tela.jpg</t>
  </si>
  <si>
    <t>terrino</t>
  </si>
  <si>
    <t>botao-cores-solidas-6_terrino.jpg</t>
  </si>
  <si>
    <t>tijolo</t>
  </si>
  <si>
    <t>botao-cores-solidas-10_tijolo.jpg</t>
  </si>
  <si>
    <t>branco_tx</t>
  </si>
  <si>
    <t>posZ</t>
  </si>
  <si>
    <t>botao</t>
  </si>
  <si>
    <t>nome_botao</t>
  </si>
  <si>
    <t>largura_padrao</t>
  </si>
  <si>
    <t>custo_modelo</t>
  </si>
  <si>
    <t>multiplicador_branco_tx</t>
  </si>
  <si>
    <t>custo</t>
  </si>
  <si>
    <t>multiplicador_tamponamento</t>
  </si>
  <si>
    <t>multiplicador_puxador</t>
  </si>
  <si>
    <t>dobradica</t>
  </si>
  <si>
    <t>corredica</t>
  </si>
  <si>
    <t>parafuso_4x16</t>
  </si>
  <si>
    <t>parafuso_4x25</t>
  </si>
  <si>
    <t>parafuso_4x30</t>
  </si>
  <si>
    <t>parafuso_4x40</t>
  </si>
  <si>
    <t>parafuso_6x70</t>
  </si>
  <si>
    <t>cantoneira</t>
  </si>
  <si>
    <t>corte</t>
  </si>
  <si>
    <t>multiplicador_lucro</t>
  </si>
  <si>
    <t>modulo1_cozinha_pia_inicio.glb</t>
  </si>
  <si>
    <t>1.2</t>
  </si>
  <si>
    <t>Pia</t>
  </si>
  <si>
    <t>modulo2_cozinha_pia_meio_direita.glb</t>
  </si>
  <si>
    <t>0.6</t>
  </si>
  <si>
    <t>Pia (abre p/ direita)</t>
  </si>
  <si>
    <t>modulo2_cozinha_pia_meio_esquerda.glb</t>
  </si>
  <si>
    <t>Pia (abre p/ esquerda)</t>
  </si>
  <si>
    <t>modulo3_cozinha_pia_meio_direita.glb</t>
  </si>
  <si>
    <t>0.0</t>
  </si>
  <si>
    <t>modulo3_cozinha_pia_meio_esquerda.glb</t>
  </si>
  <si>
    <t>modulo4_cozinha_pia_meio_direita.glb</t>
  </si>
  <si>
    <t>-0.6</t>
  </si>
  <si>
    <t>modulo4_cozinha_pia_meio_esquerda.glb</t>
  </si>
  <si>
    <t>modulo5_cozinha_pia_fim.glb</t>
  </si>
  <si>
    <t>-1.2</t>
  </si>
  <si>
    <t>modulo1_cozinha_prateleira_inicio.glb</t>
  </si>
  <si>
    <t>Prateleira</t>
  </si>
  <si>
    <t>modulo2_cozinha_prateleira_meio_direita.glb</t>
  </si>
  <si>
    <t>Prateleira (abre p/ direita)</t>
  </si>
  <si>
    <t>modulo2_cozinha_prateleira_meio_esquerda.glb</t>
  </si>
  <si>
    <t>Prateleira (abre p/ esquerda)</t>
  </si>
  <si>
    <t>modulo3_cozinha_prateleira_meio_direita.glb</t>
  </si>
  <si>
    <t>modulo3_cozinha_prateleira_meio_esquerda.glb</t>
  </si>
  <si>
    <t>modulo4_cozinha_prateleira_meio_direita.glb</t>
  </si>
  <si>
    <t>modulo4_cozinha_prateleira_meio_esquerda.glb</t>
  </si>
  <si>
    <t>modulo5_cozinha_prateleira_fim.glb</t>
  </si>
  <si>
    <t>modulo1_cozinha_torre-quente.glb</t>
  </si>
  <si>
    <t>Torre quente</t>
  </si>
  <si>
    <t>modulo2_cozinha_torre-quente.glb</t>
  </si>
  <si>
    <t>modulo3_cozinha_torre-quente.glb</t>
  </si>
  <si>
    <t>modulo4_cozinha_torre-quente.glb</t>
  </si>
  <si>
    <t>modulo5_cozinha_torre-quente.glb</t>
  </si>
  <si>
    <t>modulo1_cozinha_forno_inicio.glb</t>
  </si>
  <si>
    <t>Forno</t>
  </si>
  <si>
    <t>modulo2_cozinha_forno_meio.glb</t>
  </si>
  <si>
    <t>modulo3_cozinha_forno_meio.glb</t>
  </si>
  <si>
    <t>modulo4_cozinha_forno_meio.glb</t>
  </si>
  <si>
    <t>modulo5_cozinha_forno_fim.glb</t>
  </si>
  <si>
    <t>modulo1_cozinha_gaveta_inicio.glb</t>
  </si>
  <si>
    <t>Gaveta</t>
  </si>
  <si>
    <t>modulo2_cozinha_gaveta_meio.glb</t>
  </si>
  <si>
    <t>modulo3_cozinha_gaveta_meio.glb</t>
  </si>
  <si>
    <t>modulo4_cozinha_gaveta_meio.glb</t>
  </si>
  <si>
    <t>modulo5_cozinha_gaveta_fim.glb</t>
  </si>
  <si>
    <t>modulo1_cozinha_geladeira.glb</t>
  </si>
  <si>
    <t>Geladeira</t>
  </si>
  <si>
    <t>modulo2_cozinha_geladeira.glb</t>
  </si>
  <si>
    <t>modulo3_cozinha_geladeira.glb</t>
  </si>
  <si>
    <t>modulo4_cozinha_geladeira.glb</t>
  </si>
  <si>
    <t>modulo5_cozinha_geladeira.glb</t>
  </si>
  <si>
    <t>modulo1_cozinha_pia_2-portas_inicio.glb</t>
  </si>
  <si>
    <t>Pia (2 portas)</t>
  </si>
  <si>
    <t>modulo2_cozinha_pia_2-portas_meio.glb</t>
  </si>
  <si>
    <t>modulo3_cozinha_pia_2-portas_meio.glb</t>
  </si>
  <si>
    <t>modulo4_cozinha_pia_2-portas_meio.glb</t>
  </si>
  <si>
    <t>modulo5_cozinha_pia_2-portas_fim.glb</t>
  </si>
  <si>
    <t>modulo1_cozinha_prateleira_2-portas_inicio.glb</t>
  </si>
  <si>
    <t>Prateleira (2 portas)</t>
  </si>
  <si>
    <t>modulo2_cozinha_prateleira_2-portas_meio.glb</t>
  </si>
  <si>
    <t>modulo3_cozinha_prateleira_2-portas_meio.glb</t>
  </si>
  <si>
    <t>modulo4_cozinha_prateleira_2-portas_meio.glb</t>
  </si>
  <si>
    <t>modulo5_cozinha_prateleira_2-portas_fim.glb</t>
  </si>
  <si>
    <t>material</t>
  </si>
  <si>
    <t>fitagem</t>
  </si>
  <si>
    <t>pistao</t>
  </si>
  <si>
    <t>modelo</t>
  </si>
  <si>
    <t>comprimento</t>
  </si>
  <si>
    <t>largura</t>
  </si>
  <si>
    <t>altura</t>
  </si>
  <si>
    <t>espessura_caixaria</t>
  </si>
  <si>
    <t>espessura_tamponamento</t>
  </si>
  <si>
    <t>espessura_fundo</t>
  </si>
  <si>
    <t>altura_abertura_soculo</t>
  </si>
  <si>
    <t>larg_abertura_soculo</t>
  </si>
  <si>
    <t>espessura_corredica</t>
  </si>
  <si>
    <t>altura_abertura-superior_gaveta</t>
  </si>
  <si>
    <t>altura_abertura-inferior_gaveta</t>
  </si>
  <si>
    <t>vao_entre_portas</t>
  </si>
  <si>
    <t>vao_fundo_gaveta</t>
  </si>
  <si>
    <t>profundidade_rasgo_fundo_gaveta</t>
  </si>
  <si>
    <t>comp_base_soculo</t>
  </si>
  <si>
    <t>qntd_fita</t>
  </si>
  <si>
    <t>larg_base_soculo</t>
  </si>
  <si>
    <t>qntd_peca</t>
  </si>
  <si>
    <t>m2</t>
  </si>
  <si>
    <t>comp_lateral_soculo</t>
  </si>
  <si>
    <t>larg_lateral_soculo</t>
  </si>
  <si>
    <t>comp_fundo_soculo</t>
  </si>
  <si>
    <t>larg_fundo_soculo</t>
  </si>
  <si>
    <t>comp_base_caixaria</t>
  </si>
  <si>
    <t>larg_base_caixaria</t>
  </si>
  <si>
    <t>comp_lateral_caixaria</t>
  </si>
  <si>
    <t>larg_lateral_caixaria</t>
  </si>
  <si>
    <t>comp_fundo_caixaria</t>
  </si>
  <si>
    <t>larg_fundo_caixaria</t>
  </si>
  <si>
    <t>comp_prateleira_caixaria</t>
  </si>
  <si>
    <t>larg_prateleira_caixaria</t>
  </si>
  <si>
    <t>comp_frente_gaveta_caixaria</t>
  </si>
  <si>
    <t>larg_frente_gaveta_caixaria</t>
  </si>
  <si>
    <t>comp_lateral_gaveta_caixaria</t>
  </si>
  <si>
    <t>larg_lateral_gaveta_caixaria</t>
  </si>
  <si>
    <t>comp_fundo_gaveta_caixaria</t>
  </si>
  <si>
    <t>larg_fundo_gaveta_caixaria</t>
  </si>
  <si>
    <t>comp_base_tamponamento</t>
  </si>
  <si>
    <t>larg_base_tamponamento</t>
  </si>
  <si>
    <t>comp_lateral_tamponamento</t>
  </si>
  <si>
    <t>larg_lateral_tamponamento</t>
  </si>
  <si>
    <t>comp_topo_tamponamento</t>
  </si>
  <si>
    <t>larg_topo_tamponamento</t>
  </si>
  <si>
    <t>comp_porta-gaveta_tamponamento</t>
  </si>
  <si>
    <t>larg_porta-gaveta_tamponamento</t>
  </si>
  <si>
    <t>comp_porta-torre-1_tamponamento</t>
  </si>
  <si>
    <t>larg_porta-torre-1_tamponamento</t>
  </si>
  <si>
    <t>comp_porta-torre-2_tamponamento</t>
  </si>
  <si>
    <t>larg_porta-torre-2_tamponamento</t>
  </si>
  <si>
    <t>comp_tampo_tamponamento</t>
  </si>
  <si>
    <t>larg_tampo_tamponamento</t>
  </si>
  <si>
    <t>total_caixaria</t>
  </si>
  <si>
    <t>total_tamponamento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</si>
</sst>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R$ -416]#,##0.00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right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right"/>
    </xf>
    <xf borderId="0" fillId="0" fontId="1" numFmtId="164" xfId="0" applyAlignment="1" applyFont="1" applyNumberFormat="1">
      <alignment horizontal="left"/>
    </xf>
    <xf borderId="0" fillId="0" fontId="1" numFmtId="164" xfId="0" applyAlignment="1" applyFont="1" applyNumberFormat="1">
      <alignment horizontal="left" readingOrder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5"/>
    <col customWidth="1" min="5" max="5" width="15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>
      <c r="A2" s="3" t="s">
        <v>5</v>
      </c>
      <c r="B2" s="3" t="s">
        <v>6</v>
      </c>
      <c r="C2" s="4"/>
      <c r="D2" s="1"/>
      <c r="E2" s="1" t="s">
        <v>7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3" t="s">
        <v>8</v>
      </c>
      <c r="B3" s="3" t="s">
        <v>9</v>
      </c>
      <c r="C3" s="4"/>
      <c r="D3" s="4"/>
      <c r="E3" s="1" t="s">
        <v>7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" t="s">
        <v>10</v>
      </c>
      <c r="B4" s="3" t="s">
        <v>9</v>
      </c>
      <c r="C4" s="1"/>
      <c r="D4" s="4"/>
      <c r="E4" s="1" t="s">
        <v>7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3" t="s">
        <v>11</v>
      </c>
      <c r="B5" s="3" t="s">
        <v>9</v>
      </c>
      <c r="C5" s="4"/>
      <c r="D5" s="1"/>
      <c r="E5" s="1" t="s">
        <v>7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>
      <c r="A6" s="3" t="s">
        <v>12</v>
      </c>
      <c r="B6" s="3" t="s">
        <v>13</v>
      </c>
      <c r="C6" s="1" t="s">
        <v>7</v>
      </c>
      <c r="D6" s="1"/>
      <c r="E6" s="4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3" t="s">
        <v>14</v>
      </c>
      <c r="B7" s="3" t="s">
        <v>13</v>
      </c>
      <c r="C7" s="1" t="s">
        <v>7</v>
      </c>
      <c r="D7" s="1"/>
      <c r="E7" s="4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3" t="s">
        <v>15</v>
      </c>
      <c r="B8" s="3" t="s">
        <v>13</v>
      </c>
      <c r="C8" s="1" t="s">
        <v>7</v>
      </c>
      <c r="D8" s="1"/>
      <c r="E8" s="4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3" t="s">
        <v>16</v>
      </c>
      <c r="B9" s="3" t="s">
        <v>13</v>
      </c>
      <c r="C9" s="1" t="s">
        <v>7</v>
      </c>
      <c r="D9" s="1"/>
      <c r="E9" s="4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3" t="s">
        <v>17</v>
      </c>
      <c r="B10" s="3" t="s">
        <v>13</v>
      </c>
      <c r="C10" s="1" t="s">
        <v>7</v>
      </c>
      <c r="D10" s="1"/>
      <c r="E10" s="4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3" t="s">
        <v>18</v>
      </c>
      <c r="B11" s="3" t="s">
        <v>13</v>
      </c>
      <c r="C11" s="1" t="s">
        <v>7</v>
      </c>
      <c r="D11" s="1"/>
      <c r="E11" s="4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3" t="s">
        <v>19</v>
      </c>
      <c r="B12" s="3" t="s">
        <v>13</v>
      </c>
      <c r="C12" s="1" t="s">
        <v>7</v>
      </c>
      <c r="D12" s="1"/>
      <c r="E12" s="4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3" t="s">
        <v>20</v>
      </c>
      <c r="B13" s="3" t="s">
        <v>13</v>
      </c>
      <c r="C13" s="1" t="s">
        <v>7</v>
      </c>
      <c r="D13" s="1"/>
      <c r="E13" s="4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>
      <c r="A14" s="3" t="s">
        <v>21</v>
      </c>
      <c r="B14" s="3" t="s">
        <v>13</v>
      </c>
      <c r="C14" s="1" t="s">
        <v>7</v>
      </c>
      <c r="D14" s="1"/>
      <c r="E14" s="4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3" t="s">
        <v>22</v>
      </c>
      <c r="B15" s="3" t="s">
        <v>13</v>
      </c>
      <c r="C15" s="1" t="s">
        <v>7</v>
      </c>
      <c r="D15" s="1"/>
      <c r="E15" s="4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3" t="s">
        <v>23</v>
      </c>
      <c r="B16" s="3" t="s">
        <v>13</v>
      </c>
      <c r="C16" s="4"/>
      <c r="D16" s="1" t="s">
        <v>7</v>
      </c>
      <c r="E16" s="1" t="s">
        <v>7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3" t="s">
        <v>24</v>
      </c>
      <c r="B17" s="3" t="s">
        <v>13</v>
      </c>
      <c r="C17" s="4"/>
      <c r="D17" s="1" t="s">
        <v>7</v>
      </c>
      <c r="E17" s="1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3" t="s">
        <v>25</v>
      </c>
      <c r="B18" s="3" t="s">
        <v>13</v>
      </c>
      <c r="C18" s="4"/>
      <c r="D18" s="1" t="s">
        <v>7</v>
      </c>
      <c r="E18" s="1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3" t="s">
        <v>26</v>
      </c>
      <c r="B19" s="3" t="s">
        <v>13</v>
      </c>
      <c r="C19" s="4"/>
      <c r="D19" s="1" t="s">
        <v>7</v>
      </c>
      <c r="E19" s="1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3" t="s">
        <v>27</v>
      </c>
      <c r="B20" s="3" t="s">
        <v>13</v>
      </c>
      <c r="C20" s="4"/>
      <c r="D20" s="1" t="s">
        <v>7</v>
      </c>
      <c r="E20" s="1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3" t="s">
        <v>28</v>
      </c>
      <c r="B21" s="3" t="s">
        <v>13</v>
      </c>
      <c r="C21" s="4"/>
      <c r="D21" s="1" t="s">
        <v>7</v>
      </c>
      <c r="E21" s="1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3" t="s">
        <v>29</v>
      </c>
      <c r="B22" s="3" t="s">
        <v>13</v>
      </c>
      <c r="C22" s="4"/>
      <c r="D22" s="1" t="s">
        <v>7</v>
      </c>
      <c r="E22" s="1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3" t="s">
        <v>30</v>
      </c>
      <c r="B23" s="3" t="s">
        <v>13</v>
      </c>
      <c r="C23" s="4"/>
      <c r="D23" s="1" t="s">
        <v>7</v>
      </c>
      <c r="E23" s="1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3" t="s">
        <v>31</v>
      </c>
      <c r="B24" s="3" t="s">
        <v>13</v>
      </c>
      <c r="C24" s="4"/>
      <c r="D24" s="1" t="s">
        <v>7</v>
      </c>
      <c r="E24" s="1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3" t="s">
        <v>32</v>
      </c>
      <c r="B25" s="3" t="s">
        <v>13</v>
      </c>
      <c r="C25" s="4"/>
      <c r="D25" s="1" t="s">
        <v>7</v>
      </c>
      <c r="E25" s="1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3" t="s">
        <v>33</v>
      </c>
      <c r="B26" s="3" t="s">
        <v>34</v>
      </c>
      <c r="C26" s="1" t="s">
        <v>7</v>
      </c>
      <c r="D26" s="4"/>
      <c r="E26" s="4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3" t="s">
        <v>35</v>
      </c>
      <c r="B27" s="3" t="s">
        <v>34</v>
      </c>
      <c r="C27" s="4"/>
      <c r="D27" s="1" t="s">
        <v>7</v>
      </c>
      <c r="E27" s="1" t="s">
        <v>7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3" t="s">
        <v>36</v>
      </c>
      <c r="B28" s="3" t="s">
        <v>6</v>
      </c>
      <c r="C28" s="1" t="s">
        <v>7</v>
      </c>
      <c r="D28" s="4"/>
      <c r="E28" s="4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3" t="s">
        <v>37</v>
      </c>
      <c r="B29" s="3" t="s">
        <v>6</v>
      </c>
      <c r="C29" s="4"/>
      <c r="D29" s="1" t="s">
        <v>7</v>
      </c>
      <c r="E29" s="1" t="s">
        <v>7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3" t="s">
        <v>38</v>
      </c>
      <c r="B30" s="3" t="s">
        <v>9</v>
      </c>
      <c r="C30" s="1" t="s">
        <v>7</v>
      </c>
      <c r="D30" s="4"/>
      <c r="E30" s="4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3" t="s">
        <v>39</v>
      </c>
      <c r="B31" s="3" t="s">
        <v>9</v>
      </c>
      <c r="C31" s="4"/>
      <c r="D31" s="1" t="s">
        <v>7</v>
      </c>
      <c r="E31" s="1" t="s">
        <v>7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3" t="s">
        <v>40</v>
      </c>
      <c r="B32" s="3" t="s">
        <v>34</v>
      </c>
      <c r="C32" s="1" t="s">
        <v>7</v>
      </c>
      <c r="D32" s="4"/>
      <c r="E32" s="4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>
      <c r="A33" s="3" t="s">
        <v>41</v>
      </c>
      <c r="B33" s="3" t="s">
        <v>34</v>
      </c>
      <c r="C33" s="4"/>
      <c r="D33" s="1" t="s">
        <v>7</v>
      </c>
      <c r="E33" s="1" t="s">
        <v>7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2"/>
      <c r="B34" s="2"/>
      <c r="C34" s="4"/>
      <c r="D34" s="4"/>
      <c r="E34" s="4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2"/>
      <c r="B35" s="2"/>
      <c r="C35" s="4"/>
      <c r="D35" s="4"/>
      <c r="E35" s="4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2"/>
      <c r="B36" s="2"/>
      <c r="C36" s="4"/>
      <c r="D36" s="4"/>
      <c r="E36" s="4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2"/>
      <c r="B37" s="2"/>
      <c r="C37" s="4"/>
      <c r="D37" s="4"/>
      <c r="E37" s="4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2"/>
      <c r="B38" s="2"/>
      <c r="C38" s="4"/>
      <c r="D38" s="4"/>
      <c r="E38" s="4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2"/>
      <c r="B39" s="2"/>
      <c r="C39" s="4"/>
      <c r="D39" s="4"/>
      <c r="E39" s="4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2"/>
      <c r="B40" s="2"/>
      <c r="C40" s="4"/>
      <c r="D40" s="4"/>
      <c r="E40" s="4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2"/>
      <c r="B41" s="2"/>
      <c r="C41" s="4"/>
      <c r="D41" s="4"/>
      <c r="E41" s="4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2"/>
      <c r="B42" s="2"/>
      <c r="C42" s="4"/>
      <c r="D42" s="4"/>
      <c r="E42" s="4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2"/>
      <c r="B43" s="2"/>
      <c r="C43" s="4"/>
      <c r="D43" s="4"/>
      <c r="E43" s="4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2"/>
      <c r="B44" s="2"/>
      <c r="C44" s="4"/>
      <c r="D44" s="4"/>
      <c r="E44" s="4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2"/>
      <c r="B45" s="2"/>
      <c r="C45" s="4"/>
      <c r="D45" s="4"/>
      <c r="E45" s="4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2"/>
      <c r="B46" s="2"/>
      <c r="C46" s="4"/>
      <c r="D46" s="4"/>
      <c r="E46" s="4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2"/>
      <c r="B47" s="2"/>
      <c r="C47" s="4"/>
      <c r="D47" s="4"/>
      <c r="E47" s="4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2"/>
      <c r="B48" s="2"/>
      <c r="C48" s="4"/>
      <c r="D48" s="4"/>
      <c r="E48" s="4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2"/>
      <c r="B49" s="2"/>
      <c r="C49" s="4"/>
      <c r="D49" s="4"/>
      <c r="E49" s="4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2"/>
      <c r="B50" s="2"/>
      <c r="C50" s="4"/>
      <c r="D50" s="4"/>
      <c r="E50" s="4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2"/>
      <c r="B51" s="2"/>
      <c r="C51" s="4"/>
      <c r="D51" s="4"/>
      <c r="E51" s="4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2"/>
      <c r="B52" s="2"/>
      <c r="C52" s="4"/>
      <c r="D52" s="4"/>
      <c r="E52" s="4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2"/>
      <c r="B53" s="2"/>
      <c r="C53" s="4"/>
      <c r="D53" s="4"/>
      <c r="E53" s="4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2"/>
      <c r="B54" s="2"/>
      <c r="C54" s="4"/>
      <c r="D54" s="4"/>
      <c r="E54" s="4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2"/>
      <c r="B55" s="2"/>
      <c r="C55" s="4"/>
      <c r="D55" s="4"/>
      <c r="E55" s="4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2"/>
      <c r="B56" s="2"/>
      <c r="C56" s="4"/>
      <c r="D56" s="4"/>
      <c r="E56" s="4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2"/>
      <c r="B57" s="2"/>
      <c r="C57" s="4"/>
      <c r="D57" s="4"/>
      <c r="E57" s="4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2"/>
      <c r="B58" s="2"/>
      <c r="C58" s="4"/>
      <c r="D58" s="4"/>
      <c r="E58" s="4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2"/>
      <c r="B59" s="2"/>
      <c r="C59" s="4"/>
      <c r="D59" s="4"/>
      <c r="E59" s="4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2"/>
      <c r="B60" s="2"/>
      <c r="C60" s="4"/>
      <c r="D60" s="4"/>
      <c r="E60" s="4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2"/>
      <c r="B61" s="2"/>
      <c r="C61" s="4"/>
      <c r="D61" s="4"/>
      <c r="E61" s="4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2"/>
      <c r="B62" s="2"/>
      <c r="C62" s="4"/>
      <c r="D62" s="4"/>
      <c r="E62" s="4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2"/>
      <c r="B63" s="2"/>
      <c r="C63" s="4"/>
      <c r="D63" s="4"/>
      <c r="E63" s="4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2"/>
      <c r="B64" s="2"/>
      <c r="C64" s="4"/>
      <c r="D64" s="4"/>
      <c r="E64" s="4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2"/>
      <c r="B65" s="2"/>
      <c r="C65" s="4"/>
      <c r="D65" s="4"/>
      <c r="E65" s="4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2"/>
      <c r="B66" s="2"/>
      <c r="C66" s="4"/>
      <c r="D66" s="4"/>
      <c r="E66" s="4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2"/>
      <c r="B67" s="2"/>
      <c r="C67" s="4"/>
      <c r="D67" s="4"/>
      <c r="E67" s="4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2"/>
      <c r="B68" s="2"/>
      <c r="C68" s="4"/>
      <c r="D68" s="4"/>
      <c r="E68" s="4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2"/>
      <c r="B69" s="2"/>
      <c r="C69" s="4"/>
      <c r="D69" s="4"/>
      <c r="E69" s="4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2"/>
      <c r="B70" s="2"/>
      <c r="C70" s="4"/>
      <c r="D70" s="4"/>
      <c r="E70" s="4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2"/>
      <c r="B71" s="2"/>
      <c r="C71" s="4"/>
      <c r="D71" s="4"/>
      <c r="E71" s="4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2"/>
      <c r="B72" s="2"/>
      <c r="C72" s="4"/>
      <c r="D72" s="4"/>
      <c r="E72" s="4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2"/>
      <c r="B73" s="2"/>
      <c r="C73" s="4"/>
      <c r="D73" s="4"/>
      <c r="E73" s="4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2"/>
      <c r="B74" s="2"/>
      <c r="C74" s="4"/>
      <c r="D74" s="4"/>
      <c r="E74" s="4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2"/>
      <c r="B75" s="2"/>
      <c r="C75" s="4"/>
      <c r="D75" s="4"/>
      <c r="E75" s="4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2"/>
      <c r="B76" s="2"/>
      <c r="C76" s="4"/>
      <c r="D76" s="4"/>
      <c r="E76" s="4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2"/>
      <c r="B77" s="2"/>
      <c r="C77" s="4"/>
      <c r="D77" s="4"/>
      <c r="E77" s="4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2"/>
      <c r="B78" s="2"/>
      <c r="C78" s="4"/>
      <c r="D78" s="4"/>
      <c r="E78" s="4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2"/>
      <c r="B79" s="2"/>
      <c r="C79" s="4"/>
      <c r="D79" s="4"/>
      <c r="E79" s="4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2"/>
      <c r="B80" s="2"/>
      <c r="C80" s="4"/>
      <c r="D80" s="4"/>
      <c r="E80" s="4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2"/>
      <c r="B81" s="2"/>
      <c r="C81" s="4"/>
      <c r="D81" s="4"/>
      <c r="E81" s="4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2"/>
      <c r="B82" s="2"/>
      <c r="C82" s="4"/>
      <c r="D82" s="4"/>
      <c r="E82" s="4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2"/>
      <c r="B83" s="2"/>
      <c r="C83" s="4"/>
      <c r="D83" s="4"/>
      <c r="E83" s="4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2"/>
      <c r="B84" s="2"/>
      <c r="C84" s="4"/>
      <c r="D84" s="4"/>
      <c r="E84" s="4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2"/>
      <c r="B85" s="2"/>
      <c r="C85" s="4"/>
      <c r="D85" s="4"/>
      <c r="E85" s="4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2"/>
      <c r="B86" s="2"/>
      <c r="C86" s="4"/>
      <c r="D86" s="4"/>
      <c r="E86" s="4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2"/>
      <c r="B87" s="2"/>
      <c r="C87" s="4"/>
      <c r="D87" s="4"/>
      <c r="E87" s="4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>
      <c r="A88" s="2"/>
      <c r="B88" s="2"/>
      <c r="C88" s="4"/>
      <c r="D88" s="4"/>
      <c r="E88" s="4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>
      <c r="A89" s="2"/>
      <c r="B89" s="2"/>
      <c r="C89" s="4"/>
      <c r="D89" s="4"/>
      <c r="E89" s="4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A90" s="2"/>
      <c r="B90" s="2"/>
      <c r="C90" s="4"/>
      <c r="D90" s="4"/>
      <c r="E90" s="4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>
      <c r="A91" s="2"/>
      <c r="B91" s="2"/>
      <c r="C91" s="4"/>
      <c r="D91" s="4"/>
      <c r="E91" s="4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A92" s="2"/>
      <c r="B92" s="2"/>
      <c r="C92" s="4"/>
      <c r="D92" s="4"/>
      <c r="E92" s="4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>
      <c r="A93" s="2"/>
      <c r="B93" s="2"/>
      <c r="C93" s="4"/>
      <c r="D93" s="4"/>
      <c r="E93" s="4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>
      <c r="A94" s="2"/>
      <c r="B94" s="2"/>
      <c r="C94" s="4"/>
      <c r="D94" s="4"/>
      <c r="E94" s="4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>
      <c r="A95" s="2"/>
      <c r="B95" s="2"/>
      <c r="C95" s="4"/>
      <c r="D95" s="4"/>
      <c r="E95" s="4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>
      <c r="A96" s="2"/>
      <c r="B96" s="2"/>
      <c r="C96" s="4"/>
      <c r="D96" s="4"/>
      <c r="E96" s="4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2"/>
      <c r="B97" s="2"/>
      <c r="C97" s="4"/>
      <c r="D97" s="4"/>
      <c r="E97" s="4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2"/>
      <c r="B98" s="2"/>
      <c r="C98" s="4"/>
      <c r="D98" s="4"/>
      <c r="E98" s="4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2"/>
      <c r="B99" s="2"/>
      <c r="C99" s="4"/>
      <c r="D99" s="4"/>
      <c r="E99" s="4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>
      <c r="A100" s="2"/>
      <c r="B100" s="2"/>
      <c r="C100" s="4"/>
      <c r="D100" s="4"/>
      <c r="E100" s="4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2"/>
      <c r="B101" s="2"/>
      <c r="C101" s="4"/>
      <c r="D101" s="4"/>
      <c r="E101" s="4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2"/>
      <c r="B102" s="2"/>
      <c r="C102" s="4"/>
      <c r="D102" s="4"/>
      <c r="E102" s="4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2"/>
      <c r="B103" s="2"/>
      <c r="C103" s="4"/>
      <c r="D103" s="4"/>
      <c r="E103" s="4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2"/>
      <c r="B104" s="2"/>
      <c r="C104" s="4"/>
      <c r="D104" s="4"/>
      <c r="E104" s="4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2"/>
      <c r="B105" s="2"/>
      <c r="C105" s="4"/>
      <c r="D105" s="4"/>
      <c r="E105" s="4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2"/>
      <c r="B106" s="2"/>
      <c r="C106" s="4"/>
      <c r="D106" s="4"/>
      <c r="E106" s="4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2"/>
      <c r="B107" s="2"/>
      <c r="C107" s="4"/>
      <c r="D107" s="4"/>
      <c r="E107" s="4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2"/>
      <c r="B108" s="2"/>
      <c r="C108" s="4"/>
      <c r="D108" s="4"/>
      <c r="E108" s="4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2"/>
      <c r="B109" s="2"/>
      <c r="C109" s="4"/>
      <c r="D109" s="4"/>
      <c r="E109" s="4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2"/>
      <c r="B110" s="2"/>
      <c r="C110" s="4"/>
      <c r="D110" s="4"/>
      <c r="E110" s="4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2"/>
      <c r="B111" s="2"/>
      <c r="C111" s="4"/>
      <c r="D111" s="4"/>
      <c r="E111" s="4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2"/>
      <c r="B112" s="2"/>
      <c r="C112" s="4"/>
      <c r="D112" s="4"/>
      <c r="E112" s="4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2"/>
      <c r="B113" s="2"/>
      <c r="C113" s="4"/>
      <c r="D113" s="4"/>
      <c r="E113" s="4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2"/>
      <c r="B114" s="2"/>
      <c r="C114" s="4"/>
      <c r="D114" s="4"/>
      <c r="E114" s="4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2"/>
      <c r="B115" s="2"/>
      <c r="C115" s="4"/>
      <c r="D115" s="4"/>
      <c r="E115" s="4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2"/>
      <c r="B116" s="2"/>
      <c r="C116" s="4"/>
      <c r="D116" s="4"/>
      <c r="E116" s="4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2"/>
      <c r="B117" s="2"/>
      <c r="C117" s="4"/>
      <c r="D117" s="4"/>
      <c r="E117" s="4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2"/>
      <c r="B118" s="2"/>
      <c r="C118" s="4"/>
      <c r="D118" s="4"/>
      <c r="E118" s="4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2"/>
      <c r="B119" s="2"/>
      <c r="C119" s="4"/>
      <c r="D119" s="4"/>
      <c r="E119" s="4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2"/>
      <c r="B120" s="2"/>
      <c r="C120" s="4"/>
      <c r="D120" s="4"/>
      <c r="E120" s="4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2"/>
      <c r="B121" s="2"/>
      <c r="C121" s="4"/>
      <c r="D121" s="4"/>
      <c r="E121" s="4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2"/>
      <c r="B122" s="2"/>
      <c r="C122" s="4"/>
      <c r="D122" s="4"/>
      <c r="E122" s="4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2"/>
      <c r="B123" s="2"/>
      <c r="C123" s="4"/>
      <c r="D123" s="4"/>
      <c r="E123" s="4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2"/>
      <c r="B124" s="2"/>
      <c r="C124" s="4"/>
      <c r="D124" s="4"/>
      <c r="E124" s="4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2"/>
      <c r="B125" s="2"/>
      <c r="C125" s="4"/>
      <c r="D125" s="4"/>
      <c r="E125" s="4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2"/>
      <c r="B126" s="2"/>
      <c r="C126" s="4"/>
      <c r="D126" s="4"/>
      <c r="E126" s="4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2"/>
      <c r="B127" s="2"/>
      <c r="C127" s="4"/>
      <c r="D127" s="4"/>
      <c r="E127" s="4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2"/>
      <c r="B128" s="2"/>
      <c r="C128" s="4"/>
      <c r="D128" s="4"/>
      <c r="E128" s="4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2"/>
      <c r="B129" s="2"/>
      <c r="C129" s="4"/>
      <c r="D129" s="4"/>
      <c r="E129" s="4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2"/>
      <c r="B130" s="2"/>
      <c r="C130" s="4"/>
      <c r="D130" s="4"/>
      <c r="E130" s="4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2"/>
      <c r="B131" s="2"/>
      <c r="C131" s="4"/>
      <c r="D131" s="4"/>
      <c r="E131" s="4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2"/>
      <c r="B132" s="2"/>
      <c r="C132" s="4"/>
      <c r="D132" s="4"/>
      <c r="E132" s="4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2"/>
      <c r="B133" s="2"/>
      <c r="C133" s="4"/>
      <c r="D133" s="4"/>
      <c r="E133" s="4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2"/>
      <c r="B134" s="2"/>
      <c r="C134" s="4"/>
      <c r="D134" s="4"/>
      <c r="E134" s="4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2"/>
      <c r="B135" s="2"/>
      <c r="C135" s="4"/>
      <c r="D135" s="4"/>
      <c r="E135" s="4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2"/>
      <c r="B136" s="2"/>
      <c r="C136" s="4"/>
      <c r="D136" s="4"/>
      <c r="E136" s="4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2"/>
      <c r="B137" s="2"/>
      <c r="C137" s="4"/>
      <c r="D137" s="4"/>
      <c r="E137" s="4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2"/>
      <c r="B138" s="2"/>
      <c r="C138" s="4"/>
      <c r="D138" s="4"/>
      <c r="E138" s="4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2"/>
      <c r="B139" s="2"/>
      <c r="C139" s="4"/>
      <c r="D139" s="4"/>
      <c r="E139" s="4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2"/>
      <c r="B140" s="2"/>
      <c r="C140" s="4"/>
      <c r="D140" s="4"/>
      <c r="E140" s="4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2"/>
      <c r="B141" s="2"/>
      <c r="C141" s="4"/>
      <c r="D141" s="4"/>
      <c r="E141" s="4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2"/>
      <c r="B142" s="2"/>
      <c r="C142" s="4"/>
      <c r="D142" s="4"/>
      <c r="E142" s="4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2"/>
      <c r="B143" s="2"/>
      <c r="C143" s="4"/>
      <c r="D143" s="4"/>
      <c r="E143" s="4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2"/>
      <c r="B144" s="2"/>
      <c r="C144" s="4"/>
      <c r="D144" s="4"/>
      <c r="E144" s="4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2"/>
      <c r="B145" s="2"/>
      <c r="C145" s="4"/>
      <c r="D145" s="4"/>
      <c r="E145" s="4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2"/>
      <c r="B146" s="2"/>
      <c r="C146" s="4"/>
      <c r="D146" s="4"/>
      <c r="E146" s="4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2"/>
      <c r="B147" s="2"/>
      <c r="C147" s="4"/>
      <c r="D147" s="4"/>
      <c r="E147" s="4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2"/>
      <c r="B148" s="2"/>
      <c r="C148" s="4"/>
      <c r="D148" s="4"/>
      <c r="E148" s="4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2"/>
      <c r="B149" s="2"/>
      <c r="C149" s="4"/>
      <c r="D149" s="4"/>
      <c r="E149" s="4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2"/>
      <c r="B150" s="2"/>
      <c r="C150" s="4"/>
      <c r="D150" s="4"/>
      <c r="E150" s="4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2"/>
      <c r="B151" s="2"/>
      <c r="C151" s="4"/>
      <c r="D151" s="4"/>
      <c r="E151" s="4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2"/>
      <c r="B152" s="2"/>
      <c r="C152" s="4"/>
      <c r="D152" s="4"/>
      <c r="E152" s="4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2"/>
      <c r="B153" s="2"/>
      <c r="C153" s="4"/>
      <c r="D153" s="4"/>
      <c r="E153" s="4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2"/>
      <c r="B154" s="2"/>
      <c r="C154" s="4"/>
      <c r="D154" s="4"/>
      <c r="E154" s="4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2"/>
      <c r="B155" s="2"/>
      <c r="C155" s="4"/>
      <c r="D155" s="4"/>
      <c r="E155" s="4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2"/>
      <c r="B156" s="2"/>
      <c r="C156" s="4"/>
      <c r="D156" s="4"/>
      <c r="E156" s="4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2"/>
      <c r="B157" s="2"/>
      <c r="C157" s="4"/>
      <c r="D157" s="4"/>
      <c r="E157" s="4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2"/>
      <c r="B158" s="2"/>
      <c r="C158" s="4"/>
      <c r="D158" s="4"/>
      <c r="E158" s="4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2"/>
      <c r="B159" s="2"/>
      <c r="C159" s="4"/>
      <c r="D159" s="4"/>
      <c r="E159" s="4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2"/>
      <c r="B160" s="2"/>
      <c r="C160" s="4"/>
      <c r="D160" s="4"/>
      <c r="E160" s="4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2"/>
      <c r="B161" s="2"/>
      <c r="C161" s="4"/>
      <c r="D161" s="4"/>
      <c r="E161" s="4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2"/>
      <c r="B162" s="2"/>
      <c r="C162" s="4"/>
      <c r="D162" s="4"/>
      <c r="E162" s="4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2"/>
      <c r="B163" s="2"/>
      <c r="C163" s="4"/>
      <c r="D163" s="4"/>
      <c r="E163" s="4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2"/>
      <c r="B164" s="2"/>
      <c r="C164" s="4"/>
      <c r="D164" s="4"/>
      <c r="E164" s="4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2"/>
      <c r="B165" s="2"/>
      <c r="C165" s="4"/>
      <c r="D165" s="4"/>
      <c r="E165" s="4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2"/>
      <c r="B166" s="2"/>
      <c r="C166" s="4"/>
      <c r="D166" s="4"/>
      <c r="E166" s="4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2"/>
      <c r="B167" s="2"/>
      <c r="C167" s="4"/>
      <c r="D167" s="4"/>
      <c r="E167" s="4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2"/>
      <c r="B168" s="2"/>
      <c r="C168" s="4"/>
      <c r="D168" s="4"/>
      <c r="E168" s="4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2"/>
      <c r="B169" s="2"/>
      <c r="C169" s="4"/>
      <c r="D169" s="4"/>
      <c r="E169" s="4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2"/>
      <c r="B170" s="2"/>
      <c r="C170" s="4"/>
      <c r="D170" s="4"/>
      <c r="E170" s="4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2"/>
      <c r="B171" s="2"/>
      <c r="C171" s="4"/>
      <c r="D171" s="4"/>
      <c r="E171" s="4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2"/>
      <c r="B172" s="2"/>
      <c r="C172" s="4"/>
      <c r="D172" s="4"/>
      <c r="E172" s="4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2"/>
      <c r="B173" s="2"/>
      <c r="C173" s="4"/>
      <c r="D173" s="4"/>
      <c r="E173" s="4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2"/>
      <c r="B174" s="2"/>
      <c r="C174" s="4"/>
      <c r="D174" s="4"/>
      <c r="E174" s="4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2"/>
      <c r="B175" s="2"/>
      <c r="C175" s="4"/>
      <c r="D175" s="4"/>
      <c r="E175" s="4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2"/>
      <c r="B176" s="2"/>
      <c r="C176" s="4"/>
      <c r="D176" s="4"/>
      <c r="E176" s="4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"/>
      <c r="B177" s="2"/>
      <c r="C177" s="4"/>
      <c r="D177" s="4"/>
      <c r="E177" s="4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2"/>
      <c r="C178" s="4"/>
      <c r="D178" s="4"/>
      <c r="E178" s="4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2"/>
      <c r="C179" s="4"/>
      <c r="D179" s="4"/>
      <c r="E179" s="4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2"/>
      <c r="C180" s="4"/>
      <c r="D180" s="4"/>
      <c r="E180" s="4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2"/>
      <c r="C181" s="4"/>
      <c r="D181" s="4"/>
      <c r="E181" s="4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2"/>
      <c r="C182" s="4"/>
      <c r="D182" s="4"/>
      <c r="E182" s="4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2"/>
      <c r="C183" s="4"/>
      <c r="D183" s="4"/>
      <c r="E183" s="4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2"/>
      <c r="C184" s="4"/>
      <c r="D184" s="4"/>
      <c r="E184" s="4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2"/>
      <c r="C185" s="4"/>
      <c r="D185" s="4"/>
      <c r="E185" s="4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2"/>
      <c r="C186" s="4"/>
      <c r="D186" s="4"/>
      <c r="E186" s="4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2"/>
      <c r="C187" s="4"/>
      <c r="D187" s="4"/>
      <c r="E187" s="4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2"/>
      <c r="C188" s="4"/>
      <c r="D188" s="4"/>
      <c r="E188" s="4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2"/>
      <c r="C189" s="4"/>
      <c r="D189" s="4"/>
      <c r="E189" s="4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2"/>
      <c r="C190" s="4"/>
      <c r="D190" s="4"/>
      <c r="E190" s="4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2"/>
      <c r="C191" s="4"/>
      <c r="D191" s="4"/>
      <c r="E191" s="4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2"/>
      <c r="C192" s="4"/>
      <c r="D192" s="4"/>
      <c r="E192" s="4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2"/>
      <c r="C193" s="4"/>
      <c r="D193" s="4"/>
      <c r="E193" s="4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2"/>
      <c r="C194" s="4"/>
      <c r="D194" s="4"/>
      <c r="E194" s="4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2"/>
      <c r="C195" s="4"/>
      <c r="D195" s="4"/>
      <c r="E195" s="4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2"/>
      <c r="C196" s="4"/>
      <c r="D196" s="4"/>
      <c r="E196" s="4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2"/>
      <c r="C197" s="4"/>
      <c r="D197" s="4"/>
      <c r="E197" s="4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2"/>
      <c r="C198" s="4"/>
      <c r="D198" s="4"/>
      <c r="E198" s="4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2"/>
      <c r="C199" s="4"/>
      <c r="D199" s="4"/>
      <c r="E199" s="4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2"/>
      <c r="C200" s="4"/>
      <c r="D200" s="4"/>
      <c r="E200" s="4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2"/>
      <c r="C201" s="4"/>
      <c r="D201" s="4"/>
      <c r="E201" s="4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2"/>
      <c r="C202" s="4"/>
      <c r="D202" s="4"/>
      <c r="E202" s="4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2"/>
      <c r="C203" s="4"/>
      <c r="D203" s="4"/>
      <c r="E203" s="4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2"/>
      <c r="C204" s="4"/>
      <c r="D204" s="4"/>
      <c r="E204" s="4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2"/>
      <c r="C205" s="4"/>
      <c r="D205" s="4"/>
      <c r="E205" s="4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2"/>
      <c r="C206" s="4"/>
      <c r="D206" s="4"/>
      <c r="E206" s="4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2"/>
      <c r="C207" s="4"/>
      <c r="D207" s="4"/>
      <c r="E207" s="4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2"/>
      <c r="C208" s="4"/>
      <c r="D208" s="4"/>
      <c r="E208" s="4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2"/>
      <c r="C209" s="4"/>
      <c r="D209" s="4"/>
      <c r="E209" s="4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2"/>
      <c r="C210" s="4"/>
      <c r="D210" s="4"/>
      <c r="E210" s="4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2"/>
      <c r="C211" s="4"/>
      <c r="D211" s="4"/>
      <c r="E211" s="4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2"/>
      <c r="C212" s="4"/>
      <c r="D212" s="4"/>
      <c r="E212" s="4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2"/>
      <c r="C213" s="4"/>
      <c r="D213" s="4"/>
      <c r="E213" s="4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2"/>
      <c r="C214" s="4"/>
      <c r="D214" s="4"/>
      <c r="E214" s="4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2"/>
      <c r="C215" s="4"/>
      <c r="D215" s="4"/>
      <c r="E215" s="4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2"/>
      <c r="C216" s="4"/>
      <c r="D216" s="4"/>
      <c r="E216" s="4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2"/>
      <c r="C217" s="4"/>
      <c r="D217" s="4"/>
      <c r="E217" s="4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2"/>
      <c r="C218" s="4"/>
      <c r="D218" s="4"/>
      <c r="E218" s="4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2"/>
      <c r="C219" s="4"/>
      <c r="D219" s="4"/>
      <c r="E219" s="4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2"/>
      <c r="C220" s="4"/>
      <c r="D220" s="4"/>
      <c r="E220" s="4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2"/>
      <c r="C221" s="4"/>
      <c r="D221" s="4"/>
      <c r="E221" s="4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2"/>
      <c r="C222" s="4"/>
      <c r="D222" s="4"/>
      <c r="E222" s="4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2"/>
      <c r="C223" s="4"/>
      <c r="D223" s="4"/>
      <c r="E223" s="4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2"/>
      <c r="C224" s="4"/>
      <c r="D224" s="4"/>
      <c r="E224" s="4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2"/>
      <c r="C225" s="4"/>
      <c r="D225" s="4"/>
      <c r="E225" s="4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2"/>
      <c r="C226" s="4"/>
      <c r="D226" s="4"/>
      <c r="E226" s="4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2"/>
      <c r="C227" s="4"/>
      <c r="D227" s="4"/>
      <c r="E227" s="4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2"/>
      <c r="C228" s="4"/>
      <c r="D228" s="4"/>
      <c r="E228" s="4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2"/>
      <c r="C229" s="4"/>
      <c r="D229" s="4"/>
      <c r="E229" s="4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2"/>
      <c r="C230" s="4"/>
      <c r="D230" s="4"/>
      <c r="E230" s="4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2"/>
      <c r="C231" s="4"/>
      <c r="D231" s="4"/>
      <c r="E231" s="4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2"/>
      <c r="C232" s="4"/>
      <c r="D232" s="4"/>
      <c r="E232" s="4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2"/>
      <c r="C233" s="4"/>
      <c r="D233" s="4"/>
      <c r="E233" s="4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2"/>
      <c r="C234" s="4"/>
      <c r="D234" s="4"/>
      <c r="E234" s="4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2"/>
      <c r="C235" s="4"/>
      <c r="D235" s="4"/>
      <c r="E235" s="4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2"/>
      <c r="C236" s="4"/>
      <c r="D236" s="4"/>
      <c r="E236" s="4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2"/>
      <c r="C237" s="4"/>
      <c r="D237" s="4"/>
      <c r="E237" s="4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2"/>
      <c r="C238" s="4"/>
      <c r="D238" s="4"/>
      <c r="E238" s="4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2"/>
      <c r="C239" s="4"/>
      <c r="D239" s="4"/>
      <c r="E239" s="4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2"/>
      <c r="C240" s="4"/>
      <c r="D240" s="4"/>
      <c r="E240" s="4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2"/>
      <c r="C241" s="4"/>
      <c r="D241" s="4"/>
      <c r="E241" s="4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2"/>
      <c r="C242" s="4"/>
      <c r="D242" s="4"/>
      <c r="E242" s="4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2"/>
      <c r="C243" s="4"/>
      <c r="D243" s="4"/>
      <c r="E243" s="4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2"/>
      <c r="C244" s="4"/>
      <c r="D244" s="4"/>
      <c r="E244" s="4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2"/>
      <c r="C245" s="4"/>
      <c r="D245" s="4"/>
      <c r="E245" s="4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2"/>
      <c r="C246" s="4"/>
      <c r="D246" s="4"/>
      <c r="E246" s="4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2"/>
      <c r="C247" s="4"/>
      <c r="D247" s="4"/>
      <c r="E247" s="4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2"/>
      <c r="C248" s="4"/>
      <c r="D248" s="4"/>
      <c r="E248" s="4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2"/>
      <c r="C249" s="4"/>
      <c r="D249" s="4"/>
      <c r="E249" s="4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2"/>
      <c r="C250" s="4"/>
      <c r="D250" s="4"/>
      <c r="E250" s="4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2"/>
      <c r="C251" s="4"/>
      <c r="D251" s="4"/>
      <c r="E251" s="4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2"/>
      <c r="C252" s="4"/>
      <c r="D252" s="4"/>
      <c r="E252" s="4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2"/>
      <c r="C253" s="4"/>
      <c r="D253" s="4"/>
      <c r="E253" s="4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2"/>
      <c r="C254" s="4"/>
      <c r="D254" s="4"/>
      <c r="E254" s="4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2"/>
      <c r="C255" s="4"/>
      <c r="D255" s="4"/>
      <c r="E255" s="4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2"/>
      <c r="C256" s="4"/>
      <c r="D256" s="4"/>
      <c r="E256" s="4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2"/>
      <c r="C257" s="4"/>
      <c r="D257" s="4"/>
      <c r="E257" s="4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2"/>
      <c r="C258" s="4"/>
      <c r="D258" s="4"/>
      <c r="E258" s="4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2"/>
      <c r="C259" s="4"/>
      <c r="D259" s="4"/>
      <c r="E259" s="4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2"/>
      <c r="C260" s="4"/>
      <c r="D260" s="4"/>
      <c r="E260" s="4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2"/>
      <c r="C261" s="4"/>
      <c r="D261" s="4"/>
      <c r="E261" s="4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2"/>
      <c r="C262" s="4"/>
      <c r="D262" s="4"/>
      <c r="E262" s="4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2"/>
      <c r="C263" s="4"/>
      <c r="D263" s="4"/>
      <c r="E263" s="4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2"/>
      <c r="C264" s="4"/>
      <c r="D264" s="4"/>
      <c r="E264" s="4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2"/>
      <c r="C265" s="4"/>
      <c r="D265" s="4"/>
      <c r="E265" s="4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2"/>
      <c r="C266" s="4"/>
      <c r="D266" s="4"/>
      <c r="E266" s="4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2"/>
      <c r="C267" s="4"/>
      <c r="D267" s="4"/>
      <c r="E267" s="4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2"/>
      <c r="C268" s="4"/>
      <c r="D268" s="4"/>
      <c r="E268" s="4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2"/>
      <c r="C269" s="4"/>
      <c r="D269" s="4"/>
      <c r="E269" s="4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2"/>
      <c r="C270" s="4"/>
      <c r="D270" s="4"/>
      <c r="E270" s="4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"/>
      <c r="B271" s="2"/>
      <c r="C271" s="4"/>
      <c r="D271" s="4"/>
      <c r="E271" s="4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"/>
      <c r="B272" s="2"/>
      <c r="C272" s="4"/>
      <c r="D272" s="4"/>
      <c r="E272" s="4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"/>
      <c r="B273" s="2"/>
      <c r="C273" s="4"/>
      <c r="D273" s="4"/>
      <c r="E273" s="4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"/>
      <c r="B274" s="2"/>
      <c r="C274" s="4"/>
      <c r="D274" s="4"/>
      <c r="E274" s="4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"/>
      <c r="B275" s="2"/>
      <c r="C275" s="4"/>
      <c r="D275" s="4"/>
      <c r="E275" s="4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"/>
      <c r="B276" s="2"/>
      <c r="C276" s="4"/>
      <c r="D276" s="4"/>
      <c r="E276" s="4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"/>
      <c r="B277" s="2"/>
      <c r="C277" s="4"/>
      <c r="D277" s="4"/>
      <c r="E277" s="4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"/>
      <c r="B278" s="2"/>
      <c r="C278" s="4"/>
      <c r="D278" s="4"/>
      <c r="E278" s="4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"/>
      <c r="B279" s="2"/>
      <c r="C279" s="4"/>
      <c r="D279" s="4"/>
      <c r="E279" s="4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"/>
      <c r="B280" s="2"/>
      <c r="C280" s="4"/>
      <c r="D280" s="4"/>
      <c r="E280" s="4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"/>
      <c r="B281" s="2"/>
      <c r="C281" s="4"/>
      <c r="D281" s="4"/>
      <c r="E281" s="4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"/>
      <c r="B282" s="2"/>
      <c r="C282" s="4"/>
      <c r="D282" s="4"/>
      <c r="E282" s="4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"/>
      <c r="B283" s="2"/>
      <c r="C283" s="4"/>
      <c r="D283" s="4"/>
      <c r="E283" s="4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"/>
      <c r="B284" s="2"/>
      <c r="C284" s="4"/>
      <c r="D284" s="4"/>
      <c r="E284" s="4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"/>
      <c r="B285" s="2"/>
      <c r="C285" s="4"/>
      <c r="D285" s="4"/>
      <c r="E285" s="4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"/>
      <c r="B286" s="2"/>
      <c r="C286" s="4"/>
      <c r="D286" s="4"/>
      <c r="E286" s="4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"/>
      <c r="B287" s="2"/>
      <c r="C287" s="4"/>
      <c r="D287" s="4"/>
      <c r="E287" s="4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"/>
      <c r="B288" s="2"/>
      <c r="C288" s="4"/>
      <c r="D288" s="4"/>
      <c r="E288" s="4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"/>
      <c r="B289" s="2"/>
      <c r="C289" s="4"/>
      <c r="D289" s="4"/>
      <c r="E289" s="4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"/>
      <c r="B290" s="2"/>
      <c r="C290" s="4"/>
      <c r="D290" s="4"/>
      <c r="E290" s="4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"/>
      <c r="B291" s="2"/>
      <c r="C291" s="4"/>
      <c r="D291" s="4"/>
      <c r="E291" s="4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"/>
      <c r="B292" s="2"/>
      <c r="C292" s="4"/>
      <c r="D292" s="4"/>
      <c r="E292" s="4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"/>
      <c r="B293" s="2"/>
      <c r="C293" s="4"/>
      <c r="D293" s="4"/>
      <c r="E293" s="4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"/>
      <c r="B294" s="2"/>
      <c r="C294" s="4"/>
      <c r="D294" s="4"/>
      <c r="E294" s="4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"/>
      <c r="B295" s="2"/>
      <c r="C295" s="4"/>
      <c r="D295" s="4"/>
      <c r="E295" s="4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"/>
      <c r="B296" s="2"/>
      <c r="C296" s="4"/>
      <c r="D296" s="4"/>
      <c r="E296" s="4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"/>
      <c r="B297" s="2"/>
      <c r="C297" s="4"/>
      <c r="D297" s="4"/>
      <c r="E297" s="4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"/>
      <c r="B298" s="2"/>
      <c r="C298" s="4"/>
      <c r="D298" s="4"/>
      <c r="E298" s="4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"/>
      <c r="B299" s="2"/>
      <c r="C299" s="4"/>
      <c r="D299" s="4"/>
      <c r="E299" s="4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"/>
      <c r="B300" s="2"/>
      <c r="C300" s="4"/>
      <c r="D300" s="4"/>
      <c r="E300" s="4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"/>
      <c r="B301" s="2"/>
      <c r="C301" s="4"/>
      <c r="D301" s="4"/>
      <c r="E301" s="4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"/>
      <c r="B302" s="2"/>
      <c r="C302" s="4"/>
      <c r="D302" s="4"/>
      <c r="E302" s="4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"/>
      <c r="B303" s="2"/>
      <c r="C303" s="4"/>
      <c r="D303" s="4"/>
      <c r="E303" s="4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"/>
      <c r="B304" s="2"/>
      <c r="C304" s="4"/>
      <c r="D304" s="4"/>
      <c r="E304" s="4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"/>
      <c r="B305" s="2"/>
      <c r="C305" s="4"/>
      <c r="D305" s="4"/>
      <c r="E305" s="4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"/>
      <c r="B306" s="2"/>
      <c r="C306" s="4"/>
      <c r="D306" s="4"/>
      <c r="E306" s="4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"/>
      <c r="B307" s="2"/>
      <c r="C307" s="4"/>
      <c r="D307" s="4"/>
      <c r="E307" s="4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"/>
      <c r="B308" s="2"/>
      <c r="C308" s="4"/>
      <c r="D308" s="4"/>
      <c r="E308" s="4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"/>
      <c r="B309" s="2"/>
      <c r="C309" s="4"/>
      <c r="D309" s="4"/>
      <c r="E309" s="4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"/>
      <c r="B310" s="2"/>
      <c r="C310" s="4"/>
      <c r="D310" s="4"/>
      <c r="E310" s="4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"/>
      <c r="B311" s="2"/>
      <c r="C311" s="4"/>
      <c r="D311" s="4"/>
      <c r="E311" s="4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"/>
      <c r="B312" s="2"/>
      <c r="C312" s="4"/>
      <c r="D312" s="4"/>
      <c r="E312" s="4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"/>
      <c r="B313" s="2"/>
      <c r="C313" s="4"/>
      <c r="D313" s="4"/>
      <c r="E313" s="4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"/>
      <c r="B314" s="2"/>
      <c r="C314" s="4"/>
      <c r="D314" s="4"/>
      <c r="E314" s="4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"/>
      <c r="B315" s="2"/>
      <c r="C315" s="4"/>
      <c r="D315" s="4"/>
      <c r="E315" s="4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"/>
      <c r="B316" s="2"/>
      <c r="C316" s="4"/>
      <c r="D316" s="4"/>
      <c r="E316" s="4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"/>
      <c r="B317" s="2"/>
      <c r="C317" s="4"/>
      <c r="D317" s="4"/>
      <c r="E317" s="4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"/>
      <c r="B318" s="2"/>
      <c r="C318" s="4"/>
      <c r="D318" s="4"/>
      <c r="E318" s="4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"/>
      <c r="B319" s="2"/>
      <c r="C319" s="4"/>
      <c r="D319" s="4"/>
      <c r="E319" s="4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"/>
      <c r="B320" s="2"/>
      <c r="C320" s="4"/>
      <c r="D320" s="4"/>
      <c r="E320" s="4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"/>
      <c r="B321" s="2"/>
      <c r="C321" s="4"/>
      <c r="D321" s="4"/>
      <c r="E321" s="4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"/>
      <c r="B322" s="2"/>
      <c r="C322" s="4"/>
      <c r="D322" s="4"/>
      <c r="E322" s="4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"/>
      <c r="B323" s="2"/>
      <c r="C323" s="4"/>
      <c r="D323" s="4"/>
      <c r="E323" s="4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"/>
      <c r="B324" s="2"/>
      <c r="C324" s="4"/>
      <c r="D324" s="4"/>
      <c r="E324" s="4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"/>
      <c r="B325" s="2"/>
      <c r="C325" s="4"/>
      <c r="D325" s="4"/>
      <c r="E325" s="4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"/>
      <c r="B326" s="2"/>
      <c r="C326" s="4"/>
      <c r="D326" s="4"/>
      <c r="E326" s="4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"/>
      <c r="B327" s="2"/>
      <c r="C327" s="4"/>
      <c r="D327" s="4"/>
      <c r="E327" s="4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"/>
      <c r="B328" s="2"/>
      <c r="C328" s="4"/>
      <c r="D328" s="4"/>
      <c r="E328" s="4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"/>
      <c r="B329" s="2"/>
      <c r="C329" s="4"/>
      <c r="D329" s="4"/>
      <c r="E329" s="4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"/>
      <c r="B330" s="2"/>
      <c r="C330" s="4"/>
      <c r="D330" s="4"/>
      <c r="E330" s="4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"/>
      <c r="B331" s="2"/>
      <c r="C331" s="4"/>
      <c r="D331" s="4"/>
      <c r="E331" s="4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"/>
      <c r="B332" s="2"/>
      <c r="C332" s="4"/>
      <c r="D332" s="4"/>
      <c r="E332" s="4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"/>
      <c r="B333" s="2"/>
      <c r="C333" s="4"/>
      <c r="D333" s="4"/>
      <c r="E333" s="4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"/>
      <c r="B334" s="2"/>
      <c r="C334" s="4"/>
      <c r="D334" s="4"/>
      <c r="E334" s="4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"/>
      <c r="B335" s="2"/>
      <c r="C335" s="4"/>
      <c r="D335" s="4"/>
      <c r="E335" s="4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"/>
      <c r="B336" s="2"/>
      <c r="C336" s="4"/>
      <c r="D336" s="4"/>
      <c r="E336" s="4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"/>
      <c r="B337" s="2"/>
      <c r="C337" s="4"/>
      <c r="D337" s="4"/>
      <c r="E337" s="4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"/>
      <c r="B338" s="2"/>
      <c r="C338" s="4"/>
      <c r="D338" s="4"/>
      <c r="E338" s="4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"/>
      <c r="B339" s="2"/>
      <c r="C339" s="4"/>
      <c r="D339" s="4"/>
      <c r="E339" s="4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"/>
      <c r="B340" s="2"/>
      <c r="C340" s="4"/>
      <c r="D340" s="4"/>
      <c r="E340" s="4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"/>
      <c r="B341" s="2"/>
      <c r="C341" s="4"/>
      <c r="D341" s="4"/>
      <c r="E341" s="4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"/>
      <c r="B342" s="2"/>
      <c r="C342" s="4"/>
      <c r="D342" s="4"/>
      <c r="E342" s="4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"/>
      <c r="B343" s="2"/>
      <c r="C343" s="4"/>
      <c r="D343" s="4"/>
      <c r="E343" s="4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"/>
      <c r="B344" s="2"/>
      <c r="C344" s="4"/>
      <c r="D344" s="4"/>
      <c r="E344" s="4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"/>
      <c r="B345" s="2"/>
      <c r="C345" s="4"/>
      <c r="D345" s="4"/>
      <c r="E345" s="4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"/>
      <c r="B346" s="2"/>
      <c r="C346" s="4"/>
      <c r="D346" s="4"/>
      <c r="E346" s="4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"/>
      <c r="B347" s="2"/>
      <c r="C347" s="4"/>
      <c r="D347" s="4"/>
      <c r="E347" s="4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"/>
      <c r="B348" s="2"/>
      <c r="C348" s="4"/>
      <c r="D348" s="4"/>
      <c r="E348" s="4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"/>
      <c r="B349" s="2"/>
      <c r="C349" s="4"/>
      <c r="D349" s="4"/>
      <c r="E349" s="4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"/>
      <c r="B350" s="2"/>
      <c r="C350" s="4"/>
      <c r="D350" s="4"/>
      <c r="E350" s="4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"/>
      <c r="B351" s="2"/>
      <c r="C351" s="4"/>
      <c r="D351" s="4"/>
      <c r="E351" s="4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"/>
      <c r="B352" s="2"/>
      <c r="C352" s="4"/>
      <c r="D352" s="4"/>
      <c r="E352" s="4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"/>
      <c r="B353" s="2"/>
      <c r="C353" s="4"/>
      <c r="D353" s="4"/>
      <c r="E353" s="4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"/>
      <c r="B354" s="2"/>
      <c r="C354" s="4"/>
      <c r="D354" s="4"/>
      <c r="E354" s="4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"/>
      <c r="B355" s="2"/>
      <c r="C355" s="4"/>
      <c r="D355" s="4"/>
      <c r="E355" s="4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"/>
      <c r="B356" s="2"/>
      <c r="C356" s="4"/>
      <c r="D356" s="4"/>
      <c r="E356" s="4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"/>
      <c r="B357" s="2"/>
      <c r="C357" s="4"/>
      <c r="D357" s="4"/>
      <c r="E357" s="4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"/>
      <c r="B358" s="2"/>
      <c r="C358" s="4"/>
      <c r="D358" s="4"/>
      <c r="E358" s="4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"/>
      <c r="B359" s="2"/>
      <c r="C359" s="4"/>
      <c r="D359" s="4"/>
      <c r="E359" s="4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"/>
      <c r="B360" s="2"/>
      <c r="C360" s="4"/>
      <c r="D360" s="4"/>
      <c r="E360" s="4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"/>
      <c r="B361" s="2"/>
      <c r="C361" s="4"/>
      <c r="D361" s="4"/>
      <c r="E361" s="4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"/>
      <c r="B362" s="2"/>
      <c r="C362" s="4"/>
      <c r="D362" s="4"/>
      <c r="E362" s="4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"/>
      <c r="B363" s="2"/>
      <c r="C363" s="4"/>
      <c r="D363" s="4"/>
      <c r="E363" s="4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"/>
      <c r="B364" s="2"/>
      <c r="C364" s="4"/>
      <c r="D364" s="4"/>
      <c r="E364" s="4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"/>
      <c r="B365" s="2"/>
      <c r="C365" s="4"/>
      <c r="D365" s="4"/>
      <c r="E365" s="4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"/>
      <c r="B366" s="2"/>
      <c r="C366" s="4"/>
      <c r="D366" s="4"/>
      <c r="E366" s="4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"/>
      <c r="B367" s="2"/>
      <c r="C367" s="4"/>
      <c r="D367" s="4"/>
      <c r="E367" s="4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"/>
      <c r="B368" s="2"/>
      <c r="C368" s="4"/>
      <c r="D368" s="4"/>
      <c r="E368" s="4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"/>
      <c r="B369" s="2"/>
      <c r="C369" s="4"/>
      <c r="D369" s="4"/>
      <c r="E369" s="4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"/>
      <c r="B370" s="2"/>
      <c r="C370" s="4"/>
      <c r="D370" s="4"/>
      <c r="E370" s="4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"/>
      <c r="B371" s="2"/>
      <c r="C371" s="4"/>
      <c r="D371" s="4"/>
      <c r="E371" s="4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"/>
      <c r="B372" s="2"/>
      <c r="C372" s="4"/>
      <c r="D372" s="4"/>
      <c r="E372" s="4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"/>
      <c r="B373" s="2"/>
      <c r="C373" s="4"/>
      <c r="D373" s="4"/>
      <c r="E373" s="4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"/>
      <c r="B374" s="2"/>
      <c r="C374" s="4"/>
      <c r="D374" s="4"/>
      <c r="E374" s="4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"/>
      <c r="B375" s="2"/>
      <c r="C375" s="4"/>
      <c r="D375" s="4"/>
      <c r="E375" s="4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"/>
      <c r="B376" s="2"/>
      <c r="C376" s="4"/>
      <c r="D376" s="4"/>
      <c r="E376" s="4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"/>
      <c r="B377" s="2"/>
      <c r="C377" s="4"/>
      <c r="D377" s="4"/>
      <c r="E377" s="4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"/>
      <c r="B378" s="2"/>
      <c r="C378" s="4"/>
      <c r="D378" s="4"/>
      <c r="E378" s="4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"/>
      <c r="B379" s="2"/>
      <c r="C379" s="4"/>
      <c r="D379" s="4"/>
      <c r="E379" s="4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"/>
      <c r="B380" s="2"/>
      <c r="C380" s="4"/>
      <c r="D380" s="4"/>
      <c r="E380" s="4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"/>
      <c r="B381" s="2"/>
      <c r="C381" s="4"/>
      <c r="D381" s="4"/>
      <c r="E381" s="4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"/>
      <c r="B382" s="2"/>
      <c r="C382" s="4"/>
      <c r="D382" s="4"/>
      <c r="E382" s="4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"/>
      <c r="B383" s="2"/>
      <c r="C383" s="4"/>
      <c r="D383" s="4"/>
      <c r="E383" s="4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"/>
      <c r="B384" s="2"/>
      <c r="C384" s="4"/>
      <c r="D384" s="4"/>
      <c r="E384" s="4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"/>
      <c r="B385" s="2"/>
      <c r="C385" s="4"/>
      <c r="D385" s="4"/>
      <c r="E385" s="4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"/>
      <c r="B386" s="2"/>
      <c r="C386" s="4"/>
      <c r="D386" s="4"/>
      <c r="E386" s="4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"/>
      <c r="B387" s="2"/>
      <c r="C387" s="4"/>
      <c r="D387" s="4"/>
      <c r="E387" s="4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"/>
      <c r="B388" s="2"/>
      <c r="C388" s="4"/>
      <c r="D388" s="4"/>
      <c r="E388" s="4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"/>
      <c r="B389" s="2"/>
      <c r="C389" s="4"/>
      <c r="D389" s="4"/>
      <c r="E389" s="4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"/>
      <c r="B390" s="2"/>
      <c r="C390" s="4"/>
      <c r="D390" s="4"/>
      <c r="E390" s="4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"/>
      <c r="B391" s="2"/>
      <c r="C391" s="4"/>
      <c r="D391" s="4"/>
      <c r="E391" s="4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"/>
      <c r="B392" s="2"/>
      <c r="C392" s="4"/>
      <c r="D392" s="4"/>
      <c r="E392" s="4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"/>
      <c r="B393" s="2"/>
      <c r="C393" s="4"/>
      <c r="D393" s="4"/>
      <c r="E393" s="4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"/>
      <c r="B394" s="2"/>
      <c r="C394" s="4"/>
      <c r="D394" s="4"/>
      <c r="E394" s="4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"/>
      <c r="B395" s="2"/>
      <c r="C395" s="4"/>
      <c r="D395" s="4"/>
      <c r="E395" s="4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"/>
      <c r="B396" s="2"/>
      <c r="C396" s="4"/>
      <c r="D396" s="4"/>
      <c r="E396" s="4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"/>
      <c r="B397" s="2"/>
      <c r="C397" s="4"/>
      <c r="D397" s="4"/>
      <c r="E397" s="4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"/>
      <c r="B398" s="2"/>
      <c r="C398" s="4"/>
      <c r="D398" s="4"/>
      <c r="E398" s="4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"/>
      <c r="B399" s="2"/>
      <c r="C399" s="4"/>
      <c r="D399" s="4"/>
      <c r="E399" s="4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"/>
      <c r="B400" s="2"/>
      <c r="C400" s="4"/>
      <c r="D400" s="4"/>
      <c r="E400" s="4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"/>
      <c r="B401" s="2"/>
      <c r="C401" s="4"/>
      <c r="D401" s="4"/>
      <c r="E401" s="4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"/>
      <c r="B402" s="2"/>
      <c r="C402" s="4"/>
      <c r="D402" s="4"/>
      <c r="E402" s="4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"/>
      <c r="B403" s="2"/>
      <c r="C403" s="4"/>
      <c r="D403" s="4"/>
      <c r="E403" s="4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"/>
      <c r="B404" s="2"/>
      <c r="C404" s="4"/>
      <c r="D404" s="4"/>
      <c r="E404" s="4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"/>
      <c r="B405" s="2"/>
      <c r="C405" s="4"/>
      <c r="D405" s="4"/>
      <c r="E405" s="4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"/>
      <c r="B406" s="2"/>
      <c r="C406" s="4"/>
      <c r="D406" s="4"/>
      <c r="E406" s="4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"/>
      <c r="B407" s="2"/>
      <c r="C407" s="4"/>
      <c r="D407" s="4"/>
      <c r="E407" s="4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"/>
      <c r="B408" s="2"/>
      <c r="C408" s="4"/>
      <c r="D408" s="4"/>
      <c r="E408" s="4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"/>
      <c r="B409" s="2"/>
      <c r="C409" s="4"/>
      <c r="D409" s="4"/>
      <c r="E409" s="4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"/>
      <c r="B410" s="2"/>
      <c r="C410" s="4"/>
      <c r="D410" s="4"/>
      <c r="E410" s="4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"/>
      <c r="B411" s="2"/>
      <c r="C411" s="4"/>
      <c r="D411" s="4"/>
      <c r="E411" s="4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"/>
      <c r="B412" s="2"/>
      <c r="C412" s="4"/>
      <c r="D412" s="4"/>
      <c r="E412" s="4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"/>
      <c r="B413" s="2"/>
      <c r="C413" s="4"/>
      <c r="D413" s="4"/>
      <c r="E413" s="4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"/>
      <c r="B414" s="2"/>
      <c r="C414" s="4"/>
      <c r="D414" s="4"/>
      <c r="E414" s="4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"/>
      <c r="B415" s="2"/>
      <c r="C415" s="4"/>
      <c r="D415" s="4"/>
      <c r="E415" s="4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"/>
      <c r="B416" s="2"/>
      <c r="C416" s="4"/>
      <c r="D416" s="4"/>
      <c r="E416" s="4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"/>
      <c r="B417" s="2"/>
      <c r="C417" s="4"/>
      <c r="D417" s="4"/>
      <c r="E417" s="4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"/>
      <c r="B418" s="2"/>
      <c r="C418" s="4"/>
      <c r="D418" s="4"/>
      <c r="E418" s="4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"/>
      <c r="B419" s="2"/>
      <c r="C419" s="4"/>
      <c r="D419" s="4"/>
      <c r="E419" s="4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"/>
      <c r="B420" s="2"/>
      <c r="C420" s="4"/>
      <c r="D420" s="4"/>
      <c r="E420" s="4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"/>
      <c r="B421" s="2"/>
      <c r="C421" s="4"/>
      <c r="D421" s="4"/>
      <c r="E421" s="4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"/>
      <c r="B422" s="2"/>
      <c r="C422" s="4"/>
      <c r="D422" s="4"/>
      <c r="E422" s="4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"/>
      <c r="B423" s="2"/>
      <c r="C423" s="4"/>
      <c r="D423" s="4"/>
      <c r="E423" s="4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"/>
      <c r="B424" s="2"/>
      <c r="C424" s="4"/>
      <c r="D424" s="4"/>
      <c r="E424" s="4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"/>
      <c r="B425" s="2"/>
      <c r="C425" s="4"/>
      <c r="D425" s="4"/>
      <c r="E425" s="4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"/>
      <c r="B426" s="2"/>
      <c r="C426" s="4"/>
      <c r="D426" s="4"/>
      <c r="E426" s="4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"/>
      <c r="B427" s="2"/>
      <c r="C427" s="4"/>
      <c r="D427" s="4"/>
      <c r="E427" s="4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"/>
      <c r="B428" s="2"/>
      <c r="C428" s="4"/>
      <c r="D428" s="4"/>
      <c r="E428" s="4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"/>
      <c r="B429" s="2"/>
      <c r="C429" s="4"/>
      <c r="D429" s="4"/>
      <c r="E429" s="4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"/>
      <c r="B430" s="2"/>
      <c r="C430" s="4"/>
      <c r="D430" s="4"/>
      <c r="E430" s="4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"/>
      <c r="B431" s="2"/>
      <c r="C431" s="4"/>
      <c r="D431" s="4"/>
      <c r="E431" s="4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"/>
      <c r="B432" s="2"/>
      <c r="C432" s="4"/>
      <c r="D432" s="4"/>
      <c r="E432" s="4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"/>
      <c r="B433" s="2"/>
      <c r="C433" s="4"/>
      <c r="D433" s="4"/>
      <c r="E433" s="4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"/>
      <c r="B434" s="2"/>
      <c r="C434" s="4"/>
      <c r="D434" s="4"/>
      <c r="E434" s="4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"/>
      <c r="B435" s="2"/>
      <c r="C435" s="4"/>
      <c r="D435" s="4"/>
      <c r="E435" s="4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"/>
      <c r="B436" s="2"/>
      <c r="C436" s="4"/>
      <c r="D436" s="4"/>
      <c r="E436" s="4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"/>
      <c r="B437" s="2"/>
      <c r="C437" s="4"/>
      <c r="D437" s="4"/>
      <c r="E437" s="4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"/>
      <c r="B438" s="2"/>
      <c r="C438" s="4"/>
      <c r="D438" s="4"/>
      <c r="E438" s="4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"/>
      <c r="B439" s="2"/>
      <c r="C439" s="4"/>
      <c r="D439" s="4"/>
      <c r="E439" s="4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"/>
      <c r="B440" s="2"/>
      <c r="C440" s="4"/>
      <c r="D440" s="4"/>
      <c r="E440" s="4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"/>
      <c r="B441" s="2"/>
      <c r="C441" s="4"/>
      <c r="D441" s="4"/>
      <c r="E441" s="4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"/>
      <c r="B442" s="2"/>
      <c r="C442" s="4"/>
      <c r="D442" s="4"/>
      <c r="E442" s="4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"/>
      <c r="B443" s="2"/>
      <c r="C443" s="4"/>
      <c r="D443" s="4"/>
      <c r="E443" s="4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"/>
      <c r="B444" s="2"/>
      <c r="C444" s="4"/>
      <c r="D444" s="4"/>
      <c r="E444" s="4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"/>
      <c r="B445" s="2"/>
      <c r="C445" s="4"/>
      <c r="D445" s="4"/>
      <c r="E445" s="4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"/>
      <c r="B446" s="2"/>
      <c r="C446" s="4"/>
      <c r="D446" s="4"/>
      <c r="E446" s="4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"/>
      <c r="B447" s="2"/>
      <c r="C447" s="4"/>
      <c r="D447" s="4"/>
      <c r="E447" s="4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"/>
      <c r="B448" s="2"/>
      <c r="C448" s="4"/>
      <c r="D448" s="4"/>
      <c r="E448" s="4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"/>
      <c r="B449" s="2"/>
      <c r="C449" s="4"/>
      <c r="D449" s="4"/>
      <c r="E449" s="4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"/>
      <c r="B450" s="2"/>
      <c r="C450" s="4"/>
      <c r="D450" s="4"/>
      <c r="E450" s="4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"/>
      <c r="B451" s="2"/>
      <c r="C451" s="4"/>
      <c r="D451" s="4"/>
      <c r="E451" s="4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"/>
      <c r="B452" s="2"/>
      <c r="C452" s="4"/>
      <c r="D452" s="4"/>
      <c r="E452" s="4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"/>
      <c r="B453" s="2"/>
      <c r="C453" s="4"/>
      <c r="D453" s="4"/>
      <c r="E453" s="4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"/>
      <c r="B454" s="2"/>
      <c r="C454" s="4"/>
      <c r="D454" s="4"/>
      <c r="E454" s="4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"/>
      <c r="B455" s="2"/>
      <c r="C455" s="4"/>
      <c r="D455" s="4"/>
      <c r="E455" s="4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"/>
      <c r="B456" s="2"/>
      <c r="C456" s="4"/>
      <c r="D456" s="4"/>
      <c r="E456" s="4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"/>
      <c r="B457" s="2"/>
      <c r="C457" s="4"/>
      <c r="D457" s="4"/>
      <c r="E457" s="4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"/>
      <c r="B458" s="2"/>
      <c r="C458" s="4"/>
      <c r="D458" s="4"/>
      <c r="E458" s="4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"/>
      <c r="B459" s="2"/>
      <c r="C459" s="4"/>
      <c r="D459" s="4"/>
      <c r="E459" s="4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"/>
      <c r="B460" s="2"/>
      <c r="C460" s="4"/>
      <c r="D460" s="4"/>
      <c r="E460" s="4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"/>
      <c r="B461" s="2"/>
      <c r="C461" s="4"/>
      <c r="D461" s="4"/>
      <c r="E461" s="4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"/>
      <c r="B462" s="2"/>
      <c r="C462" s="4"/>
      <c r="D462" s="4"/>
      <c r="E462" s="4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"/>
      <c r="B463" s="2"/>
      <c r="C463" s="4"/>
      <c r="D463" s="4"/>
      <c r="E463" s="4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"/>
      <c r="B464" s="2"/>
      <c r="C464" s="4"/>
      <c r="D464" s="4"/>
      <c r="E464" s="4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"/>
      <c r="B465" s="2"/>
      <c r="C465" s="4"/>
      <c r="D465" s="4"/>
      <c r="E465" s="4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"/>
      <c r="B466" s="2"/>
      <c r="C466" s="4"/>
      <c r="D466" s="4"/>
      <c r="E466" s="4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"/>
      <c r="B467" s="2"/>
      <c r="C467" s="4"/>
      <c r="D467" s="4"/>
      <c r="E467" s="4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"/>
      <c r="B468" s="2"/>
      <c r="C468" s="4"/>
      <c r="D468" s="4"/>
      <c r="E468" s="4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"/>
      <c r="B469" s="2"/>
      <c r="C469" s="4"/>
      <c r="D469" s="4"/>
      <c r="E469" s="4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"/>
      <c r="B470" s="2"/>
      <c r="C470" s="4"/>
      <c r="D470" s="4"/>
      <c r="E470" s="4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"/>
      <c r="B471" s="2"/>
      <c r="C471" s="4"/>
      <c r="D471" s="4"/>
      <c r="E471" s="4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"/>
      <c r="B472" s="2"/>
      <c r="C472" s="4"/>
      <c r="D472" s="4"/>
      <c r="E472" s="4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"/>
      <c r="B473" s="2"/>
      <c r="C473" s="4"/>
      <c r="D473" s="4"/>
      <c r="E473" s="4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"/>
      <c r="B474" s="2"/>
      <c r="C474" s="4"/>
      <c r="D474" s="4"/>
      <c r="E474" s="4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"/>
      <c r="B475" s="2"/>
      <c r="C475" s="4"/>
      <c r="D475" s="4"/>
      <c r="E475" s="4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"/>
      <c r="B476" s="2"/>
      <c r="C476" s="4"/>
      <c r="D476" s="4"/>
      <c r="E476" s="4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"/>
      <c r="B477" s="2"/>
      <c r="C477" s="4"/>
      <c r="D477" s="4"/>
      <c r="E477" s="4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"/>
      <c r="B478" s="2"/>
      <c r="C478" s="4"/>
      <c r="D478" s="4"/>
      <c r="E478" s="4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"/>
      <c r="B479" s="2"/>
      <c r="C479" s="4"/>
      <c r="D479" s="4"/>
      <c r="E479" s="4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"/>
      <c r="B480" s="2"/>
      <c r="C480" s="4"/>
      <c r="D480" s="4"/>
      <c r="E480" s="4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"/>
      <c r="B481" s="2"/>
      <c r="C481" s="4"/>
      <c r="D481" s="4"/>
      <c r="E481" s="4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"/>
      <c r="B482" s="2"/>
      <c r="C482" s="4"/>
      <c r="D482" s="4"/>
      <c r="E482" s="4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"/>
      <c r="B483" s="2"/>
      <c r="C483" s="4"/>
      <c r="D483" s="4"/>
      <c r="E483" s="4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"/>
      <c r="B484" s="2"/>
      <c r="C484" s="4"/>
      <c r="D484" s="4"/>
      <c r="E484" s="4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"/>
      <c r="B485" s="2"/>
      <c r="C485" s="4"/>
      <c r="D485" s="4"/>
      <c r="E485" s="4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"/>
      <c r="B486" s="2"/>
      <c r="C486" s="4"/>
      <c r="D486" s="4"/>
      <c r="E486" s="4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"/>
      <c r="B487" s="2"/>
      <c r="C487" s="4"/>
      <c r="D487" s="4"/>
      <c r="E487" s="4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"/>
      <c r="B488" s="2"/>
      <c r="C488" s="4"/>
      <c r="D488" s="4"/>
      <c r="E488" s="4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"/>
      <c r="B489" s="2"/>
      <c r="C489" s="4"/>
      <c r="D489" s="4"/>
      <c r="E489" s="4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"/>
      <c r="B490" s="2"/>
      <c r="C490" s="4"/>
      <c r="D490" s="4"/>
      <c r="E490" s="4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"/>
      <c r="B491" s="2"/>
      <c r="C491" s="4"/>
      <c r="D491" s="4"/>
      <c r="E491" s="4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"/>
      <c r="B492" s="2"/>
      <c r="C492" s="4"/>
      <c r="D492" s="4"/>
      <c r="E492" s="4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"/>
      <c r="B493" s="2"/>
      <c r="C493" s="4"/>
      <c r="D493" s="4"/>
      <c r="E493" s="4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"/>
      <c r="B494" s="2"/>
      <c r="C494" s="4"/>
      <c r="D494" s="4"/>
      <c r="E494" s="4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"/>
      <c r="B495" s="2"/>
      <c r="C495" s="4"/>
      <c r="D495" s="4"/>
      <c r="E495" s="4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"/>
      <c r="B496" s="2"/>
      <c r="C496" s="4"/>
      <c r="D496" s="4"/>
      <c r="E496" s="4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"/>
      <c r="B497" s="2"/>
      <c r="C497" s="4"/>
      <c r="D497" s="4"/>
      <c r="E497" s="4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"/>
      <c r="B498" s="2"/>
      <c r="C498" s="4"/>
      <c r="D498" s="4"/>
      <c r="E498" s="4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"/>
      <c r="B499" s="2"/>
      <c r="C499" s="4"/>
      <c r="D499" s="4"/>
      <c r="E499" s="4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"/>
      <c r="B500" s="2"/>
      <c r="C500" s="4"/>
      <c r="D500" s="4"/>
      <c r="E500" s="4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"/>
      <c r="B501" s="2"/>
      <c r="C501" s="4"/>
      <c r="D501" s="4"/>
      <c r="E501" s="4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"/>
      <c r="B502" s="2"/>
      <c r="C502" s="4"/>
      <c r="D502" s="4"/>
      <c r="E502" s="4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"/>
      <c r="B503" s="2"/>
      <c r="C503" s="4"/>
      <c r="D503" s="4"/>
      <c r="E503" s="4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"/>
      <c r="B504" s="2"/>
      <c r="C504" s="4"/>
      <c r="D504" s="4"/>
      <c r="E504" s="4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"/>
      <c r="B505" s="2"/>
      <c r="C505" s="4"/>
      <c r="D505" s="4"/>
      <c r="E505" s="4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"/>
      <c r="B506" s="2"/>
      <c r="C506" s="4"/>
      <c r="D506" s="4"/>
      <c r="E506" s="4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"/>
      <c r="B507" s="2"/>
      <c r="C507" s="4"/>
      <c r="D507" s="4"/>
      <c r="E507" s="4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"/>
      <c r="B508" s="2"/>
      <c r="C508" s="4"/>
      <c r="D508" s="4"/>
      <c r="E508" s="4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"/>
      <c r="B509" s="2"/>
      <c r="C509" s="4"/>
      <c r="D509" s="4"/>
      <c r="E509" s="4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"/>
      <c r="B510" s="2"/>
      <c r="C510" s="4"/>
      <c r="D510" s="4"/>
      <c r="E510" s="4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"/>
      <c r="B511" s="2"/>
      <c r="C511" s="4"/>
      <c r="D511" s="4"/>
      <c r="E511" s="4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"/>
      <c r="B512" s="2"/>
      <c r="C512" s="4"/>
      <c r="D512" s="4"/>
      <c r="E512" s="4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"/>
      <c r="B513" s="2"/>
      <c r="C513" s="4"/>
      <c r="D513" s="4"/>
      <c r="E513" s="4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"/>
      <c r="B514" s="2"/>
      <c r="C514" s="4"/>
      <c r="D514" s="4"/>
      <c r="E514" s="4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"/>
      <c r="B515" s="2"/>
      <c r="C515" s="4"/>
      <c r="D515" s="4"/>
      <c r="E515" s="4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"/>
      <c r="B516" s="2"/>
      <c r="C516" s="4"/>
      <c r="D516" s="4"/>
      <c r="E516" s="4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"/>
      <c r="B517" s="2"/>
      <c r="C517" s="4"/>
      <c r="D517" s="4"/>
      <c r="E517" s="4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"/>
      <c r="B518" s="2"/>
      <c r="C518" s="4"/>
      <c r="D518" s="4"/>
      <c r="E518" s="4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"/>
      <c r="B519" s="2"/>
      <c r="C519" s="4"/>
      <c r="D519" s="4"/>
      <c r="E519" s="4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"/>
      <c r="B520" s="2"/>
      <c r="C520" s="4"/>
      <c r="D520" s="4"/>
      <c r="E520" s="4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"/>
      <c r="B521" s="2"/>
      <c r="C521" s="4"/>
      <c r="D521" s="4"/>
      <c r="E521" s="4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"/>
      <c r="B522" s="2"/>
      <c r="C522" s="4"/>
      <c r="D522" s="4"/>
      <c r="E522" s="4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"/>
      <c r="B523" s="2"/>
      <c r="C523" s="4"/>
      <c r="D523" s="4"/>
      <c r="E523" s="4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"/>
      <c r="B524" s="2"/>
      <c r="C524" s="4"/>
      <c r="D524" s="4"/>
      <c r="E524" s="4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"/>
      <c r="B525" s="2"/>
      <c r="C525" s="4"/>
      <c r="D525" s="4"/>
      <c r="E525" s="4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"/>
      <c r="B526" s="2"/>
      <c r="C526" s="4"/>
      <c r="D526" s="4"/>
      <c r="E526" s="4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"/>
      <c r="B527" s="2"/>
      <c r="C527" s="4"/>
      <c r="D527" s="4"/>
      <c r="E527" s="4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"/>
      <c r="B528" s="2"/>
      <c r="C528" s="4"/>
      <c r="D528" s="4"/>
      <c r="E528" s="4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"/>
      <c r="B529" s="2"/>
      <c r="C529" s="4"/>
      <c r="D529" s="4"/>
      <c r="E529" s="4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"/>
      <c r="B530" s="2"/>
      <c r="C530" s="4"/>
      <c r="D530" s="4"/>
      <c r="E530" s="4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"/>
      <c r="B531" s="2"/>
      <c r="C531" s="4"/>
      <c r="D531" s="4"/>
      <c r="E531" s="4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"/>
      <c r="B532" s="2"/>
      <c r="C532" s="4"/>
      <c r="D532" s="4"/>
      <c r="E532" s="4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"/>
      <c r="B533" s="2"/>
      <c r="C533" s="4"/>
      <c r="D533" s="4"/>
      <c r="E533" s="4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"/>
      <c r="B534" s="2"/>
      <c r="C534" s="4"/>
      <c r="D534" s="4"/>
      <c r="E534" s="4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"/>
      <c r="B535" s="2"/>
      <c r="C535" s="4"/>
      <c r="D535" s="4"/>
      <c r="E535" s="4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"/>
      <c r="B536" s="2"/>
      <c r="C536" s="4"/>
      <c r="D536" s="4"/>
      <c r="E536" s="4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"/>
      <c r="B537" s="2"/>
      <c r="C537" s="4"/>
      <c r="D537" s="4"/>
      <c r="E537" s="4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"/>
      <c r="B538" s="2"/>
      <c r="C538" s="4"/>
      <c r="D538" s="4"/>
      <c r="E538" s="4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"/>
      <c r="B539" s="2"/>
      <c r="C539" s="4"/>
      <c r="D539" s="4"/>
      <c r="E539" s="4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"/>
      <c r="B540" s="2"/>
      <c r="C540" s="4"/>
      <c r="D540" s="4"/>
      <c r="E540" s="4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"/>
      <c r="B541" s="2"/>
      <c r="C541" s="4"/>
      <c r="D541" s="4"/>
      <c r="E541" s="4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"/>
      <c r="B542" s="2"/>
      <c r="C542" s="4"/>
      <c r="D542" s="4"/>
      <c r="E542" s="4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"/>
      <c r="B543" s="2"/>
      <c r="C543" s="4"/>
      <c r="D543" s="4"/>
      <c r="E543" s="4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"/>
      <c r="B544" s="2"/>
      <c r="C544" s="4"/>
      <c r="D544" s="4"/>
      <c r="E544" s="4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"/>
      <c r="B545" s="2"/>
      <c r="C545" s="4"/>
      <c r="D545" s="4"/>
      <c r="E545" s="4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"/>
      <c r="B546" s="2"/>
      <c r="C546" s="4"/>
      <c r="D546" s="4"/>
      <c r="E546" s="4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"/>
      <c r="B547" s="2"/>
      <c r="C547" s="4"/>
      <c r="D547" s="4"/>
      <c r="E547" s="4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"/>
      <c r="B548" s="2"/>
      <c r="C548" s="4"/>
      <c r="D548" s="4"/>
      <c r="E548" s="4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"/>
      <c r="B549" s="2"/>
      <c r="C549" s="4"/>
      <c r="D549" s="4"/>
      <c r="E549" s="4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"/>
      <c r="B550" s="2"/>
      <c r="C550" s="4"/>
      <c r="D550" s="4"/>
      <c r="E550" s="4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"/>
      <c r="B551" s="2"/>
      <c r="C551" s="4"/>
      <c r="D551" s="4"/>
      <c r="E551" s="4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"/>
      <c r="B552" s="2"/>
      <c r="C552" s="4"/>
      <c r="D552" s="4"/>
      <c r="E552" s="4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"/>
      <c r="B553" s="2"/>
      <c r="C553" s="4"/>
      <c r="D553" s="4"/>
      <c r="E553" s="4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"/>
      <c r="B554" s="2"/>
      <c r="C554" s="4"/>
      <c r="D554" s="4"/>
      <c r="E554" s="4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"/>
      <c r="B555" s="2"/>
      <c r="C555" s="4"/>
      <c r="D555" s="4"/>
      <c r="E555" s="4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"/>
      <c r="B556" s="2"/>
      <c r="C556" s="4"/>
      <c r="D556" s="4"/>
      <c r="E556" s="4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"/>
      <c r="B557" s="2"/>
      <c r="C557" s="4"/>
      <c r="D557" s="4"/>
      <c r="E557" s="4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"/>
      <c r="B558" s="2"/>
      <c r="C558" s="4"/>
      <c r="D558" s="4"/>
      <c r="E558" s="4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"/>
      <c r="B559" s="2"/>
      <c r="C559" s="4"/>
      <c r="D559" s="4"/>
      <c r="E559" s="4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"/>
      <c r="B560" s="2"/>
      <c r="C560" s="4"/>
      <c r="D560" s="4"/>
      <c r="E560" s="4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"/>
      <c r="B561" s="2"/>
      <c r="C561" s="4"/>
      <c r="D561" s="4"/>
      <c r="E561" s="4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"/>
      <c r="B562" s="2"/>
      <c r="C562" s="4"/>
      <c r="D562" s="4"/>
      <c r="E562" s="4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"/>
      <c r="B563" s="2"/>
      <c r="C563" s="4"/>
      <c r="D563" s="4"/>
      <c r="E563" s="4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"/>
      <c r="B564" s="2"/>
      <c r="C564" s="4"/>
      <c r="D564" s="4"/>
      <c r="E564" s="4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"/>
      <c r="B565" s="2"/>
      <c r="C565" s="4"/>
      <c r="D565" s="4"/>
      <c r="E565" s="4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"/>
      <c r="B566" s="2"/>
      <c r="C566" s="4"/>
      <c r="D566" s="4"/>
      <c r="E566" s="4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"/>
      <c r="B567" s="2"/>
      <c r="C567" s="4"/>
      <c r="D567" s="4"/>
      <c r="E567" s="4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"/>
      <c r="B568" s="2"/>
      <c r="C568" s="4"/>
      <c r="D568" s="4"/>
      <c r="E568" s="4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"/>
      <c r="B569" s="2"/>
      <c r="C569" s="4"/>
      <c r="D569" s="4"/>
      <c r="E569" s="4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"/>
      <c r="B570" s="2"/>
      <c r="C570" s="4"/>
      <c r="D570" s="4"/>
      <c r="E570" s="4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"/>
      <c r="B571" s="2"/>
      <c r="C571" s="4"/>
      <c r="D571" s="4"/>
      <c r="E571" s="4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"/>
      <c r="B572" s="2"/>
      <c r="C572" s="4"/>
      <c r="D572" s="4"/>
      <c r="E572" s="4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"/>
      <c r="B573" s="2"/>
      <c r="C573" s="4"/>
      <c r="D573" s="4"/>
      <c r="E573" s="4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"/>
      <c r="B574" s="2"/>
      <c r="C574" s="4"/>
      <c r="D574" s="4"/>
      <c r="E574" s="4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"/>
      <c r="B575" s="2"/>
      <c r="C575" s="4"/>
      <c r="D575" s="4"/>
      <c r="E575" s="4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"/>
      <c r="B576" s="2"/>
      <c r="C576" s="4"/>
      <c r="D576" s="4"/>
      <c r="E576" s="4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"/>
      <c r="B577" s="2"/>
      <c r="C577" s="4"/>
      <c r="D577" s="4"/>
      <c r="E577" s="4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2"/>
      <c r="B578" s="2"/>
      <c r="C578" s="4"/>
      <c r="D578" s="4"/>
      <c r="E578" s="4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2"/>
      <c r="B579" s="2"/>
      <c r="C579" s="4"/>
      <c r="D579" s="4"/>
      <c r="E579" s="4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2"/>
      <c r="B580" s="2"/>
      <c r="C580" s="4"/>
      <c r="D580" s="4"/>
      <c r="E580" s="4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2"/>
      <c r="B581" s="2"/>
      <c r="C581" s="4"/>
      <c r="D581" s="4"/>
      <c r="E581" s="4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2"/>
      <c r="B582" s="2"/>
      <c r="C582" s="4"/>
      <c r="D582" s="4"/>
      <c r="E582" s="4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2"/>
      <c r="B583" s="2"/>
      <c r="C583" s="4"/>
      <c r="D583" s="4"/>
      <c r="E583" s="4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2"/>
      <c r="B584" s="2"/>
      <c r="C584" s="4"/>
      <c r="D584" s="4"/>
      <c r="E584" s="4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2"/>
      <c r="B585" s="2"/>
      <c r="C585" s="4"/>
      <c r="D585" s="4"/>
      <c r="E585" s="4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2"/>
      <c r="B586" s="2"/>
      <c r="C586" s="4"/>
      <c r="D586" s="4"/>
      <c r="E586" s="4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2"/>
      <c r="B587" s="2"/>
      <c r="C587" s="4"/>
      <c r="D587" s="4"/>
      <c r="E587" s="4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2"/>
      <c r="B588" s="2"/>
      <c r="C588" s="4"/>
      <c r="D588" s="4"/>
      <c r="E588" s="4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2"/>
      <c r="B589" s="2"/>
      <c r="C589" s="4"/>
      <c r="D589" s="4"/>
      <c r="E589" s="4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2"/>
      <c r="B590" s="2"/>
      <c r="C590" s="4"/>
      <c r="D590" s="4"/>
      <c r="E590" s="4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2"/>
      <c r="B591" s="2"/>
      <c r="C591" s="4"/>
      <c r="D591" s="4"/>
      <c r="E591" s="4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2"/>
      <c r="B592" s="2"/>
      <c r="C592" s="4"/>
      <c r="D592" s="4"/>
      <c r="E592" s="4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2"/>
      <c r="B593" s="2"/>
      <c r="C593" s="4"/>
      <c r="D593" s="4"/>
      <c r="E593" s="4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2"/>
      <c r="B594" s="2"/>
      <c r="C594" s="4"/>
      <c r="D594" s="4"/>
      <c r="E594" s="4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2"/>
      <c r="B595" s="2"/>
      <c r="C595" s="4"/>
      <c r="D595" s="4"/>
      <c r="E595" s="4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2"/>
      <c r="B596" s="2"/>
      <c r="C596" s="4"/>
      <c r="D596" s="4"/>
      <c r="E596" s="4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2"/>
      <c r="B597" s="2"/>
      <c r="C597" s="4"/>
      <c r="D597" s="4"/>
      <c r="E597" s="4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2"/>
      <c r="B598" s="2"/>
      <c r="C598" s="4"/>
      <c r="D598" s="4"/>
      <c r="E598" s="4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2"/>
      <c r="B599" s="2"/>
      <c r="C599" s="4"/>
      <c r="D599" s="4"/>
      <c r="E599" s="4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2"/>
      <c r="B600" s="2"/>
      <c r="C600" s="4"/>
      <c r="D600" s="4"/>
      <c r="E600" s="4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2"/>
      <c r="B601" s="2"/>
      <c r="C601" s="4"/>
      <c r="D601" s="4"/>
      <c r="E601" s="4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2"/>
      <c r="B602" s="2"/>
      <c r="C602" s="4"/>
      <c r="D602" s="4"/>
      <c r="E602" s="4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2"/>
      <c r="B603" s="2"/>
      <c r="C603" s="4"/>
      <c r="D603" s="4"/>
      <c r="E603" s="4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2"/>
      <c r="B604" s="2"/>
      <c r="C604" s="4"/>
      <c r="D604" s="4"/>
      <c r="E604" s="4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2"/>
      <c r="B605" s="2"/>
      <c r="C605" s="4"/>
      <c r="D605" s="4"/>
      <c r="E605" s="4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2"/>
      <c r="B606" s="2"/>
      <c r="C606" s="4"/>
      <c r="D606" s="4"/>
      <c r="E606" s="4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2"/>
      <c r="B607" s="2"/>
      <c r="C607" s="4"/>
      <c r="D607" s="4"/>
      <c r="E607" s="4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2"/>
      <c r="B608" s="2"/>
      <c r="C608" s="4"/>
      <c r="D608" s="4"/>
      <c r="E608" s="4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2"/>
      <c r="B609" s="2"/>
      <c r="C609" s="4"/>
      <c r="D609" s="4"/>
      <c r="E609" s="4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2"/>
      <c r="B610" s="2"/>
      <c r="C610" s="4"/>
      <c r="D610" s="4"/>
      <c r="E610" s="4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2"/>
      <c r="B611" s="2"/>
      <c r="C611" s="4"/>
      <c r="D611" s="4"/>
      <c r="E611" s="4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2"/>
      <c r="B612" s="2"/>
      <c r="C612" s="4"/>
      <c r="D612" s="4"/>
      <c r="E612" s="4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2"/>
      <c r="B613" s="2"/>
      <c r="C613" s="4"/>
      <c r="D613" s="4"/>
      <c r="E613" s="4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2"/>
      <c r="B614" s="2"/>
      <c r="C614" s="4"/>
      <c r="D614" s="4"/>
      <c r="E614" s="4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2"/>
      <c r="B615" s="2"/>
      <c r="C615" s="4"/>
      <c r="D615" s="4"/>
      <c r="E615" s="4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2"/>
      <c r="B616" s="2"/>
      <c r="C616" s="4"/>
      <c r="D616" s="4"/>
      <c r="E616" s="4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2"/>
      <c r="B617" s="2"/>
      <c r="C617" s="4"/>
      <c r="D617" s="4"/>
      <c r="E617" s="4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2"/>
      <c r="B618" s="2"/>
      <c r="C618" s="4"/>
      <c r="D618" s="4"/>
      <c r="E618" s="4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2"/>
      <c r="B619" s="2"/>
      <c r="C619" s="4"/>
      <c r="D619" s="4"/>
      <c r="E619" s="4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2"/>
      <c r="B620" s="2"/>
      <c r="C620" s="4"/>
      <c r="D620" s="4"/>
      <c r="E620" s="4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2"/>
      <c r="B621" s="2"/>
      <c r="C621" s="4"/>
      <c r="D621" s="4"/>
      <c r="E621" s="4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2"/>
      <c r="B622" s="2"/>
      <c r="C622" s="4"/>
      <c r="D622" s="4"/>
      <c r="E622" s="4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2"/>
      <c r="B623" s="2"/>
      <c r="C623" s="4"/>
      <c r="D623" s="4"/>
      <c r="E623" s="4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2"/>
      <c r="B624" s="2"/>
      <c r="C624" s="4"/>
      <c r="D624" s="4"/>
      <c r="E624" s="4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2"/>
      <c r="B625" s="2"/>
      <c r="C625" s="4"/>
      <c r="D625" s="4"/>
      <c r="E625" s="4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2"/>
      <c r="B626" s="2"/>
      <c r="C626" s="4"/>
      <c r="D626" s="4"/>
      <c r="E626" s="4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2"/>
      <c r="B627" s="2"/>
      <c r="C627" s="4"/>
      <c r="D627" s="4"/>
      <c r="E627" s="4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2"/>
      <c r="B628" s="2"/>
      <c r="C628" s="4"/>
      <c r="D628" s="4"/>
      <c r="E628" s="4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2"/>
      <c r="B629" s="2"/>
      <c r="C629" s="4"/>
      <c r="D629" s="4"/>
      <c r="E629" s="4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2"/>
      <c r="B630" s="2"/>
      <c r="C630" s="4"/>
      <c r="D630" s="4"/>
      <c r="E630" s="4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2"/>
      <c r="B631" s="2"/>
      <c r="C631" s="4"/>
      <c r="D631" s="4"/>
      <c r="E631" s="4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2"/>
      <c r="B632" s="2"/>
      <c r="C632" s="4"/>
      <c r="D632" s="4"/>
      <c r="E632" s="4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2"/>
      <c r="B633" s="2"/>
      <c r="C633" s="4"/>
      <c r="D633" s="4"/>
      <c r="E633" s="4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2"/>
      <c r="B634" s="2"/>
      <c r="C634" s="4"/>
      <c r="D634" s="4"/>
      <c r="E634" s="4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2"/>
      <c r="B635" s="2"/>
      <c r="C635" s="4"/>
      <c r="D635" s="4"/>
      <c r="E635" s="4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2"/>
      <c r="B636" s="2"/>
      <c r="C636" s="4"/>
      <c r="D636" s="4"/>
      <c r="E636" s="4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2"/>
      <c r="B637" s="2"/>
      <c r="C637" s="4"/>
      <c r="D637" s="4"/>
      <c r="E637" s="4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2"/>
      <c r="B638" s="2"/>
      <c r="C638" s="4"/>
      <c r="D638" s="4"/>
      <c r="E638" s="4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2"/>
      <c r="B639" s="2"/>
      <c r="C639" s="4"/>
      <c r="D639" s="4"/>
      <c r="E639" s="4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2"/>
      <c r="B640" s="2"/>
      <c r="C640" s="4"/>
      <c r="D640" s="4"/>
      <c r="E640" s="4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2"/>
      <c r="B641" s="2"/>
      <c r="C641" s="4"/>
      <c r="D641" s="4"/>
      <c r="E641" s="4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2"/>
      <c r="B642" s="2"/>
      <c r="C642" s="4"/>
      <c r="D642" s="4"/>
      <c r="E642" s="4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2"/>
      <c r="B643" s="2"/>
      <c r="C643" s="4"/>
      <c r="D643" s="4"/>
      <c r="E643" s="4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2"/>
      <c r="B644" s="2"/>
      <c r="C644" s="4"/>
      <c r="D644" s="4"/>
      <c r="E644" s="4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2"/>
      <c r="B645" s="2"/>
      <c r="C645" s="4"/>
      <c r="D645" s="4"/>
      <c r="E645" s="4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2"/>
      <c r="B646" s="2"/>
      <c r="C646" s="4"/>
      <c r="D646" s="4"/>
      <c r="E646" s="4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2"/>
      <c r="B647" s="2"/>
      <c r="C647" s="4"/>
      <c r="D647" s="4"/>
      <c r="E647" s="4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2"/>
      <c r="B648" s="2"/>
      <c r="C648" s="4"/>
      <c r="D648" s="4"/>
      <c r="E648" s="4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2"/>
      <c r="B649" s="2"/>
      <c r="C649" s="4"/>
      <c r="D649" s="4"/>
      <c r="E649" s="4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2"/>
      <c r="B650" s="2"/>
      <c r="C650" s="4"/>
      <c r="D650" s="4"/>
      <c r="E650" s="4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2"/>
      <c r="B651" s="2"/>
      <c r="C651" s="4"/>
      <c r="D651" s="4"/>
      <c r="E651" s="4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2"/>
      <c r="B652" s="2"/>
      <c r="C652" s="4"/>
      <c r="D652" s="4"/>
      <c r="E652" s="4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2"/>
      <c r="B653" s="2"/>
      <c r="C653" s="4"/>
      <c r="D653" s="4"/>
      <c r="E653" s="4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2"/>
      <c r="B654" s="2"/>
      <c r="C654" s="4"/>
      <c r="D654" s="4"/>
      <c r="E654" s="4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2"/>
      <c r="B655" s="2"/>
      <c r="C655" s="4"/>
      <c r="D655" s="4"/>
      <c r="E655" s="4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2"/>
      <c r="B656" s="2"/>
      <c r="C656" s="4"/>
      <c r="D656" s="4"/>
      <c r="E656" s="4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2"/>
      <c r="B657" s="2"/>
      <c r="C657" s="4"/>
      <c r="D657" s="4"/>
      <c r="E657" s="4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2"/>
      <c r="B658" s="2"/>
      <c r="C658" s="4"/>
      <c r="D658" s="4"/>
      <c r="E658" s="4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2"/>
      <c r="B659" s="2"/>
      <c r="C659" s="4"/>
      <c r="D659" s="4"/>
      <c r="E659" s="4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2"/>
      <c r="B660" s="2"/>
      <c r="C660" s="4"/>
      <c r="D660" s="4"/>
      <c r="E660" s="4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2"/>
      <c r="B661" s="2"/>
      <c r="C661" s="4"/>
      <c r="D661" s="4"/>
      <c r="E661" s="4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2"/>
      <c r="B662" s="2"/>
      <c r="C662" s="4"/>
      <c r="D662" s="4"/>
      <c r="E662" s="4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2"/>
      <c r="B663" s="2"/>
      <c r="C663" s="4"/>
      <c r="D663" s="4"/>
      <c r="E663" s="4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2"/>
      <c r="B664" s="2"/>
      <c r="C664" s="4"/>
      <c r="D664" s="4"/>
      <c r="E664" s="4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2"/>
      <c r="B665" s="2"/>
      <c r="C665" s="4"/>
      <c r="D665" s="4"/>
      <c r="E665" s="4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2"/>
      <c r="B666" s="2"/>
      <c r="C666" s="4"/>
      <c r="D666" s="4"/>
      <c r="E666" s="4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2"/>
      <c r="B667" s="2"/>
      <c r="C667" s="4"/>
      <c r="D667" s="4"/>
      <c r="E667" s="4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2"/>
      <c r="B668" s="2"/>
      <c r="C668" s="4"/>
      <c r="D668" s="4"/>
      <c r="E668" s="4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2"/>
      <c r="B669" s="2"/>
      <c r="C669" s="4"/>
      <c r="D669" s="4"/>
      <c r="E669" s="4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2"/>
      <c r="B670" s="2"/>
      <c r="C670" s="4"/>
      <c r="D670" s="4"/>
      <c r="E670" s="4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2"/>
      <c r="B671" s="2"/>
      <c r="C671" s="4"/>
      <c r="D671" s="4"/>
      <c r="E671" s="4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2"/>
      <c r="B672" s="2"/>
      <c r="C672" s="4"/>
      <c r="D672" s="4"/>
      <c r="E672" s="4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2"/>
      <c r="B673" s="2"/>
      <c r="C673" s="4"/>
      <c r="D673" s="4"/>
      <c r="E673" s="4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2"/>
      <c r="B674" s="2"/>
      <c r="C674" s="4"/>
      <c r="D674" s="4"/>
      <c r="E674" s="4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2"/>
      <c r="B675" s="2"/>
      <c r="C675" s="4"/>
      <c r="D675" s="4"/>
      <c r="E675" s="4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2"/>
      <c r="B676" s="2"/>
      <c r="C676" s="4"/>
      <c r="D676" s="4"/>
      <c r="E676" s="4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2"/>
      <c r="B677" s="2"/>
      <c r="C677" s="4"/>
      <c r="D677" s="4"/>
      <c r="E677" s="4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2"/>
      <c r="B678" s="2"/>
      <c r="C678" s="4"/>
      <c r="D678" s="4"/>
      <c r="E678" s="4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2"/>
      <c r="B679" s="2"/>
      <c r="C679" s="4"/>
      <c r="D679" s="4"/>
      <c r="E679" s="4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2"/>
      <c r="B680" s="2"/>
      <c r="C680" s="4"/>
      <c r="D680" s="4"/>
      <c r="E680" s="4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2"/>
      <c r="B681" s="2"/>
      <c r="C681" s="4"/>
      <c r="D681" s="4"/>
      <c r="E681" s="4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2"/>
      <c r="B682" s="2"/>
      <c r="C682" s="4"/>
      <c r="D682" s="4"/>
      <c r="E682" s="4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2"/>
      <c r="B683" s="2"/>
      <c r="C683" s="4"/>
      <c r="D683" s="4"/>
      <c r="E683" s="4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2"/>
      <c r="B684" s="2"/>
      <c r="C684" s="4"/>
      <c r="D684" s="4"/>
      <c r="E684" s="4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2"/>
      <c r="B685" s="2"/>
      <c r="C685" s="4"/>
      <c r="D685" s="4"/>
      <c r="E685" s="4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2"/>
      <c r="B686" s="2"/>
      <c r="C686" s="4"/>
      <c r="D686" s="4"/>
      <c r="E686" s="4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2"/>
      <c r="B687" s="2"/>
      <c r="C687" s="4"/>
      <c r="D687" s="4"/>
      <c r="E687" s="4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2"/>
      <c r="B688" s="2"/>
      <c r="C688" s="4"/>
      <c r="D688" s="4"/>
      <c r="E688" s="4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2"/>
      <c r="B689" s="2"/>
      <c r="C689" s="4"/>
      <c r="D689" s="4"/>
      <c r="E689" s="4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2"/>
      <c r="B690" s="2"/>
      <c r="C690" s="4"/>
      <c r="D690" s="4"/>
      <c r="E690" s="4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2"/>
      <c r="B691" s="2"/>
      <c r="C691" s="4"/>
      <c r="D691" s="4"/>
      <c r="E691" s="4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2"/>
      <c r="B692" s="2"/>
      <c r="C692" s="4"/>
      <c r="D692" s="4"/>
      <c r="E692" s="4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2"/>
      <c r="B693" s="2"/>
      <c r="C693" s="4"/>
      <c r="D693" s="4"/>
      <c r="E693" s="4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2"/>
      <c r="B694" s="2"/>
      <c r="C694" s="4"/>
      <c r="D694" s="4"/>
      <c r="E694" s="4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2"/>
      <c r="B695" s="2"/>
      <c r="C695" s="4"/>
      <c r="D695" s="4"/>
      <c r="E695" s="4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2"/>
      <c r="B696" s="2"/>
      <c r="C696" s="4"/>
      <c r="D696" s="4"/>
      <c r="E696" s="4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2"/>
      <c r="B697" s="2"/>
      <c r="C697" s="4"/>
      <c r="D697" s="4"/>
      <c r="E697" s="4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2"/>
      <c r="B698" s="2"/>
      <c r="C698" s="4"/>
      <c r="D698" s="4"/>
      <c r="E698" s="4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2"/>
      <c r="B699" s="2"/>
      <c r="C699" s="4"/>
      <c r="D699" s="4"/>
      <c r="E699" s="4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2"/>
      <c r="B700" s="2"/>
      <c r="C700" s="4"/>
      <c r="D700" s="4"/>
      <c r="E700" s="4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2"/>
      <c r="B701" s="2"/>
      <c r="C701" s="4"/>
      <c r="D701" s="4"/>
      <c r="E701" s="4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2"/>
      <c r="B702" s="2"/>
      <c r="C702" s="4"/>
      <c r="D702" s="4"/>
      <c r="E702" s="4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2"/>
      <c r="B703" s="2"/>
      <c r="C703" s="4"/>
      <c r="D703" s="4"/>
      <c r="E703" s="4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2"/>
      <c r="B704" s="2"/>
      <c r="C704" s="4"/>
      <c r="D704" s="4"/>
      <c r="E704" s="4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2"/>
      <c r="B705" s="2"/>
      <c r="C705" s="4"/>
      <c r="D705" s="4"/>
      <c r="E705" s="4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2"/>
      <c r="B706" s="2"/>
      <c r="C706" s="4"/>
      <c r="D706" s="4"/>
      <c r="E706" s="4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2"/>
      <c r="B707" s="2"/>
      <c r="C707" s="4"/>
      <c r="D707" s="4"/>
      <c r="E707" s="4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2"/>
      <c r="B708" s="2"/>
      <c r="C708" s="4"/>
      <c r="D708" s="4"/>
      <c r="E708" s="4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2"/>
      <c r="B709" s="2"/>
      <c r="C709" s="4"/>
      <c r="D709" s="4"/>
      <c r="E709" s="4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2"/>
      <c r="B710" s="2"/>
      <c r="C710" s="4"/>
      <c r="D710" s="4"/>
      <c r="E710" s="4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2"/>
      <c r="B711" s="2"/>
      <c r="C711" s="4"/>
      <c r="D711" s="4"/>
      <c r="E711" s="4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2"/>
      <c r="B712" s="2"/>
      <c r="C712" s="4"/>
      <c r="D712" s="4"/>
      <c r="E712" s="4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2"/>
      <c r="B713" s="2"/>
      <c r="C713" s="4"/>
      <c r="D713" s="4"/>
      <c r="E713" s="4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2"/>
      <c r="B714" s="2"/>
      <c r="C714" s="4"/>
      <c r="D714" s="4"/>
      <c r="E714" s="4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2"/>
      <c r="B715" s="2"/>
      <c r="C715" s="4"/>
      <c r="D715" s="4"/>
      <c r="E715" s="4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2"/>
      <c r="B716" s="2"/>
      <c r="C716" s="4"/>
      <c r="D716" s="4"/>
      <c r="E716" s="4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2"/>
      <c r="B717" s="2"/>
      <c r="C717" s="4"/>
      <c r="D717" s="4"/>
      <c r="E717" s="4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2"/>
      <c r="B718" s="2"/>
      <c r="C718" s="4"/>
      <c r="D718" s="4"/>
      <c r="E718" s="4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2"/>
      <c r="B719" s="2"/>
      <c r="C719" s="4"/>
      <c r="D719" s="4"/>
      <c r="E719" s="4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2"/>
      <c r="B720" s="2"/>
      <c r="C720" s="4"/>
      <c r="D720" s="4"/>
      <c r="E720" s="4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2"/>
      <c r="B721" s="2"/>
      <c r="C721" s="4"/>
      <c r="D721" s="4"/>
      <c r="E721" s="4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2"/>
      <c r="B722" s="2"/>
      <c r="C722" s="4"/>
      <c r="D722" s="4"/>
      <c r="E722" s="4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2"/>
      <c r="B723" s="2"/>
      <c r="C723" s="4"/>
      <c r="D723" s="4"/>
      <c r="E723" s="4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2"/>
      <c r="B724" s="2"/>
      <c r="C724" s="4"/>
      <c r="D724" s="4"/>
      <c r="E724" s="4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2"/>
      <c r="B725" s="2"/>
      <c r="C725" s="4"/>
      <c r="D725" s="4"/>
      <c r="E725" s="4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2"/>
      <c r="B726" s="2"/>
      <c r="C726" s="4"/>
      <c r="D726" s="4"/>
      <c r="E726" s="4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2"/>
      <c r="B727" s="2"/>
      <c r="C727" s="4"/>
      <c r="D727" s="4"/>
      <c r="E727" s="4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2"/>
      <c r="B728" s="2"/>
      <c r="C728" s="4"/>
      <c r="D728" s="4"/>
      <c r="E728" s="4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2"/>
      <c r="B729" s="2"/>
      <c r="C729" s="4"/>
      <c r="D729" s="4"/>
      <c r="E729" s="4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2"/>
      <c r="B730" s="2"/>
      <c r="C730" s="4"/>
      <c r="D730" s="4"/>
      <c r="E730" s="4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2"/>
      <c r="B731" s="2"/>
      <c r="C731" s="4"/>
      <c r="D731" s="4"/>
      <c r="E731" s="4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2"/>
      <c r="B732" s="2"/>
      <c r="C732" s="4"/>
      <c r="D732" s="4"/>
      <c r="E732" s="4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2"/>
      <c r="B733" s="2"/>
      <c r="C733" s="4"/>
      <c r="D733" s="4"/>
      <c r="E733" s="4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2"/>
      <c r="B734" s="2"/>
      <c r="C734" s="4"/>
      <c r="D734" s="4"/>
      <c r="E734" s="4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2"/>
      <c r="B735" s="2"/>
      <c r="C735" s="4"/>
      <c r="D735" s="4"/>
      <c r="E735" s="4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2"/>
      <c r="B736" s="2"/>
      <c r="C736" s="4"/>
      <c r="D736" s="4"/>
      <c r="E736" s="4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2"/>
      <c r="B737" s="2"/>
      <c r="C737" s="4"/>
      <c r="D737" s="4"/>
      <c r="E737" s="4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2"/>
      <c r="B738" s="2"/>
      <c r="C738" s="4"/>
      <c r="D738" s="4"/>
      <c r="E738" s="4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2"/>
      <c r="B739" s="2"/>
      <c r="C739" s="4"/>
      <c r="D739" s="4"/>
      <c r="E739" s="4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2"/>
      <c r="B740" s="2"/>
      <c r="C740" s="4"/>
      <c r="D740" s="4"/>
      <c r="E740" s="4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2"/>
      <c r="B741" s="2"/>
      <c r="C741" s="4"/>
      <c r="D741" s="4"/>
      <c r="E741" s="4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2"/>
      <c r="B742" s="2"/>
      <c r="C742" s="4"/>
      <c r="D742" s="4"/>
      <c r="E742" s="4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>
      <c r="A743" s="2"/>
      <c r="B743" s="2"/>
      <c r="C743" s="4"/>
      <c r="D743" s="4"/>
      <c r="E743" s="4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>
      <c r="A744" s="2"/>
      <c r="B744" s="2"/>
      <c r="C744" s="4"/>
      <c r="D744" s="4"/>
      <c r="E744" s="4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>
      <c r="A745" s="2"/>
      <c r="B745" s="2"/>
      <c r="C745" s="4"/>
      <c r="D745" s="4"/>
      <c r="E745" s="4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>
      <c r="A746" s="2"/>
      <c r="B746" s="2"/>
      <c r="C746" s="4"/>
      <c r="D746" s="4"/>
      <c r="E746" s="4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>
      <c r="A747" s="2"/>
      <c r="B747" s="2"/>
      <c r="C747" s="4"/>
      <c r="D747" s="4"/>
      <c r="E747" s="4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>
      <c r="A748" s="2"/>
      <c r="B748" s="2"/>
      <c r="C748" s="4"/>
      <c r="D748" s="4"/>
      <c r="E748" s="4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>
      <c r="A749" s="2"/>
      <c r="B749" s="2"/>
      <c r="C749" s="4"/>
      <c r="D749" s="4"/>
      <c r="E749" s="4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>
      <c r="A750" s="2"/>
      <c r="B750" s="2"/>
      <c r="C750" s="4"/>
      <c r="D750" s="4"/>
      <c r="E750" s="4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>
      <c r="A751" s="2"/>
      <c r="B751" s="2"/>
      <c r="C751" s="4"/>
      <c r="D751" s="4"/>
      <c r="E751" s="4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>
      <c r="A752" s="2"/>
      <c r="B752" s="2"/>
      <c r="C752" s="4"/>
      <c r="D752" s="4"/>
      <c r="E752" s="4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>
      <c r="A753" s="2"/>
      <c r="B753" s="2"/>
      <c r="C753" s="4"/>
      <c r="D753" s="4"/>
      <c r="E753" s="4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>
      <c r="A754" s="2"/>
      <c r="B754" s="2"/>
      <c r="C754" s="4"/>
      <c r="D754" s="4"/>
      <c r="E754" s="4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>
      <c r="A755" s="2"/>
      <c r="B755" s="2"/>
      <c r="C755" s="4"/>
      <c r="D755" s="4"/>
      <c r="E755" s="4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>
      <c r="A756" s="2"/>
      <c r="B756" s="2"/>
      <c r="C756" s="4"/>
      <c r="D756" s="4"/>
      <c r="E756" s="4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>
      <c r="A757" s="2"/>
      <c r="B757" s="2"/>
      <c r="C757" s="4"/>
      <c r="D757" s="4"/>
      <c r="E757" s="4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>
      <c r="A758" s="2"/>
      <c r="B758" s="2"/>
      <c r="C758" s="4"/>
      <c r="D758" s="4"/>
      <c r="E758" s="4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>
      <c r="A759" s="2"/>
      <c r="B759" s="2"/>
      <c r="C759" s="4"/>
      <c r="D759" s="4"/>
      <c r="E759" s="4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>
      <c r="A760" s="2"/>
      <c r="B760" s="2"/>
      <c r="C760" s="4"/>
      <c r="D760" s="4"/>
      <c r="E760" s="4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>
      <c r="A761" s="2"/>
      <c r="B761" s="2"/>
      <c r="C761" s="4"/>
      <c r="D761" s="4"/>
      <c r="E761" s="4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>
      <c r="A762" s="2"/>
      <c r="B762" s="2"/>
      <c r="C762" s="4"/>
      <c r="D762" s="4"/>
      <c r="E762" s="4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>
      <c r="A763" s="2"/>
      <c r="B763" s="2"/>
      <c r="C763" s="4"/>
      <c r="D763" s="4"/>
      <c r="E763" s="4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>
      <c r="A764" s="2"/>
      <c r="B764" s="2"/>
      <c r="C764" s="4"/>
      <c r="D764" s="4"/>
      <c r="E764" s="4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>
      <c r="A765" s="2"/>
      <c r="B765" s="2"/>
      <c r="C765" s="4"/>
      <c r="D765" s="4"/>
      <c r="E765" s="4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>
      <c r="A766" s="2"/>
      <c r="B766" s="2"/>
      <c r="C766" s="4"/>
      <c r="D766" s="4"/>
      <c r="E766" s="4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>
      <c r="A767" s="2"/>
      <c r="B767" s="2"/>
      <c r="C767" s="4"/>
      <c r="D767" s="4"/>
      <c r="E767" s="4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>
      <c r="A768" s="2"/>
      <c r="B768" s="2"/>
      <c r="C768" s="4"/>
      <c r="D768" s="4"/>
      <c r="E768" s="4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>
      <c r="A769" s="2"/>
      <c r="B769" s="2"/>
      <c r="C769" s="4"/>
      <c r="D769" s="4"/>
      <c r="E769" s="4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>
      <c r="A770" s="2"/>
      <c r="B770" s="2"/>
      <c r="C770" s="4"/>
      <c r="D770" s="4"/>
      <c r="E770" s="4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>
      <c r="A771" s="2"/>
      <c r="B771" s="2"/>
      <c r="C771" s="4"/>
      <c r="D771" s="4"/>
      <c r="E771" s="4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>
      <c r="A772" s="2"/>
      <c r="B772" s="2"/>
      <c r="C772" s="4"/>
      <c r="D772" s="4"/>
      <c r="E772" s="4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>
      <c r="A773" s="2"/>
      <c r="B773" s="2"/>
      <c r="C773" s="4"/>
      <c r="D773" s="4"/>
      <c r="E773" s="4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>
      <c r="A774" s="2"/>
      <c r="B774" s="2"/>
      <c r="C774" s="4"/>
      <c r="D774" s="4"/>
      <c r="E774" s="4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>
      <c r="A775" s="2"/>
      <c r="B775" s="2"/>
      <c r="C775" s="4"/>
      <c r="D775" s="4"/>
      <c r="E775" s="4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>
      <c r="A776" s="2"/>
      <c r="B776" s="2"/>
      <c r="C776" s="4"/>
      <c r="D776" s="4"/>
      <c r="E776" s="4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>
      <c r="A777" s="2"/>
      <c r="B777" s="2"/>
      <c r="C777" s="4"/>
      <c r="D777" s="4"/>
      <c r="E777" s="4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>
      <c r="A778" s="2"/>
      <c r="B778" s="2"/>
      <c r="C778" s="4"/>
      <c r="D778" s="4"/>
      <c r="E778" s="4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>
      <c r="A779" s="2"/>
      <c r="B779" s="2"/>
      <c r="C779" s="4"/>
      <c r="D779" s="4"/>
      <c r="E779" s="4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>
      <c r="A780" s="2"/>
      <c r="B780" s="2"/>
      <c r="C780" s="4"/>
      <c r="D780" s="4"/>
      <c r="E780" s="4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>
      <c r="A781" s="2"/>
      <c r="B781" s="2"/>
      <c r="C781" s="4"/>
      <c r="D781" s="4"/>
      <c r="E781" s="4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>
      <c r="A782" s="2"/>
      <c r="B782" s="2"/>
      <c r="C782" s="4"/>
      <c r="D782" s="4"/>
      <c r="E782" s="4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>
      <c r="A783" s="2"/>
      <c r="B783" s="2"/>
      <c r="C783" s="4"/>
      <c r="D783" s="4"/>
      <c r="E783" s="4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>
      <c r="A784" s="2"/>
      <c r="B784" s="2"/>
      <c r="C784" s="4"/>
      <c r="D784" s="4"/>
      <c r="E784" s="4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>
      <c r="A785" s="2"/>
      <c r="B785" s="2"/>
      <c r="C785" s="4"/>
      <c r="D785" s="4"/>
      <c r="E785" s="4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>
      <c r="A786" s="2"/>
      <c r="B786" s="2"/>
      <c r="C786" s="4"/>
      <c r="D786" s="4"/>
      <c r="E786" s="4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>
      <c r="A787" s="2"/>
      <c r="B787" s="2"/>
      <c r="C787" s="4"/>
      <c r="D787" s="4"/>
      <c r="E787" s="4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>
      <c r="A788" s="2"/>
      <c r="B788" s="2"/>
      <c r="C788" s="4"/>
      <c r="D788" s="4"/>
      <c r="E788" s="4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>
      <c r="A789" s="2"/>
      <c r="B789" s="2"/>
      <c r="C789" s="4"/>
      <c r="D789" s="4"/>
      <c r="E789" s="4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>
      <c r="A790" s="2"/>
      <c r="B790" s="2"/>
      <c r="C790" s="4"/>
      <c r="D790" s="4"/>
      <c r="E790" s="4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>
      <c r="A791" s="2"/>
      <c r="B791" s="2"/>
      <c r="C791" s="4"/>
      <c r="D791" s="4"/>
      <c r="E791" s="4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>
      <c r="A792" s="2"/>
      <c r="B792" s="2"/>
      <c r="C792" s="4"/>
      <c r="D792" s="4"/>
      <c r="E792" s="4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>
      <c r="A793" s="2"/>
      <c r="B793" s="2"/>
      <c r="C793" s="4"/>
      <c r="D793" s="4"/>
      <c r="E793" s="4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>
      <c r="A794" s="2"/>
      <c r="B794" s="2"/>
      <c r="C794" s="4"/>
      <c r="D794" s="4"/>
      <c r="E794" s="4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>
      <c r="A795" s="2"/>
      <c r="B795" s="2"/>
      <c r="C795" s="4"/>
      <c r="D795" s="4"/>
      <c r="E795" s="4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>
      <c r="A796" s="2"/>
      <c r="B796" s="2"/>
      <c r="C796" s="4"/>
      <c r="D796" s="4"/>
      <c r="E796" s="4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>
      <c r="A797" s="2"/>
      <c r="B797" s="2"/>
      <c r="C797" s="4"/>
      <c r="D797" s="4"/>
      <c r="E797" s="4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>
      <c r="A798" s="2"/>
      <c r="B798" s="2"/>
      <c r="C798" s="4"/>
      <c r="D798" s="4"/>
      <c r="E798" s="4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>
      <c r="A799" s="2"/>
      <c r="B799" s="2"/>
      <c r="C799" s="4"/>
      <c r="D799" s="4"/>
      <c r="E799" s="4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>
      <c r="A800" s="2"/>
      <c r="B800" s="2"/>
      <c r="C800" s="4"/>
      <c r="D800" s="4"/>
      <c r="E800" s="4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>
      <c r="A801" s="2"/>
      <c r="B801" s="2"/>
      <c r="C801" s="4"/>
      <c r="D801" s="4"/>
      <c r="E801" s="4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>
      <c r="A802" s="2"/>
      <c r="B802" s="2"/>
      <c r="C802" s="4"/>
      <c r="D802" s="4"/>
      <c r="E802" s="4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>
      <c r="A803" s="2"/>
      <c r="B803" s="2"/>
      <c r="C803" s="4"/>
      <c r="D803" s="4"/>
      <c r="E803" s="4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>
      <c r="A804" s="2"/>
      <c r="B804" s="2"/>
      <c r="C804" s="4"/>
      <c r="D804" s="4"/>
      <c r="E804" s="4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>
      <c r="A805" s="2"/>
      <c r="B805" s="2"/>
      <c r="C805" s="4"/>
      <c r="D805" s="4"/>
      <c r="E805" s="4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>
      <c r="A806" s="2"/>
      <c r="B806" s="2"/>
      <c r="C806" s="4"/>
      <c r="D806" s="4"/>
      <c r="E806" s="4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>
      <c r="A807" s="2"/>
      <c r="B807" s="2"/>
      <c r="C807" s="4"/>
      <c r="D807" s="4"/>
      <c r="E807" s="4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>
      <c r="A808" s="2"/>
      <c r="B808" s="2"/>
      <c r="C808" s="4"/>
      <c r="D808" s="4"/>
      <c r="E808" s="4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>
      <c r="A809" s="2"/>
      <c r="B809" s="2"/>
      <c r="C809" s="4"/>
      <c r="D809" s="4"/>
      <c r="E809" s="4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>
      <c r="A810" s="2"/>
      <c r="B810" s="2"/>
      <c r="C810" s="4"/>
      <c r="D810" s="4"/>
      <c r="E810" s="4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>
      <c r="A811" s="2"/>
      <c r="B811" s="2"/>
      <c r="C811" s="4"/>
      <c r="D811" s="4"/>
      <c r="E811" s="4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>
      <c r="A812" s="2"/>
      <c r="B812" s="2"/>
      <c r="C812" s="4"/>
      <c r="D812" s="4"/>
      <c r="E812" s="4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>
      <c r="A813" s="2"/>
      <c r="B813" s="2"/>
      <c r="C813" s="4"/>
      <c r="D813" s="4"/>
      <c r="E813" s="4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>
      <c r="A814" s="2"/>
      <c r="B814" s="2"/>
      <c r="C814" s="4"/>
      <c r="D814" s="4"/>
      <c r="E814" s="4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>
      <c r="A815" s="2"/>
      <c r="B815" s="2"/>
      <c r="C815" s="4"/>
      <c r="D815" s="4"/>
      <c r="E815" s="4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>
      <c r="A816" s="2"/>
      <c r="B816" s="2"/>
      <c r="C816" s="4"/>
      <c r="D816" s="4"/>
      <c r="E816" s="4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>
      <c r="A817" s="2"/>
      <c r="B817" s="2"/>
      <c r="C817" s="4"/>
      <c r="D817" s="4"/>
      <c r="E817" s="4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>
      <c r="A818" s="2"/>
      <c r="B818" s="2"/>
      <c r="C818" s="4"/>
      <c r="D818" s="4"/>
      <c r="E818" s="4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>
      <c r="A819" s="2"/>
      <c r="B819" s="2"/>
      <c r="C819" s="4"/>
      <c r="D819" s="4"/>
      <c r="E819" s="4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>
      <c r="A820" s="2"/>
      <c r="B820" s="2"/>
      <c r="C820" s="4"/>
      <c r="D820" s="4"/>
      <c r="E820" s="4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>
      <c r="A821" s="2"/>
      <c r="B821" s="2"/>
      <c r="C821" s="4"/>
      <c r="D821" s="4"/>
      <c r="E821" s="4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>
      <c r="A822" s="2"/>
      <c r="B822" s="2"/>
      <c r="C822" s="4"/>
      <c r="D822" s="4"/>
      <c r="E822" s="4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>
      <c r="A823" s="2"/>
      <c r="B823" s="2"/>
      <c r="C823" s="4"/>
      <c r="D823" s="4"/>
      <c r="E823" s="4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>
      <c r="A824" s="2"/>
      <c r="B824" s="2"/>
      <c r="C824" s="4"/>
      <c r="D824" s="4"/>
      <c r="E824" s="4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>
      <c r="A825" s="2"/>
      <c r="B825" s="2"/>
      <c r="C825" s="4"/>
      <c r="D825" s="4"/>
      <c r="E825" s="4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>
      <c r="A826" s="2"/>
      <c r="B826" s="2"/>
      <c r="C826" s="4"/>
      <c r="D826" s="4"/>
      <c r="E826" s="4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>
      <c r="A827" s="2"/>
      <c r="B827" s="2"/>
      <c r="C827" s="4"/>
      <c r="D827" s="4"/>
      <c r="E827" s="4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>
      <c r="A828" s="2"/>
      <c r="B828" s="2"/>
      <c r="C828" s="4"/>
      <c r="D828" s="4"/>
      <c r="E828" s="4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>
      <c r="A829" s="2"/>
      <c r="B829" s="2"/>
      <c r="C829" s="4"/>
      <c r="D829" s="4"/>
      <c r="E829" s="4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>
      <c r="A830" s="2"/>
      <c r="B830" s="2"/>
      <c r="C830" s="4"/>
      <c r="D830" s="4"/>
      <c r="E830" s="4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>
      <c r="A831" s="2"/>
      <c r="B831" s="2"/>
      <c r="C831" s="4"/>
      <c r="D831" s="4"/>
      <c r="E831" s="4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>
      <c r="A832" s="2"/>
      <c r="B832" s="2"/>
      <c r="C832" s="4"/>
      <c r="D832" s="4"/>
      <c r="E832" s="4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>
      <c r="A833" s="2"/>
      <c r="B833" s="2"/>
      <c r="C833" s="4"/>
      <c r="D833" s="4"/>
      <c r="E833" s="4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>
      <c r="A834" s="2"/>
      <c r="B834" s="2"/>
      <c r="C834" s="4"/>
      <c r="D834" s="4"/>
      <c r="E834" s="4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>
      <c r="A835" s="2"/>
      <c r="B835" s="2"/>
      <c r="C835" s="4"/>
      <c r="D835" s="4"/>
      <c r="E835" s="4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>
      <c r="A836" s="2"/>
      <c r="B836" s="2"/>
      <c r="C836" s="4"/>
      <c r="D836" s="4"/>
      <c r="E836" s="4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>
      <c r="A837" s="2"/>
      <c r="B837" s="2"/>
      <c r="C837" s="4"/>
      <c r="D837" s="4"/>
      <c r="E837" s="4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>
      <c r="A838" s="2"/>
      <c r="B838" s="2"/>
      <c r="C838" s="4"/>
      <c r="D838" s="4"/>
      <c r="E838" s="4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>
      <c r="A839" s="2"/>
      <c r="B839" s="2"/>
      <c r="C839" s="4"/>
      <c r="D839" s="4"/>
      <c r="E839" s="4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>
      <c r="A840" s="2"/>
      <c r="B840" s="2"/>
      <c r="C840" s="4"/>
      <c r="D840" s="4"/>
      <c r="E840" s="4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>
      <c r="A841" s="2"/>
      <c r="B841" s="2"/>
      <c r="C841" s="4"/>
      <c r="D841" s="4"/>
      <c r="E841" s="4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>
      <c r="A842" s="2"/>
      <c r="B842" s="2"/>
      <c r="C842" s="4"/>
      <c r="D842" s="4"/>
      <c r="E842" s="4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>
      <c r="A843" s="2"/>
      <c r="B843" s="2"/>
      <c r="C843" s="4"/>
      <c r="D843" s="4"/>
      <c r="E843" s="4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>
      <c r="A844" s="2"/>
      <c r="B844" s="2"/>
      <c r="C844" s="4"/>
      <c r="D844" s="4"/>
      <c r="E844" s="4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>
      <c r="A845" s="2"/>
      <c r="B845" s="2"/>
      <c r="C845" s="4"/>
      <c r="D845" s="4"/>
      <c r="E845" s="4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>
      <c r="A846" s="2"/>
      <c r="B846" s="2"/>
      <c r="C846" s="4"/>
      <c r="D846" s="4"/>
      <c r="E846" s="4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>
      <c r="A847" s="2"/>
      <c r="B847" s="2"/>
      <c r="C847" s="4"/>
      <c r="D847" s="4"/>
      <c r="E847" s="4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>
      <c r="A848" s="2"/>
      <c r="B848" s="2"/>
      <c r="C848" s="4"/>
      <c r="D848" s="4"/>
      <c r="E848" s="4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>
      <c r="A849" s="2"/>
      <c r="B849" s="2"/>
      <c r="C849" s="4"/>
      <c r="D849" s="4"/>
      <c r="E849" s="4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>
      <c r="A850" s="2"/>
      <c r="B850" s="2"/>
      <c r="C850" s="4"/>
      <c r="D850" s="4"/>
      <c r="E850" s="4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>
      <c r="A851" s="2"/>
      <c r="B851" s="2"/>
      <c r="C851" s="4"/>
      <c r="D851" s="4"/>
      <c r="E851" s="4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>
      <c r="A852" s="2"/>
      <c r="B852" s="2"/>
      <c r="C852" s="4"/>
      <c r="D852" s="4"/>
      <c r="E852" s="4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>
      <c r="A853" s="2"/>
      <c r="B853" s="2"/>
      <c r="C853" s="4"/>
      <c r="D853" s="4"/>
      <c r="E853" s="4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>
      <c r="A854" s="2"/>
      <c r="B854" s="2"/>
      <c r="C854" s="4"/>
      <c r="D854" s="4"/>
      <c r="E854" s="4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>
      <c r="A855" s="2"/>
      <c r="B855" s="2"/>
      <c r="C855" s="4"/>
      <c r="D855" s="4"/>
      <c r="E855" s="4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>
      <c r="A856" s="2"/>
      <c r="B856" s="2"/>
      <c r="C856" s="4"/>
      <c r="D856" s="4"/>
      <c r="E856" s="4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>
      <c r="A857" s="2"/>
      <c r="B857" s="2"/>
      <c r="C857" s="4"/>
      <c r="D857" s="4"/>
      <c r="E857" s="4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>
      <c r="A858" s="2"/>
      <c r="B858" s="2"/>
      <c r="C858" s="4"/>
      <c r="D858" s="4"/>
      <c r="E858" s="4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>
      <c r="A859" s="2"/>
      <c r="B859" s="2"/>
      <c r="C859" s="4"/>
      <c r="D859" s="4"/>
      <c r="E859" s="4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>
      <c r="A860" s="2"/>
      <c r="B860" s="2"/>
      <c r="C860" s="4"/>
      <c r="D860" s="4"/>
      <c r="E860" s="4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>
      <c r="A861" s="2"/>
      <c r="B861" s="2"/>
      <c r="C861" s="4"/>
      <c r="D861" s="4"/>
      <c r="E861" s="4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>
      <c r="A862" s="2"/>
      <c r="B862" s="2"/>
      <c r="C862" s="4"/>
      <c r="D862" s="4"/>
      <c r="E862" s="4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>
      <c r="A863" s="2"/>
      <c r="B863" s="2"/>
      <c r="C863" s="4"/>
      <c r="D863" s="4"/>
      <c r="E863" s="4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>
      <c r="A864" s="2"/>
      <c r="B864" s="2"/>
      <c r="C864" s="4"/>
      <c r="D864" s="4"/>
      <c r="E864" s="4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>
      <c r="A865" s="2"/>
      <c r="B865" s="2"/>
      <c r="C865" s="4"/>
      <c r="D865" s="4"/>
      <c r="E865" s="4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>
      <c r="A866" s="2"/>
      <c r="B866" s="2"/>
      <c r="C866" s="4"/>
      <c r="D866" s="4"/>
      <c r="E866" s="4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>
      <c r="A867" s="2"/>
      <c r="B867" s="2"/>
      <c r="C867" s="4"/>
      <c r="D867" s="4"/>
      <c r="E867" s="4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>
      <c r="A868" s="2"/>
      <c r="B868" s="2"/>
      <c r="C868" s="4"/>
      <c r="D868" s="4"/>
      <c r="E868" s="4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>
      <c r="A869" s="2"/>
      <c r="B869" s="2"/>
      <c r="C869" s="4"/>
      <c r="D869" s="4"/>
      <c r="E869" s="4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>
      <c r="A870" s="2"/>
      <c r="B870" s="2"/>
      <c r="C870" s="4"/>
      <c r="D870" s="4"/>
      <c r="E870" s="4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>
      <c r="A871" s="2"/>
      <c r="B871" s="2"/>
      <c r="C871" s="4"/>
      <c r="D871" s="4"/>
      <c r="E871" s="4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>
      <c r="A872" s="2"/>
      <c r="B872" s="2"/>
      <c r="C872" s="4"/>
      <c r="D872" s="4"/>
      <c r="E872" s="4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>
      <c r="A873" s="2"/>
      <c r="B873" s="2"/>
      <c r="C873" s="4"/>
      <c r="D873" s="4"/>
      <c r="E873" s="4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>
      <c r="A874" s="2"/>
      <c r="B874" s="2"/>
      <c r="C874" s="4"/>
      <c r="D874" s="4"/>
      <c r="E874" s="4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>
      <c r="A875" s="2"/>
      <c r="B875" s="2"/>
      <c r="C875" s="4"/>
      <c r="D875" s="4"/>
      <c r="E875" s="4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>
      <c r="A876" s="2"/>
      <c r="B876" s="2"/>
      <c r="C876" s="4"/>
      <c r="D876" s="4"/>
      <c r="E876" s="4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>
      <c r="A877" s="2"/>
      <c r="B877" s="2"/>
      <c r="C877" s="4"/>
      <c r="D877" s="4"/>
      <c r="E877" s="4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>
      <c r="A878" s="2"/>
      <c r="B878" s="2"/>
      <c r="C878" s="4"/>
      <c r="D878" s="4"/>
      <c r="E878" s="4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>
      <c r="A879" s="2"/>
      <c r="B879" s="2"/>
      <c r="C879" s="4"/>
      <c r="D879" s="4"/>
      <c r="E879" s="4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>
      <c r="A880" s="2"/>
      <c r="B880" s="2"/>
      <c r="C880" s="4"/>
      <c r="D880" s="4"/>
      <c r="E880" s="4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>
      <c r="A881" s="2"/>
      <c r="B881" s="2"/>
      <c r="C881" s="4"/>
      <c r="D881" s="4"/>
      <c r="E881" s="4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>
      <c r="A882" s="2"/>
      <c r="B882" s="2"/>
      <c r="C882" s="4"/>
      <c r="D882" s="4"/>
      <c r="E882" s="4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>
      <c r="A883" s="2"/>
      <c r="B883" s="2"/>
      <c r="C883" s="4"/>
      <c r="D883" s="4"/>
      <c r="E883" s="4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>
      <c r="A884" s="2"/>
      <c r="B884" s="2"/>
      <c r="C884" s="4"/>
      <c r="D884" s="4"/>
      <c r="E884" s="4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>
      <c r="A885" s="2"/>
      <c r="B885" s="2"/>
      <c r="C885" s="4"/>
      <c r="D885" s="4"/>
      <c r="E885" s="4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>
      <c r="A886" s="2"/>
      <c r="B886" s="2"/>
      <c r="C886" s="4"/>
      <c r="D886" s="4"/>
      <c r="E886" s="4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>
      <c r="A887" s="2"/>
      <c r="B887" s="2"/>
      <c r="C887" s="4"/>
      <c r="D887" s="4"/>
      <c r="E887" s="4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>
      <c r="A888" s="2"/>
      <c r="B888" s="2"/>
      <c r="C888" s="4"/>
      <c r="D888" s="4"/>
      <c r="E888" s="4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>
      <c r="A889" s="2"/>
      <c r="B889" s="2"/>
      <c r="C889" s="4"/>
      <c r="D889" s="4"/>
      <c r="E889" s="4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>
      <c r="A890" s="2"/>
      <c r="B890" s="2"/>
      <c r="C890" s="4"/>
      <c r="D890" s="4"/>
      <c r="E890" s="4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>
      <c r="A891" s="2"/>
      <c r="B891" s="2"/>
      <c r="C891" s="4"/>
      <c r="D891" s="4"/>
      <c r="E891" s="4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>
      <c r="A892" s="2"/>
      <c r="B892" s="2"/>
      <c r="C892" s="4"/>
      <c r="D892" s="4"/>
      <c r="E892" s="4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>
      <c r="A893" s="2"/>
      <c r="B893" s="2"/>
      <c r="C893" s="4"/>
      <c r="D893" s="4"/>
      <c r="E893" s="4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>
      <c r="A894" s="2"/>
      <c r="B894" s="2"/>
      <c r="C894" s="4"/>
      <c r="D894" s="4"/>
      <c r="E894" s="4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>
      <c r="A895" s="2"/>
      <c r="B895" s="2"/>
      <c r="C895" s="4"/>
      <c r="D895" s="4"/>
      <c r="E895" s="4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>
      <c r="A896" s="2"/>
      <c r="B896" s="2"/>
      <c r="C896" s="4"/>
      <c r="D896" s="4"/>
      <c r="E896" s="4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>
      <c r="A897" s="2"/>
      <c r="B897" s="2"/>
      <c r="C897" s="4"/>
      <c r="D897" s="4"/>
      <c r="E897" s="4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>
      <c r="A898" s="2"/>
      <c r="B898" s="2"/>
      <c r="C898" s="4"/>
      <c r="D898" s="4"/>
      <c r="E898" s="4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>
      <c r="A899" s="2"/>
      <c r="B899" s="2"/>
      <c r="C899" s="4"/>
      <c r="D899" s="4"/>
      <c r="E899" s="4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>
      <c r="A900" s="2"/>
      <c r="B900" s="2"/>
      <c r="C900" s="4"/>
      <c r="D900" s="4"/>
      <c r="E900" s="4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>
      <c r="A901" s="2"/>
      <c r="B901" s="2"/>
      <c r="C901" s="4"/>
      <c r="D901" s="4"/>
      <c r="E901" s="4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>
      <c r="A902" s="2"/>
      <c r="B902" s="2"/>
      <c r="C902" s="4"/>
      <c r="D902" s="4"/>
      <c r="E902" s="4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>
      <c r="A903" s="2"/>
      <c r="B903" s="2"/>
      <c r="C903" s="4"/>
      <c r="D903" s="4"/>
      <c r="E903" s="4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>
      <c r="A904" s="2"/>
      <c r="B904" s="2"/>
      <c r="C904" s="4"/>
      <c r="D904" s="4"/>
      <c r="E904" s="4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>
      <c r="A905" s="2"/>
      <c r="B905" s="2"/>
      <c r="C905" s="4"/>
      <c r="D905" s="4"/>
      <c r="E905" s="4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>
      <c r="A906" s="2"/>
      <c r="B906" s="2"/>
      <c r="C906" s="4"/>
      <c r="D906" s="4"/>
      <c r="E906" s="4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>
      <c r="A907" s="2"/>
      <c r="B907" s="2"/>
      <c r="C907" s="4"/>
      <c r="D907" s="4"/>
      <c r="E907" s="4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>
      <c r="A908" s="2"/>
      <c r="B908" s="2"/>
      <c r="C908" s="4"/>
      <c r="D908" s="4"/>
      <c r="E908" s="4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>
      <c r="A909" s="2"/>
      <c r="B909" s="2"/>
      <c r="C909" s="4"/>
      <c r="D909" s="4"/>
      <c r="E909" s="4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>
      <c r="A910" s="2"/>
      <c r="B910" s="2"/>
      <c r="C910" s="4"/>
      <c r="D910" s="4"/>
      <c r="E910" s="4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>
      <c r="A911" s="2"/>
      <c r="B911" s="2"/>
      <c r="C911" s="4"/>
      <c r="D911" s="4"/>
      <c r="E911" s="4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>
      <c r="A912" s="2"/>
      <c r="B912" s="2"/>
      <c r="C912" s="4"/>
      <c r="D912" s="4"/>
      <c r="E912" s="4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>
      <c r="A913" s="2"/>
      <c r="B913" s="2"/>
      <c r="C913" s="4"/>
      <c r="D913" s="4"/>
      <c r="E913" s="4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>
      <c r="A914" s="2"/>
      <c r="B914" s="2"/>
      <c r="C914" s="4"/>
      <c r="D914" s="4"/>
      <c r="E914" s="4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>
      <c r="A915" s="2"/>
      <c r="B915" s="2"/>
      <c r="C915" s="4"/>
      <c r="D915" s="4"/>
      <c r="E915" s="4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>
      <c r="A916" s="2"/>
      <c r="B916" s="2"/>
      <c r="C916" s="4"/>
      <c r="D916" s="4"/>
      <c r="E916" s="4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>
      <c r="A917" s="2"/>
      <c r="B917" s="2"/>
      <c r="C917" s="4"/>
      <c r="D917" s="4"/>
      <c r="E917" s="4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>
      <c r="A918" s="2"/>
      <c r="B918" s="2"/>
      <c r="C918" s="4"/>
      <c r="D918" s="4"/>
      <c r="E918" s="4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>
      <c r="A919" s="2"/>
      <c r="B919" s="2"/>
      <c r="C919" s="4"/>
      <c r="D919" s="4"/>
      <c r="E919" s="4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>
      <c r="A920" s="2"/>
      <c r="B920" s="2"/>
      <c r="C920" s="4"/>
      <c r="D920" s="4"/>
      <c r="E920" s="4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>
      <c r="A921" s="2"/>
      <c r="B921" s="2"/>
      <c r="C921" s="4"/>
      <c r="D921" s="4"/>
      <c r="E921" s="4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>
      <c r="A922" s="2"/>
      <c r="B922" s="2"/>
      <c r="C922" s="4"/>
      <c r="D922" s="4"/>
      <c r="E922" s="4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>
      <c r="A923" s="2"/>
      <c r="B923" s="2"/>
      <c r="C923" s="4"/>
      <c r="D923" s="4"/>
      <c r="E923" s="4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>
      <c r="A924" s="2"/>
      <c r="B924" s="2"/>
      <c r="C924" s="4"/>
      <c r="D924" s="4"/>
      <c r="E924" s="4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>
      <c r="A925" s="2"/>
      <c r="B925" s="2"/>
      <c r="C925" s="4"/>
      <c r="D925" s="4"/>
      <c r="E925" s="4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>
      <c r="A926" s="2"/>
      <c r="B926" s="2"/>
      <c r="C926" s="4"/>
      <c r="D926" s="4"/>
      <c r="E926" s="4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>
      <c r="A927" s="2"/>
      <c r="B927" s="2"/>
      <c r="C927" s="4"/>
      <c r="D927" s="4"/>
      <c r="E927" s="4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>
      <c r="A928" s="2"/>
      <c r="B928" s="2"/>
      <c r="C928" s="4"/>
      <c r="D928" s="4"/>
      <c r="E928" s="4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>
      <c r="A929" s="2"/>
      <c r="B929" s="2"/>
      <c r="C929" s="4"/>
      <c r="D929" s="4"/>
      <c r="E929" s="4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>
      <c r="A930" s="2"/>
      <c r="B930" s="2"/>
      <c r="C930" s="4"/>
      <c r="D930" s="4"/>
      <c r="E930" s="4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>
      <c r="A931" s="2"/>
      <c r="B931" s="2"/>
      <c r="C931" s="4"/>
      <c r="D931" s="4"/>
      <c r="E931" s="4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>
      <c r="A932" s="2"/>
      <c r="B932" s="2"/>
      <c r="C932" s="4"/>
      <c r="D932" s="4"/>
      <c r="E932" s="4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>
      <c r="A933" s="2"/>
      <c r="B933" s="2"/>
      <c r="C933" s="4"/>
      <c r="D933" s="4"/>
      <c r="E933" s="4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>
      <c r="A934" s="2"/>
      <c r="B934" s="2"/>
      <c r="C934" s="4"/>
      <c r="D934" s="4"/>
      <c r="E934" s="4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>
      <c r="A935" s="2"/>
      <c r="B935" s="2"/>
      <c r="C935" s="4"/>
      <c r="D935" s="4"/>
      <c r="E935" s="4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>
      <c r="A936" s="2"/>
      <c r="B936" s="2"/>
      <c r="C936" s="4"/>
      <c r="D936" s="4"/>
      <c r="E936" s="4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>
      <c r="A937" s="2"/>
      <c r="B937" s="2"/>
      <c r="C937" s="4"/>
      <c r="D937" s="4"/>
      <c r="E937" s="4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>
      <c r="A938" s="2"/>
      <c r="B938" s="2"/>
      <c r="C938" s="4"/>
      <c r="D938" s="4"/>
      <c r="E938" s="4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>
      <c r="A939" s="2"/>
      <c r="B939" s="2"/>
      <c r="C939" s="4"/>
      <c r="D939" s="4"/>
      <c r="E939" s="4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>
      <c r="A940" s="2"/>
      <c r="B940" s="2"/>
      <c r="C940" s="4"/>
      <c r="D940" s="4"/>
      <c r="E940" s="4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>
      <c r="A941" s="2"/>
      <c r="B941" s="2"/>
      <c r="C941" s="4"/>
      <c r="D941" s="4"/>
      <c r="E941" s="4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>
      <c r="A942" s="2"/>
      <c r="B942" s="2"/>
      <c r="C942" s="4"/>
      <c r="D942" s="4"/>
      <c r="E942" s="4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>
      <c r="A943" s="2"/>
      <c r="B943" s="2"/>
      <c r="C943" s="4"/>
      <c r="D943" s="4"/>
      <c r="E943" s="4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>
      <c r="A944" s="2"/>
      <c r="B944" s="2"/>
      <c r="C944" s="4"/>
      <c r="D944" s="4"/>
      <c r="E944" s="4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>
      <c r="A945" s="2"/>
      <c r="B945" s="2"/>
      <c r="C945" s="4"/>
      <c r="D945" s="4"/>
      <c r="E945" s="4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>
      <c r="A946" s="2"/>
      <c r="B946" s="2"/>
      <c r="C946" s="4"/>
      <c r="D946" s="4"/>
      <c r="E946" s="4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>
      <c r="A947" s="2"/>
      <c r="B947" s="2"/>
      <c r="C947" s="4"/>
      <c r="D947" s="4"/>
      <c r="E947" s="4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>
      <c r="A948" s="2"/>
      <c r="B948" s="2"/>
      <c r="C948" s="4"/>
      <c r="D948" s="4"/>
      <c r="E948" s="4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>
      <c r="A949" s="2"/>
      <c r="B949" s="2"/>
      <c r="C949" s="4"/>
      <c r="D949" s="4"/>
      <c r="E949" s="4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>
      <c r="A950" s="2"/>
      <c r="B950" s="2"/>
      <c r="C950" s="4"/>
      <c r="D950" s="4"/>
      <c r="E950" s="4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>
      <c r="A951" s="2"/>
      <c r="B951" s="2"/>
      <c r="C951" s="4"/>
      <c r="D951" s="4"/>
      <c r="E951" s="4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>
      <c r="A952" s="2"/>
      <c r="B952" s="2"/>
      <c r="C952" s="4"/>
      <c r="D952" s="4"/>
      <c r="E952" s="4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>
      <c r="A953" s="2"/>
      <c r="B953" s="2"/>
      <c r="C953" s="4"/>
      <c r="D953" s="4"/>
      <c r="E953" s="4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>
      <c r="A954" s="2"/>
      <c r="B954" s="2"/>
      <c r="C954" s="4"/>
      <c r="D954" s="4"/>
      <c r="E954" s="4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>
      <c r="A955" s="2"/>
      <c r="B955" s="2"/>
      <c r="C955" s="4"/>
      <c r="D955" s="4"/>
      <c r="E955" s="4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>
      <c r="A956" s="2"/>
      <c r="B956" s="2"/>
      <c r="C956" s="4"/>
      <c r="D956" s="4"/>
      <c r="E956" s="4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>
      <c r="A957" s="2"/>
      <c r="B957" s="2"/>
      <c r="C957" s="4"/>
      <c r="D957" s="4"/>
      <c r="E957" s="4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>
      <c r="A958" s="2"/>
      <c r="B958" s="2"/>
      <c r="C958" s="4"/>
      <c r="D958" s="4"/>
      <c r="E958" s="4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>
      <c r="A959" s="2"/>
      <c r="B959" s="2"/>
      <c r="C959" s="4"/>
      <c r="D959" s="4"/>
      <c r="E959" s="4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>
      <c r="A960" s="2"/>
      <c r="B960" s="2"/>
      <c r="C960" s="4"/>
      <c r="D960" s="4"/>
      <c r="E960" s="4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>
      <c r="A961" s="2"/>
      <c r="B961" s="2"/>
      <c r="C961" s="4"/>
      <c r="D961" s="4"/>
      <c r="E961" s="4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>
      <c r="A962" s="2"/>
      <c r="B962" s="2"/>
      <c r="C962" s="4"/>
      <c r="D962" s="4"/>
      <c r="E962" s="4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>
      <c r="A963" s="2"/>
      <c r="B963" s="2"/>
      <c r="C963" s="4"/>
      <c r="D963" s="4"/>
      <c r="E963" s="4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>
      <c r="A964" s="2"/>
      <c r="B964" s="2"/>
      <c r="C964" s="4"/>
      <c r="D964" s="4"/>
      <c r="E964" s="4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>
      <c r="A965" s="2"/>
      <c r="B965" s="2"/>
      <c r="C965" s="4"/>
      <c r="D965" s="4"/>
      <c r="E965" s="4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>
      <c r="A966" s="2"/>
      <c r="B966" s="2"/>
      <c r="C966" s="4"/>
      <c r="D966" s="4"/>
      <c r="E966" s="4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>
      <c r="A967" s="2"/>
      <c r="B967" s="2"/>
      <c r="C967" s="4"/>
      <c r="D967" s="4"/>
      <c r="E967" s="4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>
      <c r="A968" s="2"/>
      <c r="B968" s="2"/>
      <c r="C968" s="4"/>
      <c r="D968" s="4"/>
      <c r="E968" s="4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>
      <c r="A969" s="2"/>
      <c r="B969" s="2"/>
      <c r="C969" s="4"/>
      <c r="D969" s="4"/>
      <c r="E969" s="4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>
      <c r="A970" s="2"/>
      <c r="B970" s="2"/>
      <c r="C970" s="4"/>
      <c r="D970" s="4"/>
      <c r="E970" s="4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75"/>
    <col customWidth="1" min="2" max="2" width="17.38"/>
    <col customWidth="1" min="3" max="3" width="14.75"/>
    <col customWidth="1" min="5" max="5" width="43.63"/>
  </cols>
  <sheetData>
    <row r="1">
      <c r="A1" s="1" t="s">
        <v>42</v>
      </c>
      <c r="B1" s="5" t="s">
        <v>43</v>
      </c>
      <c r="C1" s="1" t="s">
        <v>44</v>
      </c>
      <c r="D1" s="1" t="s">
        <v>45</v>
      </c>
      <c r="E1" s="1" t="s">
        <v>46</v>
      </c>
      <c r="F1" s="6" t="s">
        <v>47</v>
      </c>
      <c r="G1" s="6" t="s">
        <v>48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>
      <c r="A2" s="3" t="s">
        <v>49</v>
      </c>
      <c r="B2" s="7" t="str">
        <f>CONCAT(A2,".jpg")</f>
        <v>metal_polido.jpg</v>
      </c>
      <c r="C2" s="3" t="s">
        <v>34</v>
      </c>
      <c r="D2" s="1" t="s">
        <v>7</v>
      </c>
      <c r="E2" s="2" t="str">
        <f t="shared" ref="E2:E14" si="1">B2</f>
        <v>metal_polido.jpg</v>
      </c>
      <c r="F2" s="8"/>
      <c r="G2" s="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>
      <c r="A3" s="3" t="s">
        <v>50</v>
      </c>
      <c r="B3" s="5" t="s">
        <v>51</v>
      </c>
      <c r="C3" s="3" t="s">
        <v>52</v>
      </c>
      <c r="D3" s="1"/>
      <c r="E3" s="2" t="str">
        <f t="shared" si="1"/>
        <v>black_metal.jpg</v>
      </c>
      <c r="F3" s="8"/>
      <c r="G3" s="8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>
      <c r="A4" s="3" t="s">
        <v>53</v>
      </c>
      <c r="B4" s="5" t="s">
        <v>54</v>
      </c>
      <c r="C4" s="3" t="s">
        <v>52</v>
      </c>
      <c r="D4" s="1" t="s">
        <v>7</v>
      </c>
      <c r="E4" s="2" t="str">
        <f t="shared" si="1"/>
        <v>bronze.jpg</v>
      </c>
      <c r="F4" s="8"/>
      <c r="G4" s="8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" t="s">
        <v>55</v>
      </c>
      <c r="B5" s="7" t="str">
        <f t="shared" ref="B5:B24" si="2">CONCAT(A5,".jpg")</f>
        <v>puxador01.jpg</v>
      </c>
      <c r="C5" s="3" t="s">
        <v>56</v>
      </c>
      <c r="D5" s="4"/>
      <c r="E5" s="2" t="str">
        <f t="shared" si="1"/>
        <v>puxador01.jpg</v>
      </c>
      <c r="F5" s="8"/>
      <c r="G5" s="9">
        <v>45.0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" t="s">
        <v>57</v>
      </c>
      <c r="B6" s="7" t="str">
        <f t="shared" si="2"/>
        <v>puxador02.jpg</v>
      </c>
      <c r="C6" s="3" t="s">
        <v>56</v>
      </c>
      <c r="D6" s="1"/>
      <c r="E6" s="2" t="str">
        <f t="shared" si="1"/>
        <v>puxador02.jpg</v>
      </c>
      <c r="F6" s="8"/>
      <c r="G6" s="9">
        <v>46.0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" t="s">
        <v>58</v>
      </c>
      <c r="B7" s="7" t="str">
        <f t="shared" si="2"/>
        <v>puxador03.jpg</v>
      </c>
      <c r="C7" s="3" t="s">
        <v>56</v>
      </c>
      <c r="E7" s="2" t="str">
        <f t="shared" si="1"/>
        <v>puxador03.jpg</v>
      </c>
      <c r="F7" s="8"/>
      <c r="G7" s="9">
        <v>47.0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" t="s">
        <v>59</v>
      </c>
      <c r="B8" s="7" t="str">
        <f t="shared" si="2"/>
        <v>puxador04.jpg</v>
      </c>
      <c r="C8" s="3" t="s">
        <v>56</v>
      </c>
      <c r="E8" s="2" t="str">
        <f t="shared" si="1"/>
        <v>puxador04.jpg</v>
      </c>
      <c r="F8" s="8"/>
      <c r="G8" s="9">
        <v>48.0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" t="s">
        <v>60</v>
      </c>
      <c r="B9" s="7" t="str">
        <f t="shared" si="2"/>
        <v>puxador05.jpg</v>
      </c>
      <c r="C9" s="3" t="s">
        <v>56</v>
      </c>
      <c r="E9" s="2" t="str">
        <f t="shared" si="1"/>
        <v>puxador05.jpg</v>
      </c>
      <c r="F9" s="8"/>
      <c r="G9" s="9">
        <v>49.0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" t="s">
        <v>61</v>
      </c>
      <c r="B10" s="7" t="str">
        <f t="shared" si="2"/>
        <v>puxador06.jpg</v>
      </c>
      <c r="C10" s="3" t="s">
        <v>56</v>
      </c>
      <c r="E10" s="2" t="str">
        <f t="shared" si="1"/>
        <v>puxador06.jpg</v>
      </c>
      <c r="F10" s="8"/>
      <c r="G10" s="9">
        <v>50.0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" t="s">
        <v>62</v>
      </c>
      <c r="B11" s="7" t="str">
        <f t="shared" si="2"/>
        <v>puxador07.jpg</v>
      </c>
      <c r="C11" s="3" t="s">
        <v>56</v>
      </c>
      <c r="E11" s="2" t="str">
        <f t="shared" si="1"/>
        <v>puxador07.jpg</v>
      </c>
      <c r="F11" s="8"/>
      <c r="G11" s="9">
        <v>51.0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" t="s">
        <v>63</v>
      </c>
      <c r="B12" s="7" t="str">
        <f t="shared" si="2"/>
        <v>puxador08.jpg</v>
      </c>
      <c r="C12" s="3" t="s">
        <v>56</v>
      </c>
      <c r="E12" s="2" t="str">
        <f t="shared" si="1"/>
        <v>puxador08.jpg</v>
      </c>
      <c r="F12" s="8"/>
      <c r="G12" s="9">
        <v>52.0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" t="s">
        <v>64</v>
      </c>
      <c r="B13" s="7" t="str">
        <f t="shared" si="2"/>
        <v>puxador09.jpg</v>
      </c>
      <c r="C13" s="3" t="s">
        <v>56</v>
      </c>
      <c r="E13" s="2" t="str">
        <f t="shared" si="1"/>
        <v>puxador09.jpg</v>
      </c>
      <c r="F13" s="8"/>
      <c r="G13" s="9">
        <v>53.0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" t="s">
        <v>65</v>
      </c>
      <c r="B14" s="7" t="str">
        <f t="shared" si="2"/>
        <v>puxador10.jpg</v>
      </c>
      <c r="C14" s="3" t="s">
        <v>56</v>
      </c>
      <c r="E14" s="2" t="str">
        <f t="shared" si="1"/>
        <v>puxador10.jpg</v>
      </c>
      <c r="F14" s="8"/>
      <c r="G14" s="9">
        <v>54.0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" t="s">
        <v>66</v>
      </c>
      <c r="B15" s="7" t="str">
        <f t="shared" si="2"/>
        <v>alabama.jpg</v>
      </c>
      <c r="C15" s="3" t="s">
        <v>67</v>
      </c>
      <c r="D15" s="4"/>
      <c r="E15" s="2" t="s">
        <v>68</v>
      </c>
      <c r="F15" s="9">
        <f t="array" ref="F15">ROUNDUP(XLOOKUP(A15,Custos!A:A,Custos!B:B)/(2.85*1.75),0)</f>
        <v>53</v>
      </c>
      <c r="G15" s="8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" t="s">
        <v>69</v>
      </c>
      <c r="B16" s="7" t="str">
        <f t="shared" si="2"/>
        <v>alecrim.jpg</v>
      </c>
      <c r="C16" s="3" t="s">
        <v>70</v>
      </c>
      <c r="D16" s="4"/>
      <c r="E16" s="2" t="s">
        <v>71</v>
      </c>
      <c r="F16" s="9">
        <f t="array" ref="F16">ROUNDUP(XLOOKUP(A16,Custos!A:A,Custos!B:B)/(2.85*1.75),0)</f>
        <v>53</v>
      </c>
      <c r="G16" s="8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" t="s">
        <v>72</v>
      </c>
      <c r="B17" s="7" t="str">
        <f t="shared" si="2"/>
        <v>ametista.jpg</v>
      </c>
      <c r="C17" s="3" t="s">
        <v>70</v>
      </c>
      <c r="D17" s="4"/>
      <c r="E17" s="2" t="s">
        <v>73</v>
      </c>
      <c r="F17" s="9">
        <f t="array" ref="F17">ROUNDUP(XLOOKUP(A17,Custos!A:A,Custos!B:B)/(2.85*1.75),0)</f>
        <v>53</v>
      </c>
      <c r="G17" s="8"/>
      <c r="H17" s="8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" t="s">
        <v>74</v>
      </c>
      <c r="B18" s="7" t="str">
        <f t="shared" si="2"/>
        <v>antiqua.jpg</v>
      </c>
      <c r="C18" s="3" t="s">
        <v>67</v>
      </c>
      <c r="D18" s="4"/>
      <c r="E18" s="2" t="s">
        <v>75</v>
      </c>
      <c r="F18" s="9">
        <f t="array" ref="F18">ROUNDUP(XLOOKUP(A18,Custos!A:A,Custos!B:B)/(2.85*1.75),0)</f>
        <v>53</v>
      </c>
      <c r="G18" s="8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" t="s">
        <v>76</v>
      </c>
      <c r="B19" s="7" t="str">
        <f t="shared" si="2"/>
        <v>antuerpia.jpg</v>
      </c>
      <c r="C19" s="3" t="s">
        <v>67</v>
      </c>
      <c r="D19" s="4"/>
      <c r="E19" s="2" t="s">
        <v>77</v>
      </c>
      <c r="F19" s="9">
        <f t="array" ref="F19">ROUNDUP(XLOOKUP(A19,Custos!A:A,Custos!B:B)/(2.85*1.75),0)</f>
        <v>53</v>
      </c>
      <c r="G19" s="8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" t="s">
        <v>78</v>
      </c>
      <c r="B20" s="7" t="str">
        <f t="shared" si="2"/>
        <v>araucaria.jpg</v>
      </c>
      <c r="C20" s="3" t="s">
        <v>67</v>
      </c>
      <c r="D20" s="4"/>
      <c r="E20" s="2" t="s">
        <v>79</v>
      </c>
      <c r="F20" s="9">
        <f t="array" ref="F20">ROUNDUP(XLOOKUP(A20,Custos!A:A,Custos!B:B)/(2.85*1.75),0)</f>
        <v>54</v>
      </c>
      <c r="G20" s="8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" t="s">
        <v>80</v>
      </c>
      <c r="B21" s="7" t="str">
        <f t="shared" si="2"/>
        <v>areia.jpg</v>
      </c>
      <c r="C21" s="3" t="s">
        <v>70</v>
      </c>
      <c r="D21" s="4"/>
      <c r="E21" s="2" t="s">
        <v>81</v>
      </c>
      <c r="F21" s="9">
        <f t="array" ref="F21">ROUNDUP(XLOOKUP(A21,Custos!A:A,Custos!B:B)/(2.85*1.75),0)</f>
        <v>54</v>
      </c>
      <c r="G21" s="8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" t="s">
        <v>82</v>
      </c>
      <c r="B22" s="7" t="str">
        <f t="shared" si="2"/>
        <v>aura.jpg</v>
      </c>
      <c r="C22" s="3" t="s">
        <v>83</v>
      </c>
      <c r="D22" s="4"/>
      <c r="E22" s="2" t="s">
        <v>84</v>
      </c>
      <c r="F22" s="9">
        <f t="array" ref="F22">ROUNDUP(XLOOKUP(A22,Custos!A:A,Custos!B:B)/(2.85*1.75),0)</f>
        <v>54</v>
      </c>
      <c r="G22" s="8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" t="s">
        <v>85</v>
      </c>
      <c r="B23" s="7" t="str">
        <f t="shared" si="2"/>
        <v>azul_ardosia.jpg</v>
      </c>
      <c r="C23" s="3" t="s">
        <v>70</v>
      </c>
      <c r="D23" s="4"/>
      <c r="E23" s="2" t="s">
        <v>86</v>
      </c>
      <c r="F23" s="9">
        <f t="array" ref="F23">ROUNDUP(XLOOKUP(A23,Custos!A:A,Custos!B:B)/(2.85*1.75),0)</f>
        <v>54</v>
      </c>
      <c r="G23" s="8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" t="s">
        <v>87</v>
      </c>
      <c r="B24" s="7" t="str">
        <f t="shared" si="2"/>
        <v>azul_marinho.jpg</v>
      </c>
      <c r="C24" s="3" t="s">
        <v>70</v>
      </c>
      <c r="D24" s="4"/>
      <c r="E24" s="2" t="s">
        <v>88</v>
      </c>
      <c r="F24" s="9">
        <f t="array" ref="F24">ROUNDUP(XLOOKUP(A24,Custos!A:A,Custos!B:B)/(2.85*1.75),0)</f>
        <v>54</v>
      </c>
      <c r="G24" s="8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" t="s">
        <v>89</v>
      </c>
      <c r="B25" s="5" t="s">
        <v>90</v>
      </c>
      <c r="C25" s="3" t="s">
        <v>70</v>
      </c>
      <c r="D25" s="1"/>
      <c r="E25" s="2" t="s">
        <v>91</v>
      </c>
      <c r="F25" s="9">
        <f t="array" ref="F25">ROUNDUP(XLOOKUP(A25,Custos!A:A,Custos!B:B)/(2.85*1.75),0)</f>
        <v>55</v>
      </c>
      <c r="G25" s="8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" t="s">
        <v>92</v>
      </c>
      <c r="B26" s="7" t="str">
        <f t="shared" ref="B26:B36" si="3">CONCAT(A26,".jpg")</f>
        <v>baviera.jpg</v>
      </c>
      <c r="C26" s="3" t="s">
        <v>67</v>
      </c>
      <c r="D26" s="4"/>
      <c r="E26" s="2" t="s">
        <v>93</v>
      </c>
      <c r="F26" s="9">
        <f t="array" ref="F26">ROUNDUP(XLOOKUP(A26,Custos!A:A,Custos!B:B)/(2.85*1.75),0)</f>
        <v>55</v>
      </c>
      <c r="G26" s="8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" t="s">
        <v>94</v>
      </c>
      <c r="B27" s="7" t="str">
        <f t="shared" si="3"/>
        <v>bilbao.jpg</v>
      </c>
      <c r="C27" s="3" t="s">
        <v>67</v>
      </c>
      <c r="D27" s="4"/>
      <c r="E27" s="2" t="s">
        <v>95</v>
      </c>
      <c r="F27" s="9">
        <f t="array" ref="F27">ROUNDUP(XLOOKUP(A27,Custos!A:A,Custos!B:B)/(2.85*1.75),0)</f>
        <v>55</v>
      </c>
      <c r="G27" s="8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" t="s">
        <v>96</v>
      </c>
      <c r="B28" s="7" t="str">
        <f t="shared" si="3"/>
        <v>branco.jpg</v>
      </c>
      <c r="C28" s="3" t="s">
        <v>70</v>
      </c>
      <c r="D28" s="4"/>
      <c r="E28" s="2" t="s">
        <v>97</v>
      </c>
      <c r="F28" s="9">
        <f t="array" ref="F28">ROUNDUP(XLOOKUP(A28,Custos!A:A,Custos!B:B)/(2.85*1.75),0)</f>
        <v>55</v>
      </c>
      <c r="G28" s="8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" t="s">
        <v>98</v>
      </c>
      <c r="B29" s="7" t="str">
        <f t="shared" si="3"/>
        <v>brisa.jpg</v>
      </c>
      <c r="C29" s="3" t="s">
        <v>70</v>
      </c>
      <c r="D29" s="4"/>
      <c r="E29" s="2" t="s">
        <v>99</v>
      </c>
      <c r="F29" s="9">
        <f t="array" ref="F29">ROUNDUP(XLOOKUP(A29,Custos!A:A,Custos!B:B)/(2.85*1.75),0)</f>
        <v>55</v>
      </c>
      <c r="G29" s="8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" t="s">
        <v>100</v>
      </c>
      <c r="B30" s="7" t="str">
        <f t="shared" si="3"/>
        <v>bronzina.jpg</v>
      </c>
      <c r="C30" s="3" t="s">
        <v>83</v>
      </c>
      <c r="D30" s="4"/>
      <c r="E30" s="2" t="s">
        <v>101</v>
      </c>
      <c r="F30" s="9">
        <f t="array" ref="F30">ROUNDUP(XLOOKUP(A30,Custos!A:A,Custos!B:B)/(2.85*1.75),0)</f>
        <v>56</v>
      </c>
      <c r="G30" s="8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" t="s">
        <v>102</v>
      </c>
      <c r="B31" s="7" t="str">
        <f t="shared" si="3"/>
        <v>capuccino.jpg</v>
      </c>
      <c r="C31" s="3" t="s">
        <v>70</v>
      </c>
      <c r="D31" s="4"/>
      <c r="E31" s="2" t="s">
        <v>103</v>
      </c>
      <c r="F31" s="9">
        <f t="array" ref="F31">ROUNDUP(XLOOKUP(A31,Custos!A:A,Custos!B:B)/(2.85*1.75),0)</f>
        <v>56</v>
      </c>
      <c r="G31" s="8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" t="s">
        <v>104</v>
      </c>
      <c r="B32" s="7" t="str">
        <f t="shared" si="3"/>
        <v>caribe.jpg</v>
      </c>
      <c r="C32" s="3" t="s">
        <v>67</v>
      </c>
      <c r="D32" s="1" t="s">
        <v>7</v>
      </c>
      <c r="E32" s="2" t="s">
        <v>105</v>
      </c>
      <c r="F32" s="9">
        <f t="array" ref="F32">ROUNDUP(XLOOKUP(A32,Custos!A:A,Custos!B:B)/(2.85*1.75),0)</f>
        <v>56</v>
      </c>
      <c r="G32" s="8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" t="s">
        <v>106</v>
      </c>
      <c r="B33" s="7" t="str">
        <f t="shared" si="3"/>
        <v>carvalho_capri.jpg</v>
      </c>
      <c r="C33" s="3" t="s">
        <v>67</v>
      </c>
      <c r="D33" s="4"/>
      <c r="E33" s="2" t="s">
        <v>107</v>
      </c>
      <c r="F33" s="9">
        <f t="array" ref="F33">ROUNDUP(XLOOKUP(A33,Custos!A:A,Custos!B:B)/(2.85*1.75),0)</f>
        <v>56</v>
      </c>
      <c r="G33" s="8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" t="s">
        <v>108</v>
      </c>
      <c r="B34" s="7" t="str">
        <f t="shared" si="3"/>
        <v>carvalho_natural.jpg</v>
      </c>
      <c r="C34" s="3" t="s">
        <v>67</v>
      </c>
      <c r="D34" s="4"/>
      <c r="E34" s="2" t="s">
        <v>109</v>
      </c>
      <c r="F34" s="9">
        <f t="array" ref="F34">ROUNDUP(XLOOKUP(A34,Custos!A:A,Custos!B:B)/(2.85*1.75),0)</f>
        <v>56</v>
      </c>
      <c r="G34" s="8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" t="s">
        <v>110</v>
      </c>
      <c r="B35" s="7" t="str">
        <f t="shared" si="3"/>
        <v>cinza_perfeito.jpg</v>
      </c>
      <c r="C35" s="3" t="s">
        <v>70</v>
      </c>
      <c r="D35" s="4"/>
      <c r="E35" s="2" t="s">
        <v>111</v>
      </c>
      <c r="F35" s="9">
        <f t="array" ref="F35">ROUNDUP(XLOOKUP(A35,Custos!A:A,Custos!B:B)/(2.85*1.75),0)</f>
        <v>57</v>
      </c>
      <c r="G35" s="8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" t="s">
        <v>112</v>
      </c>
      <c r="B36" s="7" t="str">
        <f t="shared" si="3"/>
        <v>cinza_urban.jpg</v>
      </c>
      <c r="C36" s="3" t="s">
        <v>83</v>
      </c>
      <c r="D36" s="4"/>
      <c r="E36" s="2" t="s">
        <v>113</v>
      </c>
      <c r="F36" s="9">
        <f t="array" ref="F36">ROUNDUP(XLOOKUP(A36,Custos!A:A,Custos!B:B)/(2.85*1.75),0)</f>
        <v>57</v>
      </c>
      <c r="G36" s="8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" t="s">
        <v>114</v>
      </c>
      <c r="B37" s="5" t="s">
        <v>115</v>
      </c>
      <c r="C37" s="3" t="s">
        <v>67</v>
      </c>
      <c r="D37" s="4"/>
      <c r="E37" s="2" t="s">
        <v>116</v>
      </c>
      <c r="F37" s="9">
        <f t="array" ref="F37">ROUNDUP(XLOOKUP(A37,Custos!A:A,Custos!B:B)/(2.85*1.75),0)</f>
        <v>57</v>
      </c>
      <c r="G37" s="8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" t="s">
        <v>117</v>
      </c>
      <c r="B38" s="7" t="str">
        <f t="shared" ref="B38:B89" si="4">CONCAT(A38,".jpg")</f>
        <v>cobre.jpg</v>
      </c>
      <c r="C38" s="3" t="s">
        <v>70</v>
      </c>
      <c r="D38" s="4"/>
      <c r="E38" s="2" t="s">
        <v>118</v>
      </c>
      <c r="F38" s="9">
        <f t="array" ref="F38">ROUNDUP(XLOOKUP(A38,Custos!A:A,Custos!B:B)/(2.85*1.75),0)</f>
        <v>57</v>
      </c>
      <c r="G38" s="8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" t="s">
        <v>119</v>
      </c>
      <c r="B39" s="7" t="str">
        <f t="shared" si="4"/>
        <v>corten.jpg</v>
      </c>
      <c r="C39" s="3" t="s">
        <v>83</v>
      </c>
      <c r="D39" s="4"/>
      <c r="E39" s="2" t="s">
        <v>120</v>
      </c>
      <c r="F39" s="9">
        <f t="array" ref="F39">ROUNDUP(XLOOKUP(A39,Custos!A:A,Custos!B:B)/(2.85*1.75),0)</f>
        <v>57</v>
      </c>
      <c r="G39" s="8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" t="s">
        <v>121</v>
      </c>
      <c r="B40" s="7" t="str">
        <f t="shared" si="4"/>
        <v>cosmos.jpg</v>
      </c>
      <c r="C40" s="3" t="s">
        <v>83</v>
      </c>
      <c r="D40" s="4"/>
      <c r="E40" s="2" t="s">
        <v>122</v>
      </c>
      <c r="F40" s="9">
        <f t="array" ref="F40">ROUNDUP(XLOOKUP(A40,Custos!A:A,Custos!B:B)/(2.85*1.75),0)</f>
        <v>58</v>
      </c>
      <c r="G40" s="8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" t="s">
        <v>123</v>
      </c>
      <c r="B41" s="7" t="str">
        <f t="shared" si="4"/>
        <v>cromio.jpg</v>
      </c>
      <c r="C41" s="3" t="s">
        <v>83</v>
      </c>
      <c r="D41" s="4"/>
      <c r="E41" s="2" t="s">
        <v>124</v>
      </c>
      <c r="F41" s="9">
        <f t="array" ref="F41">ROUNDUP(XLOOKUP(A41,Custos!A:A,Custos!B:B)/(2.85*1.75),0)</f>
        <v>58</v>
      </c>
      <c r="G41" s="8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" t="s">
        <v>125</v>
      </c>
      <c r="B42" s="7" t="str">
        <f t="shared" si="4"/>
        <v>curupixa.jpg</v>
      </c>
      <c r="C42" s="3" t="s">
        <v>67</v>
      </c>
      <c r="D42" s="4"/>
      <c r="E42" s="2" t="s">
        <v>126</v>
      </c>
      <c r="F42" s="9">
        <f t="array" ref="F42">ROUNDUP(XLOOKUP(A42,Custos!A:A,Custos!B:B)/(2.85*1.75),0)</f>
        <v>58</v>
      </c>
      <c r="G42" s="8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" t="s">
        <v>127</v>
      </c>
      <c r="B43" s="7" t="str">
        <f t="shared" si="4"/>
        <v>erva_mate.jpg</v>
      </c>
      <c r="C43" s="3" t="s">
        <v>70</v>
      </c>
      <c r="D43" s="4"/>
      <c r="E43" s="2" t="s">
        <v>128</v>
      </c>
      <c r="F43" s="9">
        <f t="array" ref="F43">ROUNDUP(XLOOKUP(A43,Custos!A:A,Custos!B:B)/(2.85*1.75),0)</f>
        <v>58</v>
      </c>
      <c r="G43" s="8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" t="s">
        <v>129</v>
      </c>
      <c r="B44" s="7" t="str">
        <f t="shared" si="4"/>
        <v>fendi.jpg</v>
      </c>
      <c r="C44" s="3" t="s">
        <v>70</v>
      </c>
      <c r="D44" s="4"/>
      <c r="E44" s="2" t="s">
        <v>130</v>
      </c>
      <c r="F44" s="9">
        <f t="array" ref="F44">ROUNDUP(XLOOKUP(A44,Custos!A:A,Custos!B:B)/(2.85*1.75),0)</f>
        <v>58</v>
      </c>
      <c r="G44" s="8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" t="s">
        <v>131</v>
      </c>
      <c r="B45" s="7" t="str">
        <f t="shared" si="4"/>
        <v>fontana.jpg</v>
      </c>
      <c r="C45" s="3" t="s">
        <v>83</v>
      </c>
      <c r="D45" s="4"/>
      <c r="E45" s="2" t="s">
        <v>132</v>
      </c>
      <c r="F45" s="9">
        <f t="array" ref="F45">ROUNDUP(XLOOKUP(A45,Custos!A:A,Custos!B:B)/(2.85*1.75),0)</f>
        <v>59</v>
      </c>
      <c r="G45" s="8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" t="s">
        <v>133</v>
      </c>
      <c r="B46" s="7" t="str">
        <f t="shared" si="4"/>
        <v>freijo.jpg</v>
      </c>
      <c r="C46" s="3" t="s">
        <v>67</v>
      </c>
      <c r="D46" s="4"/>
      <c r="E46" s="2" t="s">
        <v>134</v>
      </c>
      <c r="F46" s="9">
        <f t="array" ref="F46">ROUNDUP(XLOOKUP(A46,Custos!A:A,Custos!B:B)/(2.85*1.75),0)</f>
        <v>59</v>
      </c>
      <c r="G46" s="8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" t="s">
        <v>135</v>
      </c>
      <c r="B47" s="7" t="str">
        <f t="shared" si="4"/>
        <v>fresno_acores.jpg</v>
      </c>
      <c r="C47" s="3" t="s">
        <v>67</v>
      </c>
      <c r="D47" s="4"/>
      <c r="E47" s="2" t="s">
        <v>136</v>
      </c>
      <c r="F47" s="9">
        <f t="array" ref="F47">ROUNDUP(XLOOKUP(A47,Custos!A:A,Custos!B:B)/(2.85*1.75),0)</f>
        <v>59</v>
      </c>
      <c r="G47" s="8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" t="s">
        <v>137</v>
      </c>
      <c r="B48" s="7" t="str">
        <f t="shared" si="4"/>
        <v>fresno_aveiro.jpg</v>
      </c>
      <c r="C48" s="3" t="s">
        <v>67</v>
      </c>
      <c r="D48" s="4"/>
      <c r="E48" s="2" t="s">
        <v>138</v>
      </c>
      <c r="F48" s="9">
        <f t="array" ref="F48">ROUNDUP(XLOOKUP(A48,Custos!A:A,Custos!B:B)/(2.85*1.75),0)</f>
        <v>59</v>
      </c>
      <c r="G48" s="8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" t="s">
        <v>139</v>
      </c>
      <c r="B49" s="7" t="str">
        <f t="shared" si="4"/>
        <v>fresno_coimbra.jpg</v>
      </c>
      <c r="C49" s="3" t="s">
        <v>67</v>
      </c>
      <c r="D49" s="4"/>
      <c r="E49" s="2" t="s">
        <v>140</v>
      </c>
      <c r="F49" s="9">
        <f t="array" ref="F49">ROUNDUP(XLOOKUP(A49,Custos!A:A,Custos!B:B)/(2.85*1.75),0)</f>
        <v>59</v>
      </c>
      <c r="G49" s="8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" t="s">
        <v>141</v>
      </c>
      <c r="B50" s="7" t="str">
        <f t="shared" si="4"/>
        <v>fresno_madeira.jpg</v>
      </c>
      <c r="C50" s="3" t="s">
        <v>67</v>
      </c>
      <c r="D50" s="4"/>
      <c r="E50" s="2" t="s">
        <v>142</v>
      </c>
      <c r="F50" s="9">
        <f t="array" ref="F50">ROUNDUP(XLOOKUP(A50,Custos!A:A,Custos!B:B)/(2.85*1.75),0)</f>
        <v>60</v>
      </c>
      <c r="G50" s="8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" t="s">
        <v>143</v>
      </c>
      <c r="B51" s="7" t="str">
        <f t="shared" si="4"/>
        <v>gali.jpg</v>
      </c>
      <c r="C51" s="3" t="s">
        <v>83</v>
      </c>
      <c r="D51" s="4"/>
      <c r="E51" s="2" t="s">
        <v>144</v>
      </c>
      <c r="F51" s="9">
        <f t="array" ref="F51">ROUNDUP(XLOOKUP(A51,Custos!A:A,Custos!B:B)/(2.85*1.75),0)</f>
        <v>60</v>
      </c>
      <c r="G51" s="8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" t="s">
        <v>145</v>
      </c>
      <c r="B52" s="7" t="str">
        <f t="shared" si="4"/>
        <v>grafite.jpg</v>
      </c>
      <c r="C52" s="3" t="s">
        <v>70</v>
      </c>
      <c r="D52" s="4"/>
      <c r="E52" s="2" t="s">
        <v>146</v>
      </c>
      <c r="F52" s="9">
        <f t="array" ref="F52">ROUNDUP(XLOOKUP(A52,Custos!A:A,Custos!B:B)/(2.85*1.75),0)</f>
        <v>60</v>
      </c>
      <c r="G52" s="8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" t="s">
        <v>147</v>
      </c>
      <c r="B53" s="7" t="str">
        <f t="shared" si="4"/>
        <v>imbuia.jpg</v>
      </c>
      <c r="C53" s="3" t="s">
        <v>67</v>
      </c>
      <c r="D53" s="4"/>
      <c r="E53" s="2" t="s">
        <v>148</v>
      </c>
      <c r="F53" s="9">
        <f t="array" ref="F53">ROUNDUP(XLOOKUP(A53,Custos!A:A,Custos!B:B)/(2.85*1.75),0)</f>
        <v>60</v>
      </c>
      <c r="G53" s="8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" t="s">
        <v>149</v>
      </c>
      <c r="B54" s="7" t="str">
        <f t="shared" si="4"/>
        <v>jaspe.jpg</v>
      </c>
      <c r="C54" s="3" t="s">
        <v>83</v>
      </c>
      <c r="D54" s="4"/>
      <c r="E54" s="2" t="s">
        <v>150</v>
      </c>
      <c r="F54" s="9">
        <f t="array" ref="F54">ROUNDUP(XLOOKUP(A54,Custos!A:A,Custos!B:B)/(2.85*1.75),0)</f>
        <v>60</v>
      </c>
      <c r="G54" s="8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" t="s">
        <v>151</v>
      </c>
      <c r="B55" s="7" t="str">
        <f t="shared" si="4"/>
        <v>lisboa.jpg</v>
      </c>
      <c r="C55" s="3" t="s">
        <v>67</v>
      </c>
      <c r="D55" s="4"/>
      <c r="E55" s="2" t="s">
        <v>152</v>
      </c>
      <c r="F55" s="9">
        <f t="array" ref="F55">ROUNDUP(XLOOKUP(A55,Custos!A:A,Custos!B:B)/(2.85*1.75),0)</f>
        <v>61</v>
      </c>
      <c r="G55" s="8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" t="s">
        <v>153</v>
      </c>
      <c r="B56" s="7" t="str">
        <f t="shared" si="4"/>
        <v>lume.jpg</v>
      </c>
      <c r="C56" s="3" t="s">
        <v>70</v>
      </c>
      <c r="D56" s="4"/>
      <c r="E56" s="2" t="s">
        <v>154</v>
      </c>
      <c r="F56" s="9">
        <f t="array" ref="F56">ROUNDUP(XLOOKUP(A56,Custos!A:A,Custos!B:B)/(2.85*1.75),0)</f>
        <v>61</v>
      </c>
      <c r="G56" s="8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" t="s">
        <v>155</v>
      </c>
      <c r="B57" s="7" t="str">
        <f t="shared" si="4"/>
        <v>mangue.jpg</v>
      </c>
      <c r="C57" s="3" t="s">
        <v>70</v>
      </c>
      <c r="D57" s="4"/>
      <c r="E57" s="2" t="s">
        <v>156</v>
      </c>
      <c r="F57" s="9">
        <f t="array" ref="F57">ROUNDUP(XLOOKUP(A57,Custos!A:A,Custos!B:B)/(2.85*1.75),0)</f>
        <v>61</v>
      </c>
      <c r="G57" s="8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" t="s">
        <v>157</v>
      </c>
      <c r="B58" s="7" t="str">
        <f t="shared" si="4"/>
        <v>marmo.jpg</v>
      </c>
      <c r="C58" s="3" t="s">
        <v>83</v>
      </c>
      <c r="D58" s="4"/>
      <c r="E58" s="2" t="s">
        <v>158</v>
      </c>
      <c r="F58" s="9">
        <f t="array" ref="F58">ROUNDUP(XLOOKUP(A58,Custos!A:A,Custos!B:B)/(2.85*1.75),0)</f>
        <v>61</v>
      </c>
      <c r="G58" s="8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" t="s">
        <v>159</v>
      </c>
      <c r="B59" s="7" t="str">
        <f t="shared" si="4"/>
        <v>marsala.jpg</v>
      </c>
      <c r="C59" s="3" t="s">
        <v>70</v>
      </c>
      <c r="D59" s="4"/>
      <c r="E59" s="2" t="s">
        <v>160</v>
      </c>
      <c r="F59" s="9">
        <f t="array" ref="F59">ROUNDUP(XLOOKUP(A59,Custos!A:A,Custos!B:B)/(2.85*1.75),0)</f>
        <v>61</v>
      </c>
      <c r="G59" s="8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" t="s">
        <v>161</v>
      </c>
      <c r="B60" s="7" t="str">
        <f t="shared" si="4"/>
        <v>metal_champagne.jpg</v>
      </c>
      <c r="C60" s="3" t="s">
        <v>70</v>
      </c>
      <c r="D60" s="4"/>
      <c r="E60" s="2" t="s">
        <v>162</v>
      </c>
      <c r="F60" s="9">
        <f t="array" ref="F60">ROUNDUP(XLOOKUP(A60,Custos!A:A,Custos!B:B)/(2.85*1.75),0)</f>
        <v>62</v>
      </c>
      <c r="G60" s="8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" t="s">
        <v>163</v>
      </c>
      <c r="B61" s="7" t="str">
        <f t="shared" si="4"/>
        <v>neblina.jpg</v>
      </c>
      <c r="C61" s="3" t="s">
        <v>70</v>
      </c>
      <c r="D61" s="4"/>
      <c r="E61" s="2" t="s">
        <v>164</v>
      </c>
      <c r="F61" s="9">
        <f t="array" ref="F61">ROUNDUP(XLOOKUP(A61,Custos!A:A,Custos!B:B)/(2.85*1.75),0)</f>
        <v>62</v>
      </c>
      <c r="G61" s="8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" t="s">
        <v>165</v>
      </c>
      <c r="B62" s="7" t="str">
        <f t="shared" si="4"/>
        <v>nero.jpg</v>
      </c>
      <c r="C62" s="3" t="s">
        <v>67</v>
      </c>
      <c r="D62" s="4"/>
      <c r="E62" s="2" t="s">
        <v>166</v>
      </c>
      <c r="F62" s="9">
        <f t="array" ref="F62">ROUNDUP(XLOOKUP(A62,Custos!A:A,Custos!B:B)/(2.85*1.75),0)</f>
        <v>62</v>
      </c>
      <c r="G62" s="8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" t="s">
        <v>167</v>
      </c>
      <c r="B63" s="7" t="str">
        <f t="shared" si="4"/>
        <v>niquel.jpg</v>
      </c>
      <c r="C63" s="3" t="s">
        <v>70</v>
      </c>
      <c r="D63" s="4"/>
      <c r="E63" s="2" t="s">
        <v>168</v>
      </c>
      <c r="F63" s="9">
        <f t="array" ref="F63">ROUNDUP(XLOOKUP(A63,Custos!A:A,Custos!B:B)/(2.85*1.75),0)</f>
        <v>62</v>
      </c>
      <c r="G63" s="8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" t="s">
        <v>169</v>
      </c>
      <c r="B64" s="7" t="str">
        <f t="shared" si="4"/>
        <v>nogal_champagne.jpg</v>
      </c>
      <c r="C64" s="3" t="s">
        <v>67</v>
      </c>
      <c r="D64" s="4"/>
      <c r="E64" s="2" t="s">
        <v>170</v>
      </c>
      <c r="F64" s="9">
        <f t="array" ref="F64">ROUNDUP(XLOOKUP(A64,Custos!A:A,Custos!B:B)/(2.85*1.75),0)</f>
        <v>62</v>
      </c>
      <c r="G64" s="8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" t="s">
        <v>171</v>
      </c>
      <c r="B65" s="7" t="str">
        <f t="shared" si="4"/>
        <v>nogal_sevilha.jpg</v>
      </c>
      <c r="C65" s="3" t="s">
        <v>67</v>
      </c>
      <c r="D65" s="4"/>
      <c r="E65" s="2" t="s">
        <v>172</v>
      </c>
      <c r="F65" s="9">
        <f t="array" ref="F65">ROUNDUP(XLOOKUP(A65,Custos!A:A,Custos!B:B)/(2.85*1.75),0)</f>
        <v>63</v>
      </c>
      <c r="G65" s="8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" t="s">
        <v>173</v>
      </c>
      <c r="B66" s="7" t="str">
        <f t="shared" si="4"/>
        <v>nogueira_ambar.jpg</v>
      </c>
      <c r="C66" s="3" t="s">
        <v>67</v>
      </c>
      <c r="D66" s="4"/>
      <c r="E66" s="2" t="s">
        <v>174</v>
      </c>
      <c r="F66" s="9">
        <f t="array" ref="F66">ROUNDUP(XLOOKUP(A66,Custos!A:A,Custos!B:B)/(2.85*1.75),0)</f>
        <v>63</v>
      </c>
      <c r="G66" s="8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" t="s">
        <v>175</v>
      </c>
      <c r="B67" s="7" t="str">
        <f t="shared" si="4"/>
        <v>nogueira_rubi.jpg</v>
      </c>
      <c r="C67" s="3" t="s">
        <v>67</v>
      </c>
      <c r="D67" s="4"/>
      <c r="E67" s="2" t="s">
        <v>176</v>
      </c>
      <c r="F67" s="9">
        <f t="array" ref="F67">ROUNDUP(XLOOKUP(A67,Custos!A:A,Custos!B:B)/(2.85*1.75),0)</f>
        <v>63</v>
      </c>
      <c r="G67" s="8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" t="s">
        <v>177</v>
      </c>
      <c r="B68" s="7" t="str">
        <f t="shared" si="4"/>
        <v>noite.jpg</v>
      </c>
      <c r="C68" s="3" t="s">
        <v>70</v>
      </c>
      <c r="D68" s="4"/>
      <c r="E68" s="2" t="s">
        <v>178</v>
      </c>
      <c r="F68" s="9">
        <f t="array" ref="F68">ROUNDUP(XLOOKUP(A68,Custos!A:A,Custos!B:B)/(2.85*1.75),0)</f>
        <v>63</v>
      </c>
      <c r="G68" s="8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" t="s">
        <v>179</v>
      </c>
      <c r="B69" s="7" t="str">
        <f t="shared" si="4"/>
        <v>nuvem.jpg</v>
      </c>
      <c r="C69" s="3" t="s">
        <v>70</v>
      </c>
      <c r="D69" s="4"/>
      <c r="E69" s="2" t="s">
        <v>180</v>
      </c>
      <c r="F69" s="9">
        <f t="array" ref="F69">ROUNDUP(XLOOKUP(A69,Custos!A:A,Custos!B:B)/(2.85*1.75),0)</f>
        <v>63</v>
      </c>
      <c r="G69" s="8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" t="s">
        <v>181</v>
      </c>
      <c r="B70" s="7" t="str">
        <f t="shared" si="4"/>
        <v>onix.jpg</v>
      </c>
      <c r="C70" s="3" t="s">
        <v>70</v>
      </c>
      <c r="D70" s="4"/>
      <c r="E70" s="2" t="s">
        <v>182</v>
      </c>
      <c r="F70" s="9">
        <f t="array" ref="F70">ROUNDUP(XLOOKUP(A70,Custos!A:A,Custos!B:B)/(2.85*1.75),0)</f>
        <v>64</v>
      </c>
      <c r="G70" s="8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" t="s">
        <v>183</v>
      </c>
      <c r="B71" s="7" t="str">
        <f t="shared" si="4"/>
        <v>pau_ferro.jpg</v>
      </c>
      <c r="C71" s="3" t="s">
        <v>67</v>
      </c>
      <c r="D71" s="4"/>
      <c r="E71" s="2" t="s">
        <v>184</v>
      </c>
      <c r="F71" s="9">
        <f t="array" ref="F71">ROUNDUP(XLOOKUP(A71,Custos!A:A,Custos!B:B)/(2.85*1.75),0)</f>
        <v>64</v>
      </c>
      <c r="G71" s="8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" t="s">
        <v>185</v>
      </c>
      <c r="B72" s="7" t="str">
        <f t="shared" si="4"/>
        <v>peroba.jpg</v>
      </c>
      <c r="C72" s="3" t="s">
        <v>67</v>
      </c>
      <c r="D72" s="4"/>
      <c r="E72" s="2" t="s">
        <v>186</v>
      </c>
      <c r="F72" s="9">
        <f t="array" ref="F72">ROUNDUP(XLOOKUP(A72,Custos!A:A,Custos!B:B)/(2.85*1.75),0)</f>
        <v>64</v>
      </c>
      <c r="G72" s="8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" t="s">
        <v>187</v>
      </c>
      <c r="B73" s="7" t="str">
        <f t="shared" si="4"/>
        <v>petra.jpg</v>
      </c>
      <c r="C73" s="3" t="s">
        <v>83</v>
      </c>
      <c r="D73" s="4"/>
      <c r="E73" s="2" t="s">
        <v>188</v>
      </c>
      <c r="F73" s="9">
        <f t="array" ref="F73">ROUNDUP(XLOOKUP(A73,Custos!A:A,Custos!B:B)/(2.85*1.75),0)</f>
        <v>64</v>
      </c>
      <c r="G73" s="8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" t="s">
        <v>189</v>
      </c>
      <c r="B74" s="7" t="str">
        <f t="shared" si="4"/>
        <v>platina.jpg</v>
      </c>
      <c r="C74" s="3" t="s">
        <v>83</v>
      </c>
      <c r="D74" s="4"/>
      <c r="E74" s="2" t="s">
        <v>190</v>
      </c>
      <c r="F74" s="9">
        <f t="array" ref="F74">ROUNDUP(XLOOKUP(A74,Custos!A:A,Custos!B:B)/(2.85*1.75),0)</f>
        <v>64</v>
      </c>
      <c r="G74" s="8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" t="s">
        <v>191</v>
      </c>
      <c r="B75" s="7" t="str">
        <f t="shared" si="4"/>
        <v>preto_silk.jpg</v>
      </c>
      <c r="C75" s="3" t="s">
        <v>70</v>
      </c>
      <c r="D75" s="4"/>
      <c r="E75" s="2" t="s">
        <v>192</v>
      </c>
      <c r="F75" s="9">
        <f t="array" ref="F75">ROUNDUP(XLOOKUP(A75,Custos!A:A,Custos!B:B)/(2.85*1.75),0)</f>
        <v>65</v>
      </c>
      <c r="G75" s="8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" t="s">
        <v>193</v>
      </c>
      <c r="B76" s="7" t="str">
        <f t="shared" si="4"/>
        <v>quartzo.jpg</v>
      </c>
      <c r="C76" s="3" t="s">
        <v>83</v>
      </c>
      <c r="D76" s="4"/>
      <c r="E76" s="2" t="s">
        <v>194</v>
      </c>
      <c r="F76" s="9">
        <f t="array" ref="F76">ROUNDUP(XLOOKUP(A76,Custos!A:A,Custos!B:B)/(2.85*1.75),0)</f>
        <v>65</v>
      </c>
      <c r="G76" s="8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" t="s">
        <v>195</v>
      </c>
      <c r="B77" s="7" t="str">
        <f t="shared" si="4"/>
        <v>rosa_milkshake.jpg</v>
      </c>
      <c r="C77" s="3" t="s">
        <v>70</v>
      </c>
      <c r="D77" s="4"/>
      <c r="E77" s="2" t="s">
        <v>196</v>
      </c>
      <c r="F77" s="9">
        <f t="array" ref="F77">ROUNDUP(XLOOKUP(A77,Custos!A:A,Custos!B:B)/(2.85*1.75),0)</f>
        <v>65</v>
      </c>
      <c r="G77" s="8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" t="s">
        <v>197</v>
      </c>
      <c r="B78" s="7" t="str">
        <f t="shared" si="4"/>
        <v>salerno.jpg</v>
      </c>
      <c r="C78" s="3" t="s">
        <v>67</v>
      </c>
      <c r="D78" s="4"/>
      <c r="E78" s="2" t="s">
        <v>198</v>
      </c>
      <c r="F78" s="9">
        <f t="array" ref="F78">ROUNDUP(XLOOKUP(A78,Custos!A:A,Custos!B:B)/(2.85*1.75),0)</f>
        <v>65</v>
      </c>
      <c r="G78" s="8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" t="s">
        <v>199</v>
      </c>
      <c r="B79" s="7" t="str">
        <f t="shared" si="4"/>
        <v>santorini.jpg</v>
      </c>
      <c r="C79" s="3" t="s">
        <v>83</v>
      </c>
      <c r="D79" s="4"/>
      <c r="E79" s="2" t="s">
        <v>200</v>
      </c>
      <c r="F79" s="9">
        <f t="array" ref="F79">ROUNDUP(XLOOKUP(A79,Custos!A:A,Custos!B:B)/(2.85*1.75),0)</f>
        <v>65</v>
      </c>
      <c r="G79" s="8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" t="s">
        <v>201</v>
      </c>
      <c r="B80" s="7" t="str">
        <f t="shared" si="4"/>
        <v>savana.jpg</v>
      </c>
      <c r="C80" s="3" t="s">
        <v>67</v>
      </c>
      <c r="D80" s="4"/>
      <c r="E80" s="2" t="s">
        <v>202</v>
      </c>
      <c r="F80" s="9">
        <f t="array" ref="F80">ROUNDUP(XLOOKUP(A80,Custos!A:A,Custos!B:B)/(2.85*1.75),0)</f>
        <v>66</v>
      </c>
      <c r="G80" s="8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" t="s">
        <v>203</v>
      </c>
      <c r="B81" s="7" t="str">
        <f t="shared" si="4"/>
        <v>sonora.jpg</v>
      </c>
      <c r="C81" s="3" t="s">
        <v>67</v>
      </c>
      <c r="D81" s="4"/>
      <c r="E81" s="2" t="s">
        <v>204</v>
      </c>
      <c r="F81" s="9">
        <f t="array" ref="F81">ROUNDUP(XLOOKUP(A81,Custos!A:A,Custos!B:B)/(2.85*1.75),0)</f>
        <v>66</v>
      </c>
      <c r="G81" s="8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" t="s">
        <v>205</v>
      </c>
      <c r="B82" s="7" t="str">
        <f t="shared" si="4"/>
        <v>tauari.jpg</v>
      </c>
      <c r="C82" s="3" t="s">
        <v>67</v>
      </c>
      <c r="D82" s="4"/>
      <c r="E82" s="2" t="s">
        <v>206</v>
      </c>
      <c r="F82" s="9">
        <f t="array" ref="F82">ROUNDUP(XLOOKUP(A82,Custos!A:A,Custos!B:B)/(2.85*1.75),0)</f>
        <v>66</v>
      </c>
      <c r="G82" s="8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" t="s">
        <v>207</v>
      </c>
      <c r="B83" s="7" t="str">
        <f t="shared" si="4"/>
        <v>tear.jpg</v>
      </c>
      <c r="C83" s="3" t="s">
        <v>83</v>
      </c>
      <c r="D83" s="4"/>
      <c r="E83" s="2" t="s">
        <v>208</v>
      </c>
      <c r="F83" s="9">
        <f t="array" ref="F83">ROUNDUP(XLOOKUP(A83,Custos!A:A,Custos!B:B)/(2.85*1.75),0)</f>
        <v>66</v>
      </c>
      <c r="G83" s="8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" t="s">
        <v>209</v>
      </c>
      <c r="B84" s="7" t="str">
        <f t="shared" si="4"/>
        <v>tecno.jpg</v>
      </c>
      <c r="C84" s="3" t="s">
        <v>83</v>
      </c>
      <c r="D84" s="4"/>
      <c r="E84" s="2" t="s">
        <v>210</v>
      </c>
      <c r="F84" s="9">
        <f t="array" ref="F84">ROUNDUP(XLOOKUP(A84,Custos!A:A,Custos!B:B)/(2.85*1.75),0)</f>
        <v>66</v>
      </c>
      <c r="G84" s="8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" t="s">
        <v>211</v>
      </c>
      <c r="B85" s="7" t="str">
        <f t="shared" si="4"/>
        <v>teka_bianco.jpg</v>
      </c>
      <c r="C85" s="3" t="s">
        <v>67</v>
      </c>
      <c r="D85" s="4"/>
      <c r="E85" s="2" t="s">
        <v>212</v>
      </c>
      <c r="F85" s="9">
        <f t="array" ref="F85">ROUNDUP(XLOOKUP(A85,Custos!A:A,Custos!B:B)/(2.85*1.75),0)</f>
        <v>67</v>
      </c>
      <c r="G85" s="8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" t="s">
        <v>213</v>
      </c>
      <c r="B86" s="7" t="str">
        <f t="shared" si="4"/>
        <v>tela.jpg</v>
      </c>
      <c r="C86" s="3" t="s">
        <v>83</v>
      </c>
      <c r="D86" s="4"/>
      <c r="E86" s="2" t="s">
        <v>214</v>
      </c>
      <c r="F86" s="9">
        <f t="array" ref="F86">ROUNDUP(XLOOKUP(A86,Custos!A:A,Custos!B:B)/(2.85*1.75),0)</f>
        <v>67</v>
      </c>
      <c r="G86" s="8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" t="s">
        <v>215</v>
      </c>
      <c r="B87" s="7" t="str">
        <f t="shared" si="4"/>
        <v>terrino.jpg</v>
      </c>
      <c r="C87" s="3" t="s">
        <v>70</v>
      </c>
      <c r="D87" s="4"/>
      <c r="E87" s="2" t="s">
        <v>216</v>
      </c>
      <c r="F87" s="9">
        <f t="array" ref="F87">ROUNDUP(XLOOKUP(A87,Custos!A:A,Custos!B:B)/(2.85*1.75),0)</f>
        <v>67</v>
      </c>
      <c r="G87" s="8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" t="s">
        <v>217</v>
      </c>
      <c r="B88" s="7" t="str">
        <f t="shared" si="4"/>
        <v>tijolo.jpg</v>
      </c>
      <c r="C88" s="3" t="s">
        <v>70</v>
      </c>
      <c r="D88" s="4"/>
      <c r="E88" s="2" t="s">
        <v>218</v>
      </c>
      <c r="F88" s="9">
        <f t="array" ref="F88">ROUNDUP(XLOOKUP(A88,Custos!A:A,Custos!B:B)/(2.85*1.75),0)</f>
        <v>67</v>
      </c>
      <c r="G88" s="8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" t="s">
        <v>219</v>
      </c>
      <c r="B89" s="7" t="str">
        <f t="shared" si="4"/>
        <v>branco_tx.jpg</v>
      </c>
      <c r="C89" s="3" t="s">
        <v>6</v>
      </c>
      <c r="D89" s="1" t="s">
        <v>7</v>
      </c>
      <c r="E89" s="2" t="str">
        <f>B89</f>
        <v>branco_tx.jpg</v>
      </c>
      <c r="F89" s="9">
        <f t="array" ref="F89">ROUNDUP(XLOOKUP(A89,Custos!A:A,Custos!B:B)/(2.85*1.75),0)</f>
        <v>51</v>
      </c>
      <c r="G89" s="8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E90" s="2"/>
      <c r="F90" s="8"/>
      <c r="G90" s="8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E91" s="2"/>
      <c r="F91" s="8"/>
      <c r="G91" s="8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E92" s="2"/>
      <c r="F92" s="8"/>
      <c r="G92" s="8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E93" s="2"/>
      <c r="F93" s="8"/>
      <c r="G93" s="8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E94" s="2"/>
      <c r="F94" s="8"/>
      <c r="G94" s="8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E95" s="2"/>
      <c r="F95" s="8"/>
      <c r="G95" s="8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E96" s="2"/>
      <c r="F96" s="8"/>
      <c r="G96" s="8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2"/>
      <c r="B97" s="7"/>
      <c r="C97" s="2"/>
      <c r="D97" s="4"/>
      <c r="E97" s="2"/>
      <c r="F97" s="8"/>
      <c r="G97" s="8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2"/>
      <c r="B98" s="7"/>
      <c r="C98" s="2"/>
      <c r="D98" s="4"/>
      <c r="E98" s="2"/>
      <c r="F98" s="8"/>
      <c r="G98" s="8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2"/>
      <c r="B99" s="7"/>
      <c r="C99" s="2"/>
      <c r="D99" s="4"/>
      <c r="E99" s="2"/>
      <c r="F99" s="8"/>
      <c r="G99" s="8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2"/>
      <c r="B100" s="7"/>
      <c r="C100" s="2"/>
      <c r="D100" s="4"/>
      <c r="E100" s="2"/>
      <c r="F100" s="8"/>
      <c r="G100" s="8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2"/>
      <c r="B101" s="7"/>
      <c r="C101" s="2"/>
      <c r="D101" s="4"/>
      <c r="E101" s="2"/>
      <c r="F101" s="8"/>
      <c r="G101" s="8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2"/>
      <c r="B102" s="7"/>
      <c r="C102" s="2"/>
      <c r="D102" s="4"/>
      <c r="E102" s="2"/>
      <c r="F102" s="8"/>
      <c r="G102" s="8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2"/>
      <c r="B103" s="7"/>
      <c r="C103" s="2"/>
      <c r="D103" s="4"/>
      <c r="E103" s="2"/>
      <c r="F103" s="8"/>
      <c r="G103" s="8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2"/>
      <c r="B104" s="7"/>
      <c r="C104" s="2"/>
      <c r="D104" s="4"/>
      <c r="E104" s="2"/>
      <c r="F104" s="8"/>
      <c r="G104" s="8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2"/>
      <c r="B105" s="7"/>
      <c r="C105" s="2"/>
      <c r="D105" s="4"/>
      <c r="E105" s="2"/>
      <c r="F105" s="8"/>
      <c r="G105" s="8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2"/>
      <c r="B106" s="7"/>
      <c r="C106" s="2"/>
      <c r="D106" s="4"/>
      <c r="E106" s="2"/>
      <c r="F106" s="8"/>
      <c r="G106" s="8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2"/>
      <c r="B107" s="7"/>
      <c r="C107" s="2"/>
      <c r="D107" s="4"/>
      <c r="E107" s="2"/>
      <c r="F107" s="8"/>
      <c r="G107" s="8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2"/>
      <c r="B108" s="7"/>
      <c r="C108" s="2"/>
      <c r="D108" s="4"/>
      <c r="E108" s="2"/>
      <c r="F108" s="8"/>
      <c r="G108" s="8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2"/>
      <c r="B109" s="7"/>
      <c r="C109" s="2"/>
      <c r="D109" s="4"/>
      <c r="E109" s="2"/>
      <c r="F109" s="8"/>
      <c r="G109" s="8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2"/>
      <c r="B110" s="7"/>
      <c r="C110" s="2"/>
      <c r="D110" s="4"/>
      <c r="E110" s="2"/>
      <c r="F110" s="8"/>
      <c r="G110" s="8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2"/>
      <c r="B111" s="7"/>
      <c r="C111" s="2"/>
      <c r="D111" s="4"/>
      <c r="E111" s="2"/>
      <c r="F111" s="8"/>
      <c r="G111" s="8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2"/>
      <c r="B112" s="7"/>
      <c r="C112" s="2"/>
      <c r="D112" s="4"/>
      <c r="E112" s="2"/>
      <c r="F112" s="8"/>
      <c r="G112" s="8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2"/>
      <c r="B113" s="7"/>
      <c r="C113" s="2"/>
      <c r="D113" s="4"/>
      <c r="E113" s="2"/>
      <c r="F113" s="8"/>
      <c r="G113" s="8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2"/>
      <c r="B114" s="7"/>
      <c r="C114" s="2"/>
      <c r="D114" s="4"/>
      <c r="E114" s="2"/>
      <c r="F114" s="8"/>
      <c r="G114" s="8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2"/>
      <c r="B115" s="7"/>
      <c r="C115" s="2"/>
      <c r="D115" s="4"/>
      <c r="E115" s="2"/>
      <c r="F115" s="8"/>
      <c r="G115" s="8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2"/>
      <c r="B116" s="7"/>
      <c r="C116" s="2"/>
      <c r="D116" s="4"/>
      <c r="E116" s="2"/>
      <c r="F116" s="8"/>
      <c r="G116" s="8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2"/>
      <c r="B117" s="7"/>
      <c r="C117" s="2"/>
      <c r="D117" s="4"/>
      <c r="E117" s="2"/>
      <c r="F117" s="8"/>
      <c r="G117" s="8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2"/>
      <c r="B118" s="7"/>
      <c r="C118" s="2"/>
      <c r="D118" s="4"/>
      <c r="E118" s="2"/>
      <c r="F118" s="8"/>
      <c r="G118" s="8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2"/>
      <c r="B119" s="7"/>
      <c r="C119" s="2"/>
      <c r="D119" s="4"/>
      <c r="E119" s="2"/>
      <c r="F119" s="8"/>
      <c r="G119" s="8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2"/>
      <c r="B120" s="7"/>
      <c r="C120" s="2"/>
      <c r="D120" s="4"/>
      <c r="E120" s="2"/>
      <c r="F120" s="8"/>
      <c r="G120" s="8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2"/>
      <c r="B121" s="7"/>
      <c r="C121" s="2"/>
      <c r="D121" s="4"/>
      <c r="E121" s="2"/>
      <c r="F121" s="8"/>
      <c r="G121" s="8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2"/>
      <c r="B122" s="7"/>
      <c r="C122" s="2"/>
      <c r="D122" s="4"/>
      <c r="E122" s="2"/>
      <c r="F122" s="8"/>
      <c r="G122" s="8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2"/>
      <c r="B123" s="7"/>
      <c r="C123" s="2"/>
      <c r="D123" s="4"/>
      <c r="E123" s="2"/>
      <c r="F123" s="8"/>
      <c r="G123" s="8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2"/>
      <c r="B124" s="7"/>
      <c r="C124" s="2"/>
      <c r="D124" s="4"/>
      <c r="E124" s="2"/>
      <c r="F124" s="8"/>
      <c r="G124" s="8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2"/>
      <c r="B125" s="7"/>
      <c r="C125" s="2"/>
      <c r="D125" s="4"/>
      <c r="E125" s="2"/>
      <c r="F125" s="8"/>
      <c r="G125" s="8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2"/>
      <c r="B126" s="7"/>
      <c r="C126" s="2"/>
      <c r="D126" s="4"/>
      <c r="E126" s="2"/>
      <c r="F126" s="8"/>
      <c r="G126" s="8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2"/>
      <c r="B127" s="7"/>
      <c r="C127" s="2"/>
      <c r="D127" s="4"/>
      <c r="E127" s="2"/>
      <c r="F127" s="8"/>
      <c r="G127" s="8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2"/>
      <c r="B128" s="7"/>
      <c r="C128" s="2"/>
      <c r="D128" s="4"/>
      <c r="E128" s="2"/>
      <c r="F128" s="8"/>
      <c r="G128" s="8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2"/>
      <c r="B129" s="7"/>
      <c r="C129" s="2"/>
      <c r="D129" s="4"/>
      <c r="E129" s="2"/>
      <c r="F129" s="8"/>
      <c r="G129" s="8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2"/>
      <c r="B130" s="7"/>
      <c r="C130" s="2"/>
      <c r="D130" s="4"/>
      <c r="E130" s="2"/>
      <c r="F130" s="8"/>
      <c r="G130" s="8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2"/>
      <c r="B131" s="7"/>
      <c r="C131" s="2"/>
      <c r="D131" s="4"/>
      <c r="E131" s="2"/>
      <c r="F131" s="8"/>
      <c r="G131" s="8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2"/>
      <c r="B132" s="7"/>
      <c r="C132" s="2"/>
      <c r="D132" s="4"/>
      <c r="E132" s="2"/>
      <c r="F132" s="8"/>
      <c r="G132" s="8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2"/>
      <c r="B133" s="7"/>
      <c r="C133" s="2"/>
      <c r="D133" s="4"/>
      <c r="E133" s="2"/>
      <c r="F133" s="8"/>
      <c r="G133" s="8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2"/>
      <c r="B134" s="7"/>
      <c r="C134" s="2"/>
      <c r="D134" s="4"/>
      <c r="E134" s="2"/>
      <c r="F134" s="8"/>
      <c r="G134" s="8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2"/>
      <c r="B135" s="7"/>
      <c r="C135" s="2"/>
      <c r="D135" s="4"/>
      <c r="E135" s="2"/>
      <c r="F135" s="8"/>
      <c r="G135" s="8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2"/>
      <c r="B136" s="7"/>
      <c r="C136" s="2"/>
      <c r="D136" s="4"/>
      <c r="E136" s="2"/>
      <c r="F136" s="8"/>
      <c r="G136" s="8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2"/>
      <c r="B137" s="7"/>
      <c r="C137" s="2"/>
      <c r="D137" s="4"/>
      <c r="E137" s="2"/>
      <c r="F137" s="8"/>
      <c r="G137" s="8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2"/>
      <c r="B138" s="7"/>
      <c r="C138" s="2"/>
      <c r="D138" s="4"/>
      <c r="E138" s="2"/>
      <c r="F138" s="8"/>
      <c r="G138" s="8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2"/>
      <c r="B139" s="7"/>
      <c r="C139" s="2"/>
      <c r="D139" s="4"/>
      <c r="E139" s="2"/>
      <c r="F139" s="8"/>
      <c r="G139" s="8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2"/>
      <c r="B140" s="7"/>
      <c r="C140" s="2"/>
      <c r="D140" s="4"/>
      <c r="E140" s="2"/>
      <c r="F140" s="8"/>
      <c r="G140" s="8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2"/>
      <c r="B141" s="7"/>
      <c r="C141" s="2"/>
      <c r="D141" s="4"/>
      <c r="E141" s="2"/>
      <c r="F141" s="8"/>
      <c r="G141" s="8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2"/>
      <c r="B142" s="7"/>
      <c r="C142" s="2"/>
      <c r="D142" s="4"/>
      <c r="E142" s="2"/>
      <c r="F142" s="8"/>
      <c r="G142" s="8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2"/>
      <c r="B143" s="7"/>
      <c r="C143" s="2"/>
      <c r="D143" s="4"/>
      <c r="E143" s="2"/>
      <c r="F143" s="8"/>
      <c r="G143" s="8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2"/>
      <c r="B144" s="7"/>
      <c r="C144" s="2"/>
      <c r="D144" s="4"/>
      <c r="E144" s="2"/>
      <c r="F144" s="8"/>
      <c r="G144" s="8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2"/>
      <c r="B145" s="7"/>
      <c r="C145" s="2"/>
      <c r="D145" s="4"/>
      <c r="E145" s="2"/>
      <c r="F145" s="8"/>
      <c r="G145" s="8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2"/>
      <c r="B146" s="7"/>
      <c r="C146" s="2"/>
      <c r="D146" s="4"/>
      <c r="E146" s="2"/>
      <c r="F146" s="8"/>
      <c r="G146" s="8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2"/>
      <c r="B147" s="7"/>
      <c r="C147" s="2"/>
      <c r="D147" s="4"/>
      <c r="E147" s="2"/>
      <c r="F147" s="8"/>
      <c r="G147" s="8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2"/>
      <c r="B148" s="7"/>
      <c r="C148" s="2"/>
      <c r="D148" s="4"/>
      <c r="E148" s="2"/>
      <c r="F148" s="8"/>
      <c r="G148" s="8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2"/>
      <c r="B149" s="7"/>
      <c r="C149" s="2"/>
      <c r="D149" s="4"/>
      <c r="E149" s="2"/>
      <c r="F149" s="8"/>
      <c r="G149" s="8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2"/>
      <c r="B150" s="7"/>
      <c r="C150" s="2"/>
      <c r="D150" s="4"/>
      <c r="E150" s="2"/>
      <c r="F150" s="8"/>
      <c r="G150" s="8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2"/>
      <c r="B151" s="7"/>
      <c r="C151" s="2"/>
      <c r="D151" s="4"/>
      <c r="E151" s="2"/>
      <c r="F151" s="8"/>
      <c r="G151" s="8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2"/>
      <c r="B152" s="7"/>
      <c r="C152" s="2"/>
      <c r="D152" s="4"/>
      <c r="E152" s="2"/>
      <c r="F152" s="8"/>
      <c r="G152" s="8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2"/>
      <c r="B153" s="7"/>
      <c r="C153" s="2"/>
      <c r="D153" s="4"/>
      <c r="E153" s="2"/>
      <c r="F153" s="8"/>
      <c r="G153" s="8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2"/>
      <c r="B154" s="7"/>
      <c r="C154" s="2"/>
      <c r="D154" s="4"/>
      <c r="E154" s="2"/>
      <c r="F154" s="8"/>
      <c r="G154" s="8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2"/>
      <c r="B155" s="7"/>
      <c r="C155" s="2"/>
      <c r="D155" s="4"/>
      <c r="E155" s="2"/>
      <c r="F155" s="8"/>
      <c r="G155" s="8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2"/>
      <c r="B156" s="7"/>
      <c r="C156" s="2"/>
      <c r="D156" s="4"/>
      <c r="E156" s="2"/>
      <c r="F156" s="8"/>
      <c r="G156" s="8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2"/>
      <c r="B157" s="7"/>
      <c r="C157" s="2"/>
      <c r="D157" s="4"/>
      <c r="E157" s="2"/>
      <c r="F157" s="8"/>
      <c r="G157" s="8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2"/>
      <c r="B158" s="7"/>
      <c r="C158" s="2"/>
      <c r="D158" s="4"/>
      <c r="E158" s="2"/>
      <c r="F158" s="8"/>
      <c r="G158" s="8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2"/>
      <c r="B159" s="7"/>
      <c r="C159" s="2"/>
      <c r="D159" s="4"/>
      <c r="E159" s="2"/>
      <c r="F159" s="8"/>
      <c r="G159" s="8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2"/>
      <c r="B160" s="7"/>
      <c r="C160" s="2"/>
      <c r="D160" s="4"/>
      <c r="E160" s="2"/>
      <c r="F160" s="8"/>
      <c r="G160" s="8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2"/>
      <c r="B161" s="7"/>
      <c r="C161" s="2"/>
      <c r="D161" s="4"/>
      <c r="E161" s="2"/>
      <c r="F161" s="8"/>
      <c r="G161" s="8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2"/>
      <c r="B162" s="7"/>
      <c r="C162" s="2"/>
      <c r="D162" s="4"/>
      <c r="E162" s="2"/>
      <c r="F162" s="8"/>
      <c r="G162" s="8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2"/>
      <c r="B163" s="7"/>
      <c r="C163" s="2"/>
      <c r="D163" s="4"/>
      <c r="E163" s="2"/>
      <c r="F163" s="8"/>
      <c r="G163" s="8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</row>
    <row r="164">
      <c r="A164" s="2"/>
      <c r="B164" s="7"/>
      <c r="C164" s="2"/>
      <c r="D164" s="4"/>
      <c r="E164" s="2"/>
      <c r="F164" s="8"/>
      <c r="G164" s="8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</row>
    <row r="165">
      <c r="A165" s="2"/>
      <c r="B165" s="7"/>
      <c r="C165" s="2"/>
      <c r="D165" s="4"/>
      <c r="E165" s="2"/>
      <c r="F165" s="8"/>
      <c r="G165" s="8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</row>
    <row r="166">
      <c r="A166" s="2"/>
      <c r="B166" s="7"/>
      <c r="C166" s="2"/>
      <c r="D166" s="4"/>
      <c r="E166" s="2"/>
      <c r="F166" s="8"/>
      <c r="G166" s="8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</row>
    <row r="167">
      <c r="A167" s="2"/>
      <c r="B167" s="7"/>
      <c r="C167" s="2"/>
      <c r="D167" s="4"/>
      <c r="E167" s="2"/>
      <c r="F167" s="8"/>
      <c r="G167" s="8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</row>
    <row r="168">
      <c r="A168" s="2"/>
      <c r="B168" s="7"/>
      <c r="C168" s="2"/>
      <c r="D168" s="4"/>
      <c r="E168" s="2"/>
      <c r="F168" s="8"/>
      <c r="G168" s="8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</row>
    <row r="169">
      <c r="A169" s="2"/>
      <c r="B169" s="7"/>
      <c r="C169" s="2"/>
      <c r="D169" s="4"/>
      <c r="E169" s="2"/>
      <c r="F169" s="8"/>
      <c r="G169" s="8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</row>
    <row r="170">
      <c r="A170" s="2"/>
      <c r="B170" s="7"/>
      <c r="C170" s="2"/>
      <c r="D170" s="4"/>
      <c r="E170" s="2"/>
      <c r="F170" s="8"/>
      <c r="G170" s="8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</row>
    <row r="171">
      <c r="A171" s="2"/>
      <c r="B171" s="7"/>
      <c r="C171" s="2"/>
      <c r="D171" s="4"/>
      <c r="E171" s="2"/>
      <c r="F171" s="8"/>
      <c r="G171" s="8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</row>
    <row r="172">
      <c r="A172" s="2"/>
      <c r="B172" s="7"/>
      <c r="C172" s="2"/>
      <c r="D172" s="4"/>
      <c r="E172" s="2"/>
      <c r="F172" s="8"/>
      <c r="G172" s="8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</row>
    <row r="173">
      <c r="A173" s="2"/>
      <c r="B173" s="7"/>
      <c r="C173" s="2"/>
      <c r="D173" s="4"/>
      <c r="E173" s="2"/>
      <c r="F173" s="8"/>
      <c r="G173" s="8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</row>
    <row r="174">
      <c r="A174" s="2"/>
      <c r="B174" s="7"/>
      <c r="C174" s="2"/>
      <c r="D174" s="4"/>
      <c r="E174" s="2"/>
      <c r="F174" s="8"/>
      <c r="G174" s="8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</row>
    <row r="175">
      <c r="A175" s="2"/>
      <c r="B175" s="7"/>
      <c r="C175" s="2"/>
      <c r="D175" s="4"/>
      <c r="E175" s="2"/>
      <c r="F175" s="8"/>
      <c r="G175" s="8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</row>
    <row r="176">
      <c r="A176" s="2"/>
      <c r="B176" s="7"/>
      <c r="C176" s="2"/>
      <c r="D176" s="4"/>
      <c r="E176" s="2"/>
      <c r="F176" s="8"/>
      <c r="G176" s="8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</row>
    <row r="177">
      <c r="A177" s="2"/>
      <c r="B177" s="7"/>
      <c r="C177" s="2"/>
      <c r="D177" s="4"/>
      <c r="E177" s="2"/>
      <c r="F177" s="8"/>
      <c r="G177" s="8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</row>
    <row r="178">
      <c r="A178" s="2"/>
      <c r="B178" s="7"/>
      <c r="C178" s="2"/>
      <c r="D178" s="4"/>
      <c r="E178" s="2"/>
      <c r="F178" s="8"/>
      <c r="G178" s="8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</row>
    <row r="179">
      <c r="A179" s="2"/>
      <c r="B179" s="7"/>
      <c r="C179" s="2"/>
      <c r="D179" s="4"/>
      <c r="E179" s="2"/>
      <c r="F179" s="8"/>
      <c r="G179" s="8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</row>
    <row r="180">
      <c r="A180" s="2"/>
      <c r="B180" s="7"/>
      <c r="C180" s="2"/>
      <c r="D180" s="4"/>
      <c r="E180" s="2"/>
      <c r="F180" s="8"/>
      <c r="G180" s="8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</row>
    <row r="181">
      <c r="A181" s="2"/>
      <c r="B181" s="7"/>
      <c r="C181" s="2"/>
      <c r="D181" s="4"/>
      <c r="E181" s="2"/>
      <c r="F181" s="8"/>
      <c r="G181" s="8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</row>
    <row r="182">
      <c r="A182" s="2"/>
      <c r="B182" s="7"/>
      <c r="C182" s="2"/>
      <c r="D182" s="4"/>
      <c r="E182" s="2"/>
      <c r="F182" s="8"/>
      <c r="G182" s="8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</row>
    <row r="183">
      <c r="A183" s="2"/>
      <c r="B183" s="7"/>
      <c r="C183" s="2"/>
      <c r="D183" s="4"/>
      <c r="E183" s="2"/>
      <c r="F183" s="8"/>
      <c r="G183" s="8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</row>
    <row r="184">
      <c r="A184" s="2"/>
      <c r="B184" s="7"/>
      <c r="C184" s="2"/>
      <c r="D184" s="4"/>
      <c r="E184" s="2"/>
      <c r="F184" s="8"/>
      <c r="G184" s="8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</row>
    <row r="185">
      <c r="A185" s="2"/>
      <c r="B185" s="7"/>
      <c r="C185" s="2"/>
      <c r="D185" s="4"/>
      <c r="E185" s="2"/>
      <c r="F185" s="8"/>
      <c r="G185" s="8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</row>
    <row r="186">
      <c r="A186" s="2"/>
      <c r="B186" s="7"/>
      <c r="C186" s="2"/>
      <c r="D186" s="4"/>
      <c r="E186" s="2"/>
      <c r="F186" s="8"/>
      <c r="G186" s="8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</row>
    <row r="187">
      <c r="A187" s="2"/>
      <c r="B187" s="7"/>
      <c r="C187" s="2"/>
      <c r="D187" s="4"/>
      <c r="E187" s="2"/>
      <c r="F187" s="8"/>
      <c r="G187" s="8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</row>
    <row r="188">
      <c r="A188" s="2"/>
      <c r="B188" s="7"/>
      <c r="C188" s="2"/>
      <c r="D188" s="4"/>
      <c r="E188" s="2"/>
      <c r="F188" s="8"/>
      <c r="G188" s="8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</row>
    <row r="189">
      <c r="A189" s="2"/>
      <c r="B189" s="7"/>
      <c r="C189" s="2"/>
      <c r="D189" s="4"/>
      <c r="E189" s="2"/>
      <c r="F189" s="8"/>
      <c r="G189" s="8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</row>
    <row r="190">
      <c r="A190" s="2"/>
      <c r="B190" s="7"/>
      <c r="C190" s="2"/>
      <c r="D190" s="4"/>
      <c r="E190" s="2"/>
      <c r="F190" s="8"/>
      <c r="G190" s="8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</row>
    <row r="191">
      <c r="A191" s="2"/>
      <c r="B191" s="7"/>
      <c r="C191" s="2"/>
      <c r="D191" s="4"/>
      <c r="E191" s="2"/>
      <c r="F191" s="8"/>
      <c r="G191" s="8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</row>
    <row r="192">
      <c r="A192" s="2"/>
      <c r="B192" s="7"/>
      <c r="C192" s="2"/>
      <c r="D192" s="4"/>
      <c r="E192" s="2"/>
      <c r="F192" s="8"/>
      <c r="G192" s="8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</row>
    <row r="193">
      <c r="A193" s="2"/>
      <c r="B193" s="7"/>
      <c r="C193" s="2"/>
      <c r="D193" s="4"/>
      <c r="E193" s="2"/>
      <c r="F193" s="8"/>
      <c r="G193" s="8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</row>
    <row r="194">
      <c r="A194" s="2"/>
      <c r="B194" s="7"/>
      <c r="C194" s="2"/>
      <c r="D194" s="4"/>
      <c r="E194" s="2"/>
      <c r="F194" s="8"/>
      <c r="G194" s="8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</row>
    <row r="195">
      <c r="A195" s="2"/>
      <c r="B195" s="7"/>
      <c r="C195" s="2"/>
      <c r="D195" s="4"/>
      <c r="E195" s="2"/>
      <c r="F195" s="8"/>
      <c r="G195" s="8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</row>
    <row r="196">
      <c r="A196" s="2"/>
      <c r="B196" s="7"/>
      <c r="C196" s="2"/>
      <c r="D196" s="4"/>
      <c r="E196" s="2"/>
      <c r="F196" s="8"/>
      <c r="G196" s="8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</row>
    <row r="197">
      <c r="A197" s="2"/>
      <c r="B197" s="7"/>
      <c r="C197" s="2"/>
      <c r="D197" s="4"/>
      <c r="E197" s="2"/>
      <c r="F197" s="8"/>
      <c r="G197" s="8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</row>
    <row r="198">
      <c r="A198" s="2"/>
      <c r="B198" s="7"/>
      <c r="C198" s="2"/>
      <c r="D198" s="4"/>
      <c r="E198" s="2"/>
      <c r="F198" s="8"/>
      <c r="G198" s="8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</row>
    <row r="199">
      <c r="A199" s="2"/>
      <c r="B199" s="7"/>
      <c r="C199" s="2"/>
      <c r="D199" s="4"/>
      <c r="E199" s="2"/>
      <c r="F199" s="8"/>
      <c r="G199" s="8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</row>
    <row r="200">
      <c r="A200" s="2"/>
      <c r="B200" s="7"/>
      <c r="C200" s="2"/>
      <c r="D200" s="4"/>
      <c r="E200" s="2"/>
      <c r="F200" s="8"/>
      <c r="G200" s="8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</row>
    <row r="201">
      <c r="A201" s="2"/>
      <c r="B201" s="7"/>
      <c r="C201" s="2"/>
      <c r="D201" s="4"/>
      <c r="E201" s="2"/>
      <c r="F201" s="8"/>
      <c r="G201" s="8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</row>
    <row r="202">
      <c r="A202" s="2"/>
      <c r="B202" s="7"/>
      <c r="C202" s="2"/>
      <c r="D202" s="4"/>
      <c r="E202" s="2"/>
      <c r="F202" s="8"/>
      <c r="G202" s="8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</row>
    <row r="203">
      <c r="A203" s="2"/>
      <c r="B203" s="7"/>
      <c r="C203" s="2"/>
      <c r="D203" s="4"/>
      <c r="E203" s="2"/>
      <c r="F203" s="8"/>
      <c r="G203" s="8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</row>
    <row r="204">
      <c r="A204" s="2"/>
      <c r="B204" s="7"/>
      <c r="C204" s="2"/>
      <c r="D204" s="4"/>
      <c r="E204" s="2"/>
      <c r="F204" s="8"/>
      <c r="G204" s="8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</row>
    <row r="205">
      <c r="A205" s="2"/>
      <c r="B205" s="7"/>
      <c r="C205" s="2"/>
      <c r="D205" s="4"/>
      <c r="E205" s="2"/>
      <c r="F205" s="8"/>
      <c r="G205" s="8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</row>
    <row r="206">
      <c r="A206" s="2"/>
      <c r="B206" s="7"/>
      <c r="C206" s="2"/>
      <c r="D206" s="4"/>
      <c r="E206" s="2"/>
      <c r="F206" s="8"/>
      <c r="G206" s="8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</row>
    <row r="207">
      <c r="A207" s="2"/>
      <c r="B207" s="7"/>
      <c r="C207" s="2"/>
      <c r="D207" s="4"/>
      <c r="E207" s="2"/>
      <c r="F207" s="8"/>
      <c r="G207" s="8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</row>
    <row r="208">
      <c r="A208" s="2"/>
      <c r="B208" s="7"/>
      <c r="C208" s="2"/>
      <c r="D208" s="4"/>
      <c r="E208" s="2"/>
      <c r="F208" s="8"/>
      <c r="G208" s="8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</row>
    <row r="209">
      <c r="A209" s="2"/>
      <c r="B209" s="7"/>
      <c r="C209" s="2"/>
      <c r="D209" s="4"/>
      <c r="E209" s="2"/>
      <c r="F209" s="8"/>
      <c r="G209" s="8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</row>
    <row r="210">
      <c r="A210" s="2"/>
      <c r="B210" s="7"/>
      <c r="C210" s="2"/>
      <c r="D210" s="4"/>
      <c r="E210" s="2"/>
      <c r="F210" s="8"/>
      <c r="G210" s="8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</row>
    <row r="211">
      <c r="A211" s="2"/>
      <c r="B211" s="7"/>
      <c r="C211" s="2"/>
      <c r="D211" s="4"/>
      <c r="E211" s="2"/>
      <c r="F211" s="8"/>
      <c r="G211" s="8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</row>
    <row r="212">
      <c r="A212" s="2"/>
      <c r="B212" s="7"/>
      <c r="C212" s="2"/>
      <c r="D212" s="4"/>
      <c r="E212" s="2"/>
      <c r="F212" s="8"/>
      <c r="G212" s="8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</row>
    <row r="213">
      <c r="A213" s="2"/>
      <c r="B213" s="7"/>
      <c r="C213" s="2"/>
      <c r="D213" s="4"/>
      <c r="E213" s="2"/>
      <c r="F213" s="8"/>
      <c r="G213" s="8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</row>
    <row r="214">
      <c r="A214" s="2"/>
      <c r="B214" s="7"/>
      <c r="C214" s="2"/>
      <c r="D214" s="4"/>
      <c r="E214" s="2"/>
      <c r="F214" s="8"/>
      <c r="G214" s="8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</row>
    <row r="215">
      <c r="A215" s="2"/>
      <c r="B215" s="7"/>
      <c r="C215" s="2"/>
      <c r="D215" s="4"/>
      <c r="E215" s="2"/>
      <c r="F215" s="8"/>
      <c r="G215" s="8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</row>
    <row r="216">
      <c r="A216" s="2"/>
      <c r="B216" s="7"/>
      <c r="C216" s="2"/>
      <c r="D216" s="4"/>
      <c r="E216" s="2"/>
      <c r="F216" s="8"/>
      <c r="G216" s="8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</row>
    <row r="217">
      <c r="A217" s="2"/>
      <c r="B217" s="7"/>
      <c r="C217" s="2"/>
      <c r="D217" s="4"/>
      <c r="E217" s="2"/>
      <c r="F217" s="8"/>
      <c r="G217" s="8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</row>
    <row r="218">
      <c r="A218" s="2"/>
      <c r="B218" s="7"/>
      <c r="C218" s="2"/>
      <c r="D218" s="4"/>
      <c r="E218" s="2"/>
      <c r="F218" s="8"/>
      <c r="G218" s="8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</row>
    <row r="219">
      <c r="A219" s="2"/>
      <c r="B219" s="7"/>
      <c r="C219" s="2"/>
      <c r="D219" s="4"/>
      <c r="E219" s="2"/>
      <c r="F219" s="8"/>
      <c r="G219" s="8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</row>
    <row r="220">
      <c r="A220" s="2"/>
      <c r="B220" s="7"/>
      <c r="C220" s="2"/>
      <c r="D220" s="4"/>
      <c r="E220" s="2"/>
      <c r="F220" s="8"/>
      <c r="G220" s="8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</row>
    <row r="221">
      <c r="A221" s="2"/>
      <c r="B221" s="7"/>
      <c r="C221" s="2"/>
      <c r="D221" s="4"/>
      <c r="E221" s="2"/>
      <c r="F221" s="8"/>
      <c r="G221" s="8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</row>
    <row r="222">
      <c r="A222" s="2"/>
      <c r="B222" s="7"/>
      <c r="C222" s="2"/>
      <c r="D222" s="4"/>
      <c r="E222" s="2"/>
      <c r="F222" s="8"/>
      <c r="G222" s="8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</row>
    <row r="223">
      <c r="A223" s="2"/>
      <c r="B223" s="7"/>
      <c r="C223" s="2"/>
      <c r="D223" s="4"/>
      <c r="E223" s="2"/>
      <c r="F223" s="8"/>
      <c r="G223" s="8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</row>
    <row r="224">
      <c r="A224" s="2"/>
      <c r="B224" s="7"/>
      <c r="C224" s="2"/>
      <c r="D224" s="4"/>
      <c r="E224" s="2"/>
      <c r="F224" s="8"/>
      <c r="G224" s="8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</row>
    <row r="225">
      <c r="A225" s="2"/>
      <c r="B225" s="7"/>
      <c r="C225" s="2"/>
      <c r="D225" s="4"/>
      <c r="E225" s="2"/>
      <c r="F225" s="8"/>
      <c r="G225" s="8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</row>
    <row r="226">
      <c r="A226" s="2"/>
      <c r="B226" s="7"/>
      <c r="C226" s="2"/>
      <c r="D226" s="4"/>
      <c r="E226" s="2"/>
      <c r="F226" s="8"/>
      <c r="G226" s="8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</row>
    <row r="227">
      <c r="A227" s="2"/>
      <c r="B227" s="7"/>
      <c r="C227" s="2"/>
      <c r="D227" s="4"/>
      <c r="E227" s="2"/>
      <c r="F227" s="8"/>
      <c r="G227" s="8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</row>
    <row r="228">
      <c r="A228" s="2"/>
      <c r="B228" s="7"/>
      <c r="C228" s="2"/>
      <c r="D228" s="4"/>
      <c r="E228" s="2"/>
      <c r="F228" s="8"/>
      <c r="G228" s="8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</row>
    <row r="229">
      <c r="A229" s="2"/>
      <c r="B229" s="7"/>
      <c r="C229" s="2"/>
      <c r="D229" s="4"/>
      <c r="E229" s="2"/>
      <c r="F229" s="8"/>
      <c r="G229" s="8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</row>
    <row r="230">
      <c r="A230" s="2"/>
      <c r="B230" s="7"/>
      <c r="C230" s="2"/>
      <c r="D230" s="4"/>
      <c r="E230" s="2"/>
      <c r="F230" s="8"/>
      <c r="G230" s="8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</row>
    <row r="231">
      <c r="A231" s="2"/>
      <c r="B231" s="7"/>
      <c r="C231" s="2"/>
      <c r="D231" s="4"/>
      <c r="E231" s="2"/>
      <c r="F231" s="8"/>
      <c r="G231" s="8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</row>
    <row r="232">
      <c r="A232" s="2"/>
      <c r="B232" s="7"/>
      <c r="C232" s="2"/>
      <c r="D232" s="4"/>
      <c r="E232" s="2"/>
      <c r="F232" s="8"/>
      <c r="G232" s="8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</row>
    <row r="233">
      <c r="A233" s="2"/>
      <c r="B233" s="7"/>
      <c r="C233" s="2"/>
      <c r="D233" s="4"/>
      <c r="E233" s="2"/>
      <c r="F233" s="8"/>
      <c r="G233" s="8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</row>
    <row r="234">
      <c r="A234" s="2"/>
      <c r="B234" s="7"/>
      <c r="C234" s="2"/>
      <c r="D234" s="4"/>
      <c r="E234" s="2"/>
      <c r="F234" s="8"/>
      <c r="G234" s="8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</row>
    <row r="235">
      <c r="A235" s="2"/>
      <c r="B235" s="7"/>
      <c r="C235" s="2"/>
      <c r="D235" s="4"/>
      <c r="E235" s="2"/>
      <c r="F235" s="8"/>
      <c r="G235" s="8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</row>
    <row r="236">
      <c r="A236" s="2"/>
      <c r="B236" s="7"/>
      <c r="C236" s="2"/>
      <c r="D236" s="4"/>
      <c r="E236" s="2"/>
      <c r="F236" s="8"/>
      <c r="G236" s="8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</row>
    <row r="237">
      <c r="A237" s="2"/>
      <c r="B237" s="7"/>
      <c r="C237" s="2"/>
      <c r="D237" s="4"/>
      <c r="E237" s="2"/>
      <c r="F237" s="8"/>
      <c r="G237" s="8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</row>
    <row r="238">
      <c r="A238" s="2"/>
      <c r="B238" s="7"/>
      <c r="C238" s="2"/>
      <c r="D238" s="4"/>
      <c r="E238" s="2"/>
      <c r="F238" s="8"/>
      <c r="G238" s="8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</row>
    <row r="239">
      <c r="A239" s="2"/>
      <c r="B239" s="7"/>
      <c r="C239" s="2"/>
      <c r="D239" s="4"/>
      <c r="E239" s="2"/>
      <c r="F239" s="8"/>
      <c r="G239" s="8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</row>
    <row r="240">
      <c r="A240" s="2"/>
      <c r="B240" s="7"/>
      <c r="C240" s="2"/>
      <c r="D240" s="4"/>
      <c r="E240" s="2"/>
      <c r="F240" s="8"/>
      <c r="G240" s="8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</row>
    <row r="241">
      <c r="A241" s="2"/>
      <c r="B241" s="7"/>
      <c r="C241" s="2"/>
      <c r="D241" s="4"/>
      <c r="E241" s="2"/>
      <c r="F241" s="8"/>
      <c r="G241" s="8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</row>
    <row r="242">
      <c r="A242" s="2"/>
      <c r="B242" s="7"/>
      <c r="C242" s="2"/>
      <c r="D242" s="4"/>
      <c r="E242" s="2"/>
      <c r="F242" s="8"/>
      <c r="G242" s="8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</row>
    <row r="243">
      <c r="A243" s="2"/>
      <c r="B243" s="7"/>
      <c r="C243" s="2"/>
      <c r="D243" s="4"/>
      <c r="E243" s="2"/>
      <c r="F243" s="8"/>
      <c r="G243" s="8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</row>
    <row r="244">
      <c r="A244" s="2"/>
      <c r="B244" s="7"/>
      <c r="C244" s="2"/>
      <c r="D244" s="4"/>
      <c r="E244" s="2"/>
      <c r="F244" s="8"/>
      <c r="G244" s="8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</row>
    <row r="245">
      <c r="A245" s="2"/>
      <c r="B245" s="7"/>
      <c r="C245" s="2"/>
      <c r="D245" s="4"/>
      <c r="E245" s="2"/>
      <c r="F245" s="8"/>
      <c r="G245" s="8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</row>
    <row r="246">
      <c r="A246" s="2"/>
      <c r="B246" s="7"/>
      <c r="C246" s="2"/>
      <c r="D246" s="4"/>
      <c r="E246" s="2"/>
      <c r="F246" s="8"/>
      <c r="G246" s="8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</row>
    <row r="247">
      <c r="A247" s="2"/>
      <c r="B247" s="7"/>
      <c r="C247" s="2"/>
      <c r="D247" s="4"/>
      <c r="E247" s="2"/>
      <c r="F247" s="8"/>
      <c r="G247" s="8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</row>
    <row r="248">
      <c r="A248" s="2"/>
      <c r="B248" s="7"/>
      <c r="C248" s="2"/>
      <c r="D248" s="4"/>
      <c r="E248" s="2"/>
      <c r="F248" s="8"/>
      <c r="G248" s="8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</row>
    <row r="249">
      <c r="A249" s="2"/>
      <c r="B249" s="7"/>
      <c r="C249" s="2"/>
      <c r="D249" s="4"/>
      <c r="E249" s="2"/>
      <c r="F249" s="8"/>
      <c r="G249" s="8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</row>
    <row r="250">
      <c r="A250" s="2"/>
      <c r="B250" s="7"/>
      <c r="C250" s="2"/>
      <c r="D250" s="4"/>
      <c r="E250" s="2"/>
      <c r="F250" s="8"/>
      <c r="G250" s="8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</row>
    <row r="251">
      <c r="A251" s="2"/>
      <c r="B251" s="7"/>
      <c r="C251" s="2"/>
      <c r="D251" s="4"/>
      <c r="E251" s="2"/>
      <c r="F251" s="8"/>
      <c r="G251" s="8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</row>
    <row r="252">
      <c r="A252" s="2"/>
      <c r="B252" s="7"/>
      <c r="C252" s="2"/>
      <c r="D252" s="4"/>
      <c r="E252" s="2"/>
      <c r="F252" s="8"/>
      <c r="G252" s="8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</row>
    <row r="253">
      <c r="A253" s="2"/>
      <c r="B253" s="7"/>
      <c r="C253" s="2"/>
      <c r="D253" s="4"/>
      <c r="E253" s="2"/>
      <c r="F253" s="8"/>
      <c r="G253" s="8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</row>
    <row r="254">
      <c r="A254" s="2"/>
      <c r="B254" s="7"/>
      <c r="C254" s="2"/>
      <c r="D254" s="4"/>
      <c r="E254" s="2"/>
      <c r="F254" s="8"/>
      <c r="G254" s="8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</row>
    <row r="255">
      <c r="A255" s="2"/>
      <c r="B255" s="7"/>
      <c r="C255" s="2"/>
      <c r="D255" s="4"/>
      <c r="E255" s="2"/>
      <c r="F255" s="8"/>
      <c r="G255" s="8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</row>
    <row r="256">
      <c r="A256" s="2"/>
      <c r="B256" s="7"/>
      <c r="C256" s="2"/>
      <c r="D256" s="4"/>
      <c r="E256" s="2"/>
      <c r="F256" s="8"/>
      <c r="G256" s="8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</row>
    <row r="257">
      <c r="A257" s="2"/>
      <c r="B257" s="7"/>
      <c r="C257" s="2"/>
      <c r="D257" s="4"/>
      <c r="E257" s="2"/>
      <c r="F257" s="8"/>
      <c r="G257" s="8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</row>
    <row r="258">
      <c r="A258" s="2"/>
      <c r="B258" s="7"/>
      <c r="C258" s="2"/>
      <c r="D258" s="4"/>
      <c r="E258" s="2"/>
      <c r="F258" s="8"/>
      <c r="G258" s="8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</row>
    <row r="259">
      <c r="A259" s="2"/>
      <c r="B259" s="7"/>
      <c r="C259" s="2"/>
      <c r="D259" s="4"/>
      <c r="E259" s="2"/>
      <c r="F259" s="8"/>
      <c r="G259" s="8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</row>
    <row r="260">
      <c r="A260" s="2"/>
      <c r="B260" s="7"/>
      <c r="C260" s="2"/>
      <c r="D260" s="4"/>
      <c r="E260" s="2"/>
      <c r="F260" s="8"/>
      <c r="G260" s="8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</row>
    <row r="261">
      <c r="A261" s="2"/>
      <c r="B261" s="7"/>
      <c r="C261" s="2"/>
      <c r="D261" s="4"/>
      <c r="E261" s="2"/>
      <c r="F261" s="8"/>
      <c r="G261" s="8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</row>
    <row r="262">
      <c r="A262" s="2"/>
      <c r="B262" s="7"/>
      <c r="C262" s="2"/>
      <c r="D262" s="4"/>
      <c r="E262" s="2"/>
      <c r="F262" s="8"/>
      <c r="G262" s="8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</row>
    <row r="263">
      <c r="A263" s="2"/>
      <c r="B263" s="7"/>
      <c r="C263" s="2"/>
      <c r="D263" s="4"/>
      <c r="E263" s="2"/>
      <c r="F263" s="8"/>
      <c r="G263" s="8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</row>
    <row r="264">
      <c r="A264" s="2"/>
      <c r="B264" s="7"/>
      <c r="C264" s="2"/>
      <c r="D264" s="4"/>
      <c r="E264" s="2"/>
      <c r="F264" s="8"/>
      <c r="G264" s="8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</row>
    <row r="265">
      <c r="A265" s="2"/>
      <c r="B265" s="7"/>
      <c r="C265" s="2"/>
      <c r="D265" s="4"/>
      <c r="E265" s="2"/>
      <c r="F265" s="8"/>
      <c r="G265" s="8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</row>
    <row r="266">
      <c r="A266" s="2"/>
      <c r="B266" s="7"/>
      <c r="C266" s="2"/>
      <c r="D266" s="4"/>
      <c r="E266" s="2"/>
      <c r="F266" s="8"/>
      <c r="G266" s="8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</row>
    <row r="267">
      <c r="A267" s="2"/>
      <c r="B267" s="7"/>
      <c r="C267" s="2"/>
      <c r="D267" s="4"/>
      <c r="E267" s="2"/>
      <c r="F267" s="8"/>
      <c r="G267" s="8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</row>
    <row r="268">
      <c r="A268" s="2"/>
      <c r="B268" s="7"/>
      <c r="C268" s="2"/>
      <c r="D268" s="4"/>
      <c r="E268" s="2"/>
      <c r="F268" s="8"/>
      <c r="G268" s="8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</row>
    <row r="269">
      <c r="A269" s="2"/>
      <c r="B269" s="7"/>
      <c r="C269" s="2"/>
      <c r="D269" s="4"/>
      <c r="E269" s="2"/>
      <c r="F269" s="8"/>
      <c r="G269" s="8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</row>
    <row r="270">
      <c r="A270" s="2"/>
      <c r="B270" s="7"/>
      <c r="C270" s="2"/>
      <c r="D270" s="4"/>
      <c r="E270" s="2"/>
      <c r="F270" s="8"/>
      <c r="G270" s="8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</row>
    <row r="271">
      <c r="A271" s="2"/>
      <c r="B271" s="7"/>
      <c r="C271" s="2"/>
      <c r="D271" s="4"/>
      <c r="E271" s="2"/>
      <c r="F271" s="8"/>
      <c r="G271" s="8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</row>
    <row r="272">
      <c r="A272" s="2"/>
      <c r="B272" s="7"/>
      <c r="C272" s="2"/>
      <c r="D272" s="4"/>
      <c r="E272" s="2"/>
      <c r="F272" s="8"/>
      <c r="G272" s="8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</row>
    <row r="273">
      <c r="A273" s="2"/>
      <c r="B273" s="7"/>
      <c r="C273" s="2"/>
      <c r="D273" s="4"/>
      <c r="E273" s="2"/>
      <c r="F273" s="8"/>
      <c r="G273" s="8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</row>
    <row r="274">
      <c r="A274" s="2"/>
      <c r="B274" s="7"/>
      <c r="C274" s="2"/>
      <c r="D274" s="4"/>
      <c r="E274" s="2"/>
      <c r="F274" s="8"/>
      <c r="G274" s="8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</row>
    <row r="275">
      <c r="A275" s="2"/>
      <c r="B275" s="7"/>
      <c r="C275" s="2"/>
      <c r="D275" s="4"/>
      <c r="E275" s="2"/>
      <c r="F275" s="8"/>
      <c r="G275" s="8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</row>
    <row r="276">
      <c r="A276" s="2"/>
      <c r="B276" s="7"/>
      <c r="C276" s="2"/>
      <c r="D276" s="4"/>
      <c r="E276" s="2"/>
      <c r="F276" s="8"/>
      <c r="G276" s="8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</row>
    <row r="277">
      <c r="A277" s="2"/>
      <c r="B277" s="7"/>
      <c r="C277" s="2"/>
      <c r="D277" s="4"/>
      <c r="E277" s="2"/>
      <c r="F277" s="8"/>
      <c r="G277" s="8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</row>
    <row r="278">
      <c r="A278" s="2"/>
      <c r="B278" s="7"/>
      <c r="C278" s="2"/>
      <c r="D278" s="4"/>
      <c r="E278" s="2"/>
      <c r="F278" s="8"/>
      <c r="G278" s="8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</row>
    <row r="279">
      <c r="A279" s="2"/>
      <c r="B279" s="7"/>
      <c r="C279" s="2"/>
      <c r="D279" s="4"/>
      <c r="E279" s="2"/>
      <c r="F279" s="8"/>
      <c r="G279" s="8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</row>
    <row r="280">
      <c r="A280" s="2"/>
      <c r="B280" s="7"/>
      <c r="C280" s="2"/>
      <c r="D280" s="4"/>
      <c r="E280" s="2"/>
      <c r="F280" s="8"/>
      <c r="G280" s="8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</row>
    <row r="281">
      <c r="A281" s="2"/>
      <c r="B281" s="7"/>
      <c r="C281" s="2"/>
      <c r="D281" s="4"/>
      <c r="E281" s="2"/>
      <c r="F281" s="8"/>
      <c r="G281" s="8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</row>
    <row r="282">
      <c r="A282" s="2"/>
      <c r="B282" s="7"/>
      <c r="C282" s="2"/>
      <c r="D282" s="4"/>
      <c r="E282" s="2"/>
      <c r="F282" s="8"/>
      <c r="G282" s="8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</row>
    <row r="283">
      <c r="A283" s="2"/>
      <c r="B283" s="7"/>
      <c r="C283" s="2"/>
      <c r="D283" s="4"/>
      <c r="E283" s="2"/>
      <c r="F283" s="8"/>
      <c r="G283" s="8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</row>
    <row r="284">
      <c r="A284" s="2"/>
      <c r="B284" s="7"/>
      <c r="C284" s="2"/>
      <c r="D284" s="4"/>
      <c r="E284" s="2"/>
      <c r="F284" s="8"/>
      <c r="G284" s="8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</row>
    <row r="285">
      <c r="A285" s="2"/>
      <c r="B285" s="7"/>
      <c r="C285" s="2"/>
      <c r="D285" s="4"/>
      <c r="E285" s="2"/>
      <c r="F285" s="8"/>
      <c r="G285" s="8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</row>
    <row r="286">
      <c r="A286" s="2"/>
      <c r="B286" s="7"/>
      <c r="C286" s="2"/>
      <c r="D286" s="4"/>
      <c r="E286" s="2"/>
      <c r="F286" s="8"/>
      <c r="G286" s="8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</row>
    <row r="287">
      <c r="A287" s="2"/>
      <c r="B287" s="7"/>
      <c r="C287" s="2"/>
      <c r="D287" s="4"/>
      <c r="E287" s="2"/>
      <c r="F287" s="8"/>
      <c r="G287" s="8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</row>
    <row r="288">
      <c r="A288" s="2"/>
      <c r="B288" s="7"/>
      <c r="C288" s="2"/>
      <c r="D288" s="4"/>
      <c r="E288" s="2"/>
      <c r="F288" s="8"/>
      <c r="G288" s="8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</row>
    <row r="289">
      <c r="A289" s="2"/>
      <c r="B289" s="7"/>
      <c r="C289" s="2"/>
      <c r="D289" s="4"/>
      <c r="E289" s="2"/>
      <c r="F289" s="8"/>
      <c r="G289" s="8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</row>
    <row r="290">
      <c r="A290" s="2"/>
      <c r="B290" s="7"/>
      <c r="C290" s="2"/>
      <c r="D290" s="4"/>
      <c r="E290" s="2"/>
      <c r="F290" s="8"/>
      <c r="G290" s="8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</row>
    <row r="291">
      <c r="A291" s="2"/>
      <c r="B291" s="7"/>
      <c r="C291" s="2"/>
      <c r="D291" s="4"/>
      <c r="E291" s="2"/>
      <c r="F291" s="8"/>
      <c r="G291" s="8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</row>
    <row r="292">
      <c r="A292" s="2"/>
      <c r="B292" s="7"/>
      <c r="C292" s="2"/>
      <c r="D292" s="4"/>
      <c r="E292" s="2"/>
      <c r="F292" s="8"/>
      <c r="G292" s="8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</row>
    <row r="293">
      <c r="A293" s="2"/>
      <c r="B293" s="7"/>
      <c r="C293" s="2"/>
      <c r="D293" s="4"/>
      <c r="E293" s="2"/>
      <c r="F293" s="8"/>
      <c r="G293" s="8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</row>
    <row r="294">
      <c r="A294" s="2"/>
      <c r="B294" s="7"/>
      <c r="C294" s="2"/>
      <c r="D294" s="4"/>
      <c r="E294" s="2"/>
      <c r="F294" s="8"/>
      <c r="G294" s="8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</row>
    <row r="295">
      <c r="A295" s="2"/>
      <c r="B295" s="7"/>
      <c r="C295" s="2"/>
      <c r="D295" s="4"/>
      <c r="E295" s="2"/>
      <c r="F295" s="8"/>
      <c r="G295" s="8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</row>
    <row r="296">
      <c r="A296" s="2"/>
      <c r="B296" s="7"/>
      <c r="C296" s="2"/>
      <c r="D296" s="4"/>
      <c r="E296" s="2"/>
      <c r="F296" s="8"/>
      <c r="G296" s="8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</row>
    <row r="297">
      <c r="A297" s="2"/>
      <c r="B297" s="7"/>
      <c r="C297" s="2"/>
      <c r="D297" s="4"/>
      <c r="E297" s="2"/>
      <c r="F297" s="8"/>
      <c r="G297" s="8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</row>
    <row r="298">
      <c r="A298" s="2"/>
      <c r="B298" s="7"/>
      <c r="C298" s="2"/>
      <c r="D298" s="4"/>
      <c r="E298" s="2"/>
      <c r="F298" s="8"/>
      <c r="G298" s="8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</row>
    <row r="299">
      <c r="A299" s="2"/>
      <c r="B299" s="7"/>
      <c r="C299" s="2"/>
      <c r="D299" s="4"/>
      <c r="E299" s="2"/>
      <c r="F299" s="8"/>
      <c r="G299" s="8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</row>
    <row r="300">
      <c r="A300" s="2"/>
      <c r="B300" s="7"/>
      <c r="C300" s="2"/>
      <c r="D300" s="4"/>
      <c r="E300" s="2"/>
      <c r="F300" s="8"/>
      <c r="G300" s="8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</row>
    <row r="301">
      <c r="A301" s="2"/>
      <c r="B301" s="7"/>
      <c r="C301" s="2"/>
      <c r="D301" s="4"/>
      <c r="E301" s="2"/>
      <c r="F301" s="8"/>
      <c r="G301" s="8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</row>
    <row r="302">
      <c r="A302" s="2"/>
      <c r="B302" s="7"/>
      <c r="C302" s="2"/>
      <c r="D302" s="4"/>
      <c r="E302" s="2"/>
      <c r="F302" s="8"/>
      <c r="G302" s="8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>
      <c r="A303" s="2"/>
      <c r="B303" s="7"/>
      <c r="C303" s="2"/>
      <c r="D303" s="4"/>
      <c r="E303" s="2"/>
      <c r="F303" s="8"/>
      <c r="G303" s="8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>
      <c r="A304" s="2"/>
      <c r="B304" s="7"/>
      <c r="C304" s="2"/>
      <c r="D304" s="4"/>
      <c r="E304" s="2"/>
      <c r="F304" s="8"/>
      <c r="G304" s="8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</row>
    <row r="305">
      <c r="A305" s="2"/>
      <c r="B305" s="7"/>
      <c r="C305" s="2"/>
      <c r="D305" s="4"/>
      <c r="E305" s="2"/>
      <c r="F305" s="8"/>
      <c r="G305" s="8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</row>
    <row r="306">
      <c r="A306" s="2"/>
      <c r="B306" s="7"/>
      <c r="C306" s="2"/>
      <c r="D306" s="4"/>
      <c r="E306" s="2"/>
      <c r="F306" s="8"/>
      <c r="G306" s="8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</row>
    <row r="307">
      <c r="A307" s="2"/>
      <c r="B307" s="7"/>
      <c r="C307" s="2"/>
      <c r="D307" s="4"/>
      <c r="E307" s="2"/>
      <c r="F307" s="8"/>
      <c r="G307" s="8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</row>
    <row r="308">
      <c r="A308" s="2"/>
      <c r="B308" s="7"/>
      <c r="C308" s="2"/>
      <c r="D308" s="4"/>
      <c r="E308" s="2"/>
      <c r="F308" s="8"/>
      <c r="G308" s="8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</row>
    <row r="309">
      <c r="A309" s="2"/>
      <c r="B309" s="7"/>
      <c r="C309" s="2"/>
      <c r="D309" s="4"/>
      <c r="E309" s="2"/>
      <c r="F309" s="8"/>
      <c r="G309" s="8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</row>
    <row r="310">
      <c r="A310" s="2"/>
      <c r="B310" s="7"/>
      <c r="C310" s="2"/>
      <c r="D310" s="4"/>
      <c r="E310" s="2"/>
      <c r="F310" s="8"/>
      <c r="G310" s="8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</row>
    <row r="311">
      <c r="A311" s="2"/>
      <c r="B311" s="7"/>
      <c r="C311" s="2"/>
      <c r="D311" s="4"/>
      <c r="E311" s="2"/>
      <c r="F311" s="8"/>
      <c r="G311" s="8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</row>
    <row r="312">
      <c r="A312" s="2"/>
      <c r="B312" s="7"/>
      <c r="C312" s="2"/>
      <c r="D312" s="4"/>
      <c r="E312" s="2"/>
      <c r="F312" s="8"/>
      <c r="G312" s="8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</row>
    <row r="313">
      <c r="A313" s="2"/>
      <c r="B313" s="7"/>
      <c r="C313" s="2"/>
      <c r="D313" s="4"/>
      <c r="E313" s="2"/>
      <c r="F313" s="8"/>
      <c r="G313" s="8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</row>
    <row r="314">
      <c r="A314" s="2"/>
      <c r="B314" s="7"/>
      <c r="C314" s="2"/>
      <c r="D314" s="4"/>
      <c r="E314" s="2"/>
      <c r="F314" s="8"/>
      <c r="G314" s="8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</row>
    <row r="315">
      <c r="A315" s="2"/>
      <c r="B315" s="7"/>
      <c r="C315" s="2"/>
      <c r="D315" s="4"/>
      <c r="E315" s="2"/>
      <c r="F315" s="8"/>
      <c r="G315" s="8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</row>
    <row r="316">
      <c r="A316" s="2"/>
      <c r="B316" s="7"/>
      <c r="C316" s="2"/>
      <c r="D316" s="4"/>
      <c r="E316" s="2"/>
      <c r="F316" s="8"/>
      <c r="G316" s="8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</row>
    <row r="317">
      <c r="A317" s="2"/>
      <c r="B317" s="7"/>
      <c r="C317" s="2"/>
      <c r="D317" s="4"/>
      <c r="E317" s="2"/>
      <c r="F317" s="8"/>
      <c r="G317" s="8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</row>
    <row r="318">
      <c r="A318" s="2"/>
      <c r="B318" s="7"/>
      <c r="C318" s="2"/>
      <c r="D318" s="4"/>
      <c r="E318" s="2"/>
      <c r="F318" s="8"/>
      <c r="G318" s="8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</row>
    <row r="319">
      <c r="A319" s="2"/>
      <c r="B319" s="7"/>
      <c r="C319" s="2"/>
      <c r="D319" s="4"/>
      <c r="E319" s="2"/>
      <c r="F319" s="8"/>
      <c r="G319" s="8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</row>
    <row r="320">
      <c r="A320" s="2"/>
      <c r="B320" s="7"/>
      <c r="C320" s="2"/>
      <c r="D320" s="4"/>
      <c r="E320" s="2"/>
      <c r="F320" s="8"/>
      <c r="G320" s="8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</row>
    <row r="321">
      <c r="A321" s="2"/>
      <c r="B321" s="7"/>
      <c r="C321" s="2"/>
      <c r="D321" s="4"/>
      <c r="E321" s="2"/>
      <c r="F321" s="8"/>
      <c r="G321" s="8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</row>
    <row r="322">
      <c r="A322" s="2"/>
      <c r="B322" s="7"/>
      <c r="C322" s="2"/>
      <c r="D322" s="4"/>
      <c r="E322" s="2"/>
      <c r="F322" s="8"/>
      <c r="G322" s="8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</row>
    <row r="323">
      <c r="A323" s="2"/>
      <c r="B323" s="7"/>
      <c r="C323" s="2"/>
      <c r="D323" s="4"/>
      <c r="E323" s="2"/>
      <c r="F323" s="8"/>
      <c r="G323" s="8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</row>
    <row r="324">
      <c r="A324" s="2"/>
      <c r="B324" s="7"/>
      <c r="C324" s="2"/>
      <c r="D324" s="4"/>
      <c r="E324" s="2"/>
      <c r="F324" s="8"/>
      <c r="G324" s="8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</row>
    <row r="325">
      <c r="A325" s="2"/>
      <c r="B325" s="7"/>
      <c r="C325" s="2"/>
      <c r="D325" s="4"/>
      <c r="E325" s="2"/>
      <c r="F325" s="8"/>
      <c r="G325" s="8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</row>
    <row r="326">
      <c r="A326" s="2"/>
      <c r="B326" s="7"/>
      <c r="C326" s="2"/>
      <c r="D326" s="4"/>
      <c r="E326" s="2"/>
      <c r="F326" s="8"/>
      <c r="G326" s="8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</row>
    <row r="327">
      <c r="A327" s="2"/>
      <c r="B327" s="7"/>
      <c r="C327" s="2"/>
      <c r="D327" s="4"/>
      <c r="E327" s="2"/>
      <c r="F327" s="8"/>
      <c r="G327" s="8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</row>
    <row r="328">
      <c r="A328" s="2"/>
      <c r="B328" s="7"/>
      <c r="C328" s="2"/>
      <c r="D328" s="4"/>
      <c r="E328" s="2"/>
      <c r="F328" s="8"/>
      <c r="G328" s="8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</row>
    <row r="329">
      <c r="A329" s="2"/>
      <c r="B329" s="7"/>
      <c r="C329" s="2"/>
      <c r="D329" s="4"/>
      <c r="E329" s="2"/>
      <c r="F329" s="8"/>
      <c r="G329" s="8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</row>
    <row r="330">
      <c r="A330" s="2"/>
      <c r="B330" s="7"/>
      <c r="C330" s="2"/>
      <c r="D330" s="4"/>
      <c r="E330" s="2"/>
      <c r="F330" s="8"/>
      <c r="G330" s="8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</row>
    <row r="331">
      <c r="A331" s="2"/>
      <c r="B331" s="7"/>
      <c r="C331" s="2"/>
      <c r="D331" s="4"/>
      <c r="E331" s="2"/>
      <c r="F331" s="8"/>
      <c r="G331" s="8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</row>
    <row r="332">
      <c r="A332" s="2"/>
      <c r="B332" s="7"/>
      <c r="C332" s="2"/>
      <c r="D332" s="4"/>
      <c r="E332" s="2"/>
      <c r="F332" s="8"/>
      <c r="G332" s="8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</row>
    <row r="333">
      <c r="A333" s="2"/>
      <c r="B333" s="7"/>
      <c r="C333" s="2"/>
      <c r="D333" s="4"/>
      <c r="E333" s="2"/>
      <c r="F333" s="8"/>
      <c r="G333" s="8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</row>
    <row r="334">
      <c r="A334" s="2"/>
      <c r="B334" s="7"/>
      <c r="C334" s="2"/>
      <c r="D334" s="4"/>
      <c r="E334" s="2"/>
      <c r="F334" s="8"/>
      <c r="G334" s="8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</row>
    <row r="335">
      <c r="A335" s="2"/>
      <c r="B335" s="7"/>
      <c r="C335" s="2"/>
      <c r="D335" s="4"/>
      <c r="E335" s="2"/>
      <c r="F335" s="8"/>
      <c r="G335" s="8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</row>
    <row r="336">
      <c r="A336" s="2"/>
      <c r="B336" s="7"/>
      <c r="C336" s="2"/>
      <c r="D336" s="4"/>
      <c r="E336" s="2"/>
      <c r="F336" s="8"/>
      <c r="G336" s="8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</row>
    <row r="337">
      <c r="A337" s="2"/>
      <c r="B337" s="7"/>
      <c r="C337" s="2"/>
      <c r="D337" s="4"/>
      <c r="E337" s="2"/>
      <c r="F337" s="8"/>
      <c r="G337" s="8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</row>
    <row r="338">
      <c r="A338" s="2"/>
      <c r="B338" s="7"/>
      <c r="C338" s="2"/>
      <c r="D338" s="4"/>
      <c r="E338" s="2"/>
      <c r="F338" s="8"/>
      <c r="G338" s="8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</row>
    <row r="339">
      <c r="A339" s="2"/>
      <c r="B339" s="7"/>
      <c r="C339" s="2"/>
      <c r="D339" s="4"/>
      <c r="E339" s="2"/>
      <c r="F339" s="8"/>
      <c r="G339" s="8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</row>
    <row r="340">
      <c r="A340" s="2"/>
      <c r="B340" s="7"/>
      <c r="C340" s="2"/>
      <c r="D340" s="4"/>
      <c r="E340" s="2"/>
      <c r="F340" s="8"/>
      <c r="G340" s="8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</row>
    <row r="341">
      <c r="A341" s="2"/>
      <c r="B341" s="7"/>
      <c r="C341" s="2"/>
      <c r="D341" s="4"/>
      <c r="E341" s="2"/>
      <c r="F341" s="8"/>
      <c r="G341" s="8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</row>
    <row r="342">
      <c r="A342" s="2"/>
      <c r="B342" s="7"/>
      <c r="C342" s="2"/>
      <c r="D342" s="4"/>
      <c r="E342" s="2"/>
      <c r="F342" s="8"/>
      <c r="G342" s="8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</row>
    <row r="343">
      <c r="A343" s="2"/>
      <c r="B343" s="7"/>
      <c r="C343" s="2"/>
      <c r="D343" s="4"/>
      <c r="E343" s="2"/>
      <c r="F343" s="8"/>
      <c r="G343" s="8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</row>
    <row r="344">
      <c r="A344" s="2"/>
      <c r="B344" s="7"/>
      <c r="C344" s="2"/>
      <c r="D344" s="4"/>
      <c r="E344" s="2"/>
      <c r="F344" s="8"/>
      <c r="G344" s="8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</row>
    <row r="345">
      <c r="A345" s="2"/>
      <c r="B345" s="7"/>
      <c r="C345" s="2"/>
      <c r="D345" s="4"/>
      <c r="E345" s="2"/>
      <c r="F345" s="8"/>
      <c r="G345" s="8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</row>
    <row r="346">
      <c r="A346" s="2"/>
      <c r="B346" s="7"/>
      <c r="C346" s="2"/>
      <c r="D346" s="4"/>
      <c r="E346" s="2"/>
      <c r="F346" s="8"/>
      <c r="G346" s="8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</row>
    <row r="347">
      <c r="A347" s="2"/>
      <c r="B347" s="7"/>
      <c r="C347" s="2"/>
      <c r="D347" s="4"/>
      <c r="E347" s="2"/>
      <c r="F347" s="8"/>
      <c r="G347" s="8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</row>
    <row r="348">
      <c r="A348" s="2"/>
      <c r="B348" s="7"/>
      <c r="C348" s="2"/>
      <c r="D348" s="4"/>
      <c r="E348" s="2"/>
      <c r="F348" s="8"/>
      <c r="G348" s="8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</row>
    <row r="349">
      <c r="A349" s="2"/>
      <c r="B349" s="7"/>
      <c r="C349" s="2"/>
      <c r="D349" s="4"/>
      <c r="E349" s="2"/>
      <c r="F349" s="8"/>
      <c r="G349" s="8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</row>
    <row r="350">
      <c r="A350" s="2"/>
      <c r="B350" s="7"/>
      <c r="C350" s="2"/>
      <c r="D350" s="4"/>
      <c r="E350" s="2"/>
      <c r="F350" s="8"/>
      <c r="G350" s="8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</row>
    <row r="351">
      <c r="A351" s="2"/>
      <c r="B351" s="7"/>
      <c r="C351" s="2"/>
      <c r="D351" s="4"/>
      <c r="E351" s="2"/>
      <c r="F351" s="8"/>
      <c r="G351" s="8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</row>
    <row r="352">
      <c r="A352" s="2"/>
      <c r="B352" s="7"/>
      <c r="C352" s="2"/>
      <c r="D352" s="4"/>
      <c r="E352" s="2"/>
      <c r="F352" s="8"/>
      <c r="G352" s="8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</row>
    <row r="353">
      <c r="A353" s="2"/>
      <c r="B353" s="7"/>
      <c r="C353" s="2"/>
      <c r="D353" s="4"/>
      <c r="E353" s="2"/>
      <c r="F353" s="8"/>
      <c r="G353" s="8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</row>
    <row r="354">
      <c r="A354" s="2"/>
      <c r="B354" s="7"/>
      <c r="C354" s="2"/>
      <c r="D354" s="4"/>
      <c r="E354" s="2"/>
      <c r="F354" s="8"/>
      <c r="G354" s="8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</row>
    <row r="355">
      <c r="A355" s="2"/>
      <c r="B355" s="7"/>
      <c r="C355" s="2"/>
      <c r="D355" s="4"/>
      <c r="E355" s="2"/>
      <c r="F355" s="8"/>
      <c r="G355" s="8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</row>
    <row r="356">
      <c r="A356" s="2"/>
      <c r="B356" s="7"/>
      <c r="C356" s="2"/>
      <c r="D356" s="4"/>
      <c r="E356" s="2"/>
      <c r="F356" s="8"/>
      <c r="G356" s="8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</row>
    <row r="357">
      <c r="A357" s="2"/>
      <c r="B357" s="7"/>
      <c r="C357" s="2"/>
      <c r="D357" s="4"/>
      <c r="E357" s="2"/>
      <c r="F357" s="8"/>
      <c r="G357" s="8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</row>
    <row r="358">
      <c r="A358" s="2"/>
      <c r="B358" s="7"/>
      <c r="C358" s="2"/>
      <c r="D358" s="4"/>
      <c r="E358" s="2"/>
      <c r="F358" s="8"/>
      <c r="G358" s="8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</row>
    <row r="359">
      <c r="A359" s="2"/>
      <c r="B359" s="7"/>
      <c r="C359" s="2"/>
      <c r="D359" s="4"/>
      <c r="E359" s="2"/>
      <c r="F359" s="8"/>
      <c r="G359" s="8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</row>
    <row r="360">
      <c r="A360" s="2"/>
      <c r="B360" s="7"/>
      <c r="C360" s="2"/>
      <c r="D360" s="4"/>
      <c r="E360" s="2"/>
      <c r="F360" s="8"/>
      <c r="G360" s="8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</row>
    <row r="361">
      <c r="A361" s="2"/>
      <c r="B361" s="7"/>
      <c r="C361" s="2"/>
      <c r="D361" s="4"/>
      <c r="E361" s="2"/>
      <c r="F361" s="8"/>
      <c r="G361" s="8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</row>
    <row r="362">
      <c r="A362" s="2"/>
      <c r="B362" s="7"/>
      <c r="C362" s="2"/>
      <c r="D362" s="4"/>
      <c r="E362" s="2"/>
      <c r="F362" s="8"/>
      <c r="G362" s="8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</row>
    <row r="363">
      <c r="A363" s="2"/>
      <c r="B363" s="7"/>
      <c r="C363" s="2"/>
      <c r="D363" s="4"/>
      <c r="E363" s="2"/>
      <c r="F363" s="8"/>
      <c r="G363" s="8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</row>
    <row r="364">
      <c r="A364" s="2"/>
      <c r="B364" s="7"/>
      <c r="C364" s="2"/>
      <c r="D364" s="4"/>
      <c r="E364" s="2"/>
      <c r="F364" s="8"/>
      <c r="G364" s="8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</row>
    <row r="365">
      <c r="A365" s="2"/>
      <c r="B365" s="7"/>
      <c r="C365" s="2"/>
      <c r="D365" s="4"/>
      <c r="E365" s="2"/>
      <c r="F365" s="8"/>
      <c r="G365" s="8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</row>
    <row r="366">
      <c r="A366" s="2"/>
      <c r="B366" s="7"/>
      <c r="C366" s="2"/>
      <c r="D366" s="4"/>
      <c r="E366" s="2"/>
      <c r="F366" s="8"/>
      <c r="G366" s="8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</row>
    <row r="367">
      <c r="A367" s="2"/>
      <c r="B367" s="7"/>
      <c r="C367" s="2"/>
      <c r="D367" s="4"/>
      <c r="E367" s="2"/>
      <c r="F367" s="8"/>
      <c r="G367" s="8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</row>
    <row r="368">
      <c r="A368" s="2"/>
      <c r="B368" s="7"/>
      <c r="C368" s="2"/>
      <c r="D368" s="4"/>
      <c r="E368" s="2"/>
      <c r="F368" s="8"/>
      <c r="G368" s="8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</row>
    <row r="369">
      <c r="A369" s="2"/>
      <c r="B369" s="7"/>
      <c r="C369" s="2"/>
      <c r="D369" s="4"/>
      <c r="E369" s="2"/>
      <c r="F369" s="8"/>
      <c r="G369" s="8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</row>
    <row r="370">
      <c r="A370" s="2"/>
      <c r="B370" s="7"/>
      <c r="C370" s="2"/>
      <c r="D370" s="4"/>
      <c r="E370" s="2"/>
      <c r="F370" s="8"/>
      <c r="G370" s="8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</row>
    <row r="371">
      <c r="A371" s="2"/>
      <c r="B371" s="7"/>
      <c r="C371" s="2"/>
      <c r="D371" s="4"/>
      <c r="E371" s="2"/>
      <c r="F371" s="8"/>
      <c r="G371" s="8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</row>
    <row r="372">
      <c r="A372" s="2"/>
      <c r="B372" s="7"/>
      <c r="C372" s="2"/>
      <c r="D372" s="4"/>
      <c r="E372" s="2"/>
      <c r="F372" s="8"/>
      <c r="G372" s="8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</row>
    <row r="373">
      <c r="A373" s="2"/>
      <c r="B373" s="7"/>
      <c r="C373" s="2"/>
      <c r="D373" s="4"/>
      <c r="E373" s="2"/>
      <c r="F373" s="8"/>
      <c r="G373" s="8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</row>
    <row r="374">
      <c r="A374" s="2"/>
      <c r="B374" s="7"/>
      <c r="C374" s="2"/>
      <c r="D374" s="4"/>
      <c r="E374" s="2"/>
      <c r="F374" s="8"/>
      <c r="G374" s="8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</row>
    <row r="375">
      <c r="A375" s="2"/>
      <c r="B375" s="7"/>
      <c r="C375" s="2"/>
      <c r="D375" s="4"/>
      <c r="E375" s="2"/>
      <c r="F375" s="8"/>
      <c r="G375" s="8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</row>
    <row r="376">
      <c r="A376" s="2"/>
      <c r="B376" s="7"/>
      <c r="C376" s="2"/>
      <c r="D376" s="4"/>
      <c r="E376" s="2"/>
      <c r="F376" s="8"/>
      <c r="G376" s="8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</row>
    <row r="377">
      <c r="A377" s="2"/>
      <c r="B377" s="7"/>
      <c r="C377" s="2"/>
      <c r="D377" s="4"/>
      <c r="E377" s="2"/>
      <c r="F377" s="8"/>
      <c r="G377" s="8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</row>
    <row r="378">
      <c r="A378" s="2"/>
      <c r="B378" s="7"/>
      <c r="C378" s="2"/>
      <c r="D378" s="4"/>
      <c r="E378" s="2"/>
      <c r="F378" s="8"/>
      <c r="G378" s="8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</row>
    <row r="379">
      <c r="A379" s="2"/>
      <c r="B379" s="7"/>
      <c r="C379" s="2"/>
      <c r="D379" s="4"/>
      <c r="E379" s="2"/>
      <c r="F379" s="8"/>
      <c r="G379" s="8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</row>
    <row r="380">
      <c r="A380" s="2"/>
      <c r="B380" s="7"/>
      <c r="C380" s="2"/>
      <c r="D380" s="4"/>
      <c r="E380" s="2"/>
      <c r="F380" s="8"/>
      <c r="G380" s="8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</row>
    <row r="381">
      <c r="A381" s="2"/>
      <c r="B381" s="7"/>
      <c r="C381" s="2"/>
      <c r="D381" s="4"/>
      <c r="E381" s="2"/>
      <c r="F381" s="8"/>
      <c r="G381" s="8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</row>
    <row r="382">
      <c r="A382" s="2"/>
      <c r="B382" s="7"/>
      <c r="C382" s="2"/>
      <c r="D382" s="4"/>
      <c r="E382" s="2"/>
      <c r="F382" s="8"/>
      <c r="G382" s="8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</row>
    <row r="383">
      <c r="A383" s="2"/>
      <c r="B383" s="7"/>
      <c r="C383" s="2"/>
      <c r="D383" s="4"/>
      <c r="E383" s="2"/>
      <c r="F383" s="8"/>
      <c r="G383" s="8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</row>
    <row r="384">
      <c r="A384" s="2"/>
      <c r="B384" s="7"/>
      <c r="C384" s="2"/>
      <c r="D384" s="4"/>
      <c r="E384" s="2"/>
      <c r="F384" s="8"/>
      <c r="G384" s="8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</row>
    <row r="385">
      <c r="A385" s="2"/>
      <c r="B385" s="7"/>
      <c r="C385" s="2"/>
      <c r="D385" s="4"/>
      <c r="E385" s="2"/>
      <c r="F385" s="8"/>
      <c r="G385" s="8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</row>
    <row r="386">
      <c r="A386" s="2"/>
      <c r="B386" s="7"/>
      <c r="C386" s="2"/>
      <c r="D386" s="4"/>
      <c r="E386" s="2"/>
      <c r="F386" s="8"/>
      <c r="G386" s="8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</row>
    <row r="387">
      <c r="A387" s="2"/>
      <c r="B387" s="7"/>
      <c r="C387" s="2"/>
      <c r="D387" s="4"/>
      <c r="E387" s="2"/>
      <c r="F387" s="8"/>
      <c r="G387" s="8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</row>
    <row r="388">
      <c r="A388" s="2"/>
      <c r="B388" s="7"/>
      <c r="C388" s="2"/>
      <c r="D388" s="4"/>
      <c r="E388" s="2"/>
      <c r="F388" s="8"/>
      <c r="G388" s="8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</row>
    <row r="389">
      <c r="A389" s="2"/>
      <c r="B389" s="7"/>
      <c r="C389" s="2"/>
      <c r="D389" s="4"/>
      <c r="E389" s="2"/>
      <c r="F389" s="8"/>
      <c r="G389" s="8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</row>
    <row r="390">
      <c r="A390" s="2"/>
      <c r="B390" s="7"/>
      <c r="C390" s="2"/>
      <c r="D390" s="4"/>
      <c r="E390" s="2"/>
      <c r="F390" s="8"/>
      <c r="G390" s="8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</row>
    <row r="391">
      <c r="A391" s="2"/>
      <c r="B391" s="7"/>
      <c r="C391" s="2"/>
      <c r="D391" s="4"/>
      <c r="E391" s="2"/>
      <c r="F391" s="8"/>
      <c r="G391" s="8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</row>
    <row r="392">
      <c r="A392" s="2"/>
      <c r="B392" s="7"/>
      <c r="C392" s="2"/>
      <c r="D392" s="4"/>
      <c r="E392" s="2"/>
      <c r="F392" s="8"/>
      <c r="G392" s="8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</row>
    <row r="393">
      <c r="A393" s="2"/>
      <c r="B393" s="7"/>
      <c r="C393" s="2"/>
      <c r="D393" s="4"/>
      <c r="E393" s="2"/>
      <c r="F393" s="8"/>
      <c r="G393" s="8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</row>
    <row r="394">
      <c r="A394" s="2"/>
      <c r="B394" s="7"/>
      <c r="C394" s="2"/>
      <c r="D394" s="4"/>
      <c r="E394" s="2"/>
      <c r="F394" s="8"/>
      <c r="G394" s="8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</row>
    <row r="395">
      <c r="A395" s="2"/>
      <c r="B395" s="7"/>
      <c r="C395" s="2"/>
      <c r="D395" s="4"/>
      <c r="E395" s="2"/>
      <c r="F395" s="8"/>
      <c r="G395" s="8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</row>
    <row r="396">
      <c r="A396" s="2"/>
      <c r="B396" s="7"/>
      <c r="C396" s="2"/>
      <c r="D396" s="4"/>
      <c r="E396" s="2"/>
      <c r="F396" s="8"/>
      <c r="G396" s="8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</row>
    <row r="397">
      <c r="A397" s="2"/>
      <c r="B397" s="7"/>
      <c r="C397" s="2"/>
      <c r="D397" s="4"/>
      <c r="E397" s="2"/>
      <c r="F397" s="8"/>
      <c r="G397" s="8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</row>
    <row r="398">
      <c r="A398" s="2"/>
      <c r="B398" s="7"/>
      <c r="C398" s="2"/>
      <c r="D398" s="4"/>
      <c r="E398" s="2"/>
      <c r="F398" s="8"/>
      <c r="G398" s="8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</row>
    <row r="399">
      <c r="A399" s="2"/>
      <c r="B399" s="7"/>
      <c r="C399" s="2"/>
      <c r="D399" s="4"/>
      <c r="E399" s="2"/>
      <c r="F399" s="8"/>
      <c r="G399" s="8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</row>
    <row r="400">
      <c r="A400" s="2"/>
      <c r="B400" s="7"/>
      <c r="C400" s="2"/>
      <c r="D400" s="4"/>
      <c r="E400" s="2"/>
      <c r="F400" s="8"/>
      <c r="G400" s="8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</row>
    <row r="401">
      <c r="A401" s="2"/>
      <c r="B401" s="7"/>
      <c r="C401" s="2"/>
      <c r="D401" s="4"/>
      <c r="E401" s="2"/>
      <c r="F401" s="8"/>
      <c r="G401" s="8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</row>
    <row r="402">
      <c r="A402" s="2"/>
      <c r="B402" s="7"/>
      <c r="C402" s="2"/>
      <c r="D402" s="4"/>
      <c r="E402" s="2"/>
      <c r="F402" s="8"/>
      <c r="G402" s="8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</row>
    <row r="403">
      <c r="A403" s="2"/>
      <c r="B403" s="7"/>
      <c r="C403" s="2"/>
      <c r="D403" s="4"/>
      <c r="E403" s="2"/>
      <c r="F403" s="8"/>
      <c r="G403" s="8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</row>
    <row r="404">
      <c r="A404" s="2"/>
      <c r="B404" s="7"/>
      <c r="C404" s="2"/>
      <c r="D404" s="4"/>
      <c r="E404" s="2"/>
      <c r="F404" s="8"/>
      <c r="G404" s="8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</row>
    <row r="405">
      <c r="A405" s="2"/>
      <c r="B405" s="7"/>
      <c r="C405" s="2"/>
      <c r="D405" s="4"/>
      <c r="E405" s="2"/>
      <c r="F405" s="8"/>
      <c r="G405" s="8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</row>
    <row r="406">
      <c r="A406" s="2"/>
      <c r="B406" s="7"/>
      <c r="C406" s="2"/>
      <c r="D406" s="4"/>
      <c r="E406" s="2"/>
      <c r="F406" s="8"/>
      <c r="G406" s="8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</row>
    <row r="407">
      <c r="A407" s="2"/>
      <c r="B407" s="7"/>
      <c r="C407" s="2"/>
      <c r="D407" s="4"/>
      <c r="E407" s="2"/>
      <c r="F407" s="8"/>
      <c r="G407" s="8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</row>
    <row r="408">
      <c r="A408" s="2"/>
      <c r="B408" s="7"/>
      <c r="C408" s="2"/>
      <c r="D408" s="4"/>
      <c r="E408" s="2"/>
      <c r="F408" s="8"/>
      <c r="G408" s="8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</row>
    <row r="409">
      <c r="A409" s="2"/>
      <c r="B409" s="7"/>
      <c r="C409" s="2"/>
      <c r="D409" s="4"/>
      <c r="E409" s="2"/>
      <c r="F409" s="8"/>
      <c r="G409" s="8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</row>
    <row r="410">
      <c r="A410" s="2"/>
      <c r="B410" s="7"/>
      <c r="C410" s="2"/>
      <c r="D410" s="4"/>
      <c r="E410" s="2"/>
      <c r="F410" s="8"/>
      <c r="G410" s="8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</row>
    <row r="411">
      <c r="A411" s="2"/>
      <c r="B411" s="7"/>
      <c r="C411" s="2"/>
      <c r="D411" s="4"/>
      <c r="E411" s="2"/>
      <c r="F411" s="8"/>
      <c r="G411" s="8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</row>
    <row r="412">
      <c r="A412" s="2"/>
      <c r="B412" s="7"/>
      <c r="C412" s="2"/>
      <c r="D412" s="4"/>
      <c r="E412" s="2"/>
      <c r="F412" s="8"/>
      <c r="G412" s="8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</row>
    <row r="413">
      <c r="A413" s="2"/>
      <c r="B413" s="7"/>
      <c r="C413" s="2"/>
      <c r="D413" s="4"/>
      <c r="E413" s="2"/>
      <c r="F413" s="8"/>
      <c r="G413" s="8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</row>
    <row r="414">
      <c r="A414" s="2"/>
      <c r="B414" s="7"/>
      <c r="C414" s="2"/>
      <c r="D414" s="4"/>
      <c r="E414" s="2"/>
      <c r="F414" s="8"/>
      <c r="G414" s="8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</row>
    <row r="415">
      <c r="A415" s="2"/>
      <c r="B415" s="7"/>
      <c r="C415" s="2"/>
      <c r="D415" s="4"/>
      <c r="E415" s="2"/>
      <c r="F415" s="8"/>
      <c r="G415" s="8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</row>
    <row r="416">
      <c r="A416" s="2"/>
      <c r="B416" s="7"/>
      <c r="C416" s="2"/>
      <c r="D416" s="4"/>
      <c r="E416" s="2"/>
      <c r="F416" s="8"/>
      <c r="G416" s="8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</row>
    <row r="417">
      <c r="A417" s="2"/>
      <c r="B417" s="7"/>
      <c r="C417" s="2"/>
      <c r="D417" s="4"/>
      <c r="E417" s="2"/>
      <c r="F417" s="8"/>
      <c r="G417" s="8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</row>
    <row r="418">
      <c r="A418" s="2"/>
      <c r="B418" s="7"/>
      <c r="C418" s="2"/>
      <c r="D418" s="4"/>
      <c r="E418" s="2"/>
      <c r="F418" s="8"/>
      <c r="G418" s="8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</row>
    <row r="419">
      <c r="A419" s="2"/>
      <c r="B419" s="7"/>
      <c r="C419" s="2"/>
      <c r="D419" s="4"/>
      <c r="E419" s="2"/>
      <c r="F419" s="8"/>
      <c r="G419" s="8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</row>
    <row r="420">
      <c r="A420" s="2"/>
      <c r="B420" s="7"/>
      <c r="C420" s="2"/>
      <c r="D420" s="4"/>
      <c r="E420" s="2"/>
      <c r="F420" s="8"/>
      <c r="G420" s="8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</row>
    <row r="421">
      <c r="A421" s="2"/>
      <c r="B421" s="7"/>
      <c r="C421" s="2"/>
      <c r="D421" s="4"/>
      <c r="E421" s="2"/>
      <c r="F421" s="8"/>
      <c r="G421" s="8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</row>
    <row r="422">
      <c r="A422" s="2"/>
      <c r="B422" s="7"/>
      <c r="C422" s="2"/>
      <c r="D422" s="4"/>
      <c r="E422" s="2"/>
      <c r="F422" s="8"/>
      <c r="G422" s="8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</row>
    <row r="423">
      <c r="A423" s="2"/>
      <c r="B423" s="7"/>
      <c r="C423" s="2"/>
      <c r="D423" s="4"/>
      <c r="E423" s="2"/>
      <c r="F423" s="8"/>
      <c r="G423" s="8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</row>
    <row r="424">
      <c r="A424" s="2"/>
      <c r="B424" s="7"/>
      <c r="C424" s="2"/>
      <c r="D424" s="4"/>
      <c r="E424" s="2"/>
      <c r="F424" s="8"/>
      <c r="G424" s="8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</row>
    <row r="425">
      <c r="A425" s="2"/>
      <c r="B425" s="7"/>
      <c r="C425" s="2"/>
      <c r="D425" s="4"/>
      <c r="E425" s="2"/>
      <c r="F425" s="8"/>
      <c r="G425" s="8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</row>
    <row r="426">
      <c r="A426" s="2"/>
      <c r="B426" s="7"/>
      <c r="C426" s="2"/>
      <c r="D426" s="4"/>
      <c r="E426" s="2"/>
      <c r="F426" s="8"/>
      <c r="G426" s="8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</row>
    <row r="427">
      <c r="A427" s="2"/>
      <c r="B427" s="7"/>
      <c r="C427" s="2"/>
      <c r="D427" s="4"/>
      <c r="E427" s="2"/>
      <c r="F427" s="8"/>
      <c r="G427" s="8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</row>
    <row r="428">
      <c r="A428" s="2"/>
      <c r="B428" s="7"/>
      <c r="C428" s="2"/>
      <c r="D428" s="4"/>
      <c r="E428" s="2"/>
      <c r="F428" s="8"/>
      <c r="G428" s="8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</row>
    <row r="429">
      <c r="A429" s="2"/>
      <c r="B429" s="7"/>
      <c r="C429" s="2"/>
      <c r="D429" s="4"/>
      <c r="E429" s="2"/>
      <c r="F429" s="8"/>
      <c r="G429" s="8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</row>
    <row r="430">
      <c r="A430" s="2"/>
      <c r="B430" s="7"/>
      <c r="C430" s="2"/>
      <c r="D430" s="4"/>
      <c r="E430" s="2"/>
      <c r="F430" s="8"/>
      <c r="G430" s="8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</row>
    <row r="431">
      <c r="A431" s="2"/>
      <c r="B431" s="7"/>
      <c r="C431" s="2"/>
      <c r="D431" s="4"/>
      <c r="E431" s="2"/>
      <c r="F431" s="8"/>
      <c r="G431" s="8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</row>
    <row r="432">
      <c r="A432" s="2"/>
      <c r="B432" s="7"/>
      <c r="C432" s="2"/>
      <c r="D432" s="4"/>
      <c r="E432" s="2"/>
      <c r="F432" s="8"/>
      <c r="G432" s="8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</row>
    <row r="433">
      <c r="A433" s="2"/>
      <c r="B433" s="7"/>
      <c r="C433" s="2"/>
      <c r="D433" s="4"/>
      <c r="E433" s="2"/>
      <c r="F433" s="8"/>
      <c r="G433" s="8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</row>
    <row r="434">
      <c r="A434" s="2"/>
      <c r="B434" s="7"/>
      <c r="C434" s="2"/>
      <c r="D434" s="4"/>
      <c r="E434" s="2"/>
      <c r="F434" s="8"/>
      <c r="G434" s="8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</row>
    <row r="435">
      <c r="A435" s="2"/>
      <c r="B435" s="7"/>
      <c r="C435" s="2"/>
      <c r="D435" s="4"/>
      <c r="E435" s="2"/>
      <c r="F435" s="8"/>
      <c r="G435" s="8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</row>
    <row r="436">
      <c r="A436" s="2"/>
      <c r="B436" s="7"/>
      <c r="C436" s="2"/>
      <c r="D436" s="4"/>
      <c r="E436" s="2"/>
      <c r="F436" s="8"/>
      <c r="G436" s="8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</row>
    <row r="437">
      <c r="A437" s="2"/>
      <c r="B437" s="7"/>
      <c r="C437" s="2"/>
      <c r="D437" s="4"/>
      <c r="E437" s="2"/>
      <c r="F437" s="8"/>
      <c r="G437" s="8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</row>
    <row r="438">
      <c r="A438" s="2"/>
      <c r="B438" s="7"/>
      <c r="C438" s="2"/>
      <c r="D438" s="4"/>
      <c r="E438" s="2"/>
      <c r="F438" s="8"/>
      <c r="G438" s="8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</row>
    <row r="439">
      <c r="A439" s="2"/>
      <c r="B439" s="7"/>
      <c r="C439" s="2"/>
      <c r="D439" s="4"/>
      <c r="E439" s="2"/>
      <c r="F439" s="8"/>
      <c r="G439" s="8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</row>
    <row r="440">
      <c r="A440" s="2"/>
      <c r="B440" s="7"/>
      <c r="C440" s="2"/>
      <c r="D440" s="4"/>
      <c r="E440" s="2"/>
      <c r="F440" s="8"/>
      <c r="G440" s="8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</row>
    <row r="441">
      <c r="A441" s="2"/>
      <c r="B441" s="7"/>
      <c r="C441" s="2"/>
      <c r="D441" s="4"/>
      <c r="E441" s="2"/>
      <c r="F441" s="8"/>
      <c r="G441" s="8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</row>
    <row r="442">
      <c r="A442" s="2"/>
      <c r="B442" s="7"/>
      <c r="C442" s="2"/>
      <c r="D442" s="4"/>
      <c r="E442" s="2"/>
      <c r="F442" s="8"/>
      <c r="G442" s="8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</row>
    <row r="443">
      <c r="A443" s="2"/>
      <c r="B443" s="7"/>
      <c r="C443" s="2"/>
      <c r="D443" s="4"/>
      <c r="E443" s="2"/>
      <c r="F443" s="8"/>
      <c r="G443" s="8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</row>
    <row r="444">
      <c r="A444" s="2"/>
      <c r="B444" s="7"/>
      <c r="C444" s="2"/>
      <c r="D444" s="4"/>
      <c r="E444" s="2"/>
      <c r="F444" s="8"/>
      <c r="G444" s="8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</row>
    <row r="445">
      <c r="A445" s="2"/>
      <c r="B445" s="7"/>
      <c r="C445" s="2"/>
      <c r="D445" s="4"/>
      <c r="E445" s="2"/>
      <c r="F445" s="8"/>
      <c r="G445" s="8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</row>
    <row r="446">
      <c r="A446" s="2"/>
      <c r="B446" s="7"/>
      <c r="C446" s="2"/>
      <c r="D446" s="4"/>
      <c r="E446" s="2"/>
      <c r="F446" s="8"/>
      <c r="G446" s="8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</row>
    <row r="447">
      <c r="A447" s="2"/>
      <c r="B447" s="7"/>
      <c r="C447" s="2"/>
      <c r="D447" s="4"/>
      <c r="E447" s="2"/>
      <c r="F447" s="8"/>
      <c r="G447" s="8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</row>
    <row r="448">
      <c r="A448" s="2"/>
      <c r="B448" s="7"/>
      <c r="C448" s="2"/>
      <c r="D448" s="4"/>
      <c r="E448" s="2"/>
      <c r="F448" s="8"/>
      <c r="G448" s="8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</row>
    <row r="449">
      <c r="A449" s="2"/>
      <c r="B449" s="7"/>
      <c r="C449" s="2"/>
      <c r="D449" s="4"/>
      <c r="E449" s="2"/>
      <c r="F449" s="8"/>
      <c r="G449" s="8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</row>
    <row r="450">
      <c r="A450" s="2"/>
      <c r="B450" s="7"/>
      <c r="C450" s="2"/>
      <c r="D450" s="4"/>
      <c r="E450" s="2"/>
      <c r="F450" s="8"/>
      <c r="G450" s="8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</row>
    <row r="451">
      <c r="A451" s="2"/>
      <c r="B451" s="7"/>
      <c r="C451" s="2"/>
      <c r="D451" s="4"/>
      <c r="E451" s="2"/>
      <c r="F451" s="8"/>
      <c r="G451" s="8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</row>
    <row r="452">
      <c r="A452" s="2"/>
      <c r="B452" s="7"/>
      <c r="C452" s="2"/>
      <c r="D452" s="4"/>
      <c r="E452" s="2"/>
      <c r="F452" s="8"/>
      <c r="G452" s="8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</row>
    <row r="453">
      <c r="A453" s="2"/>
      <c r="B453" s="7"/>
      <c r="C453" s="2"/>
      <c r="D453" s="4"/>
      <c r="E453" s="2"/>
      <c r="F453" s="8"/>
      <c r="G453" s="8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</row>
    <row r="454">
      <c r="A454" s="2"/>
      <c r="B454" s="7"/>
      <c r="C454" s="2"/>
      <c r="D454" s="4"/>
      <c r="E454" s="2"/>
      <c r="F454" s="8"/>
      <c r="G454" s="8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</row>
    <row r="455">
      <c r="A455" s="2"/>
      <c r="B455" s="7"/>
      <c r="C455" s="2"/>
      <c r="D455" s="4"/>
      <c r="E455" s="2"/>
      <c r="F455" s="8"/>
      <c r="G455" s="8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</row>
    <row r="456">
      <c r="A456" s="2"/>
      <c r="B456" s="7"/>
      <c r="C456" s="2"/>
      <c r="D456" s="4"/>
      <c r="E456" s="2"/>
      <c r="F456" s="8"/>
      <c r="G456" s="8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</row>
    <row r="457">
      <c r="A457" s="2"/>
      <c r="B457" s="7"/>
      <c r="C457" s="2"/>
      <c r="D457" s="4"/>
      <c r="E457" s="2"/>
      <c r="F457" s="8"/>
      <c r="G457" s="8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</row>
    <row r="458">
      <c r="A458" s="2"/>
      <c r="B458" s="7"/>
      <c r="C458" s="2"/>
      <c r="D458" s="4"/>
      <c r="E458" s="2"/>
      <c r="F458" s="8"/>
      <c r="G458" s="8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</row>
    <row r="459">
      <c r="A459" s="2"/>
      <c r="B459" s="7"/>
      <c r="C459" s="2"/>
      <c r="D459" s="4"/>
      <c r="E459" s="2"/>
      <c r="F459" s="8"/>
      <c r="G459" s="8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</row>
    <row r="460">
      <c r="A460" s="2"/>
      <c r="B460" s="7"/>
      <c r="C460" s="2"/>
      <c r="D460" s="4"/>
      <c r="E460" s="2"/>
      <c r="F460" s="8"/>
      <c r="G460" s="8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</row>
    <row r="461">
      <c r="A461" s="2"/>
      <c r="B461" s="7"/>
      <c r="C461" s="2"/>
      <c r="D461" s="4"/>
      <c r="E461" s="2"/>
      <c r="F461" s="8"/>
      <c r="G461" s="8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</row>
    <row r="462">
      <c r="A462" s="2"/>
      <c r="B462" s="7"/>
      <c r="C462" s="2"/>
      <c r="D462" s="4"/>
      <c r="E462" s="2"/>
      <c r="F462" s="8"/>
      <c r="G462" s="8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</row>
    <row r="463">
      <c r="A463" s="2"/>
      <c r="B463" s="7"/>
      <c r="C463" s="2"/>
      <c r="D463" s="4"/>
      <c r="E463" s="2"/>
      <c r="F463" s="8"/>
      <c r="G463" s="8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</row>
    <row r="464">
      <c r="A464" s="2"/>
      <c r="B464" s="7"/>
      <c r="C464" s="2"/>
      <c r="D464" s="4"/>
      <c r="E464" s="2"/>
      <c r="F464" s="8"/>
      <c r="G464" s="8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</row>
    <row r="465">
      <c r="A465" s="2"/>
      <c r="B465" s="7"/>
      <c r="C465" s="2"/>
      <c r="D465" s="4"/>
      <c r="E465" s="2"/>
      <c r="F465" s="8"/>
      <c r="G465" s="8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</row>
    <row r="466">
      <c r="A466" s="2"/>
      <c r="B466" s="7"/>
      <c r="C466" s="2"/>
      <c r="D466" s="4"/>
      <c r="E466" s="2"/>
      <c r="F466" s="8"/>
      <c r="G466" s="8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</row>
    <row r="467">
      <c r="A467" s="2"/>
      <c r="B467" s="7"/>
      <c r="C467" s="2"/>
      <c r="D467" s="4"/>
      <c r="E467" s="2"/>
      <c r="F467" s="8"/>
      <c r="G467" s="8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</row>
    <row r="468">
      <c r="A468" s="2"/>
      <c r="B468" s="7"/>
      <c r="C468" s="2"/>
      <c r="D468" s="4"/>
      <c r="E468" s="2"/>
      <c r="F468" s="8"/>
      <c r="G468" s="8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</row>
    <row r="469">
      <c r="A469" s="2"/>
      <c r="B469" s="7"/>
      <c r="C469" s="2"/>
      <c r="D469" s="4"/>
      <c r="E469" s="2"/>
      <c r="F469" s="8"/>
      <c r="G469" s="8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</row>
    <row r="470">
      <c r="A470" s="2"/>
      <c r="B470" s="7"/>
      <c r="C470" s="2"/>
      <c r="D470" s="4"/>
      <c r="E470" s="2"/>
      <c r="F470" s="8"/>
      <c r="G470" s="8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</row>
    <row r="471">
      <c r="A471" s="2"/>
      <c r="B471" s="7"/>
      <c r="C471" s="2"/>
      <c r="D471" s="4"/>
      <c r="E471" s="2"/>
      <c r="F471" s="8"/>
      <c r="G471" s="8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</row>
    <row r="472">
      <c r="A472" s="2"/>
      <c r="B472" s="7"/>
      <c r="C472" s="2"/>
      <c r="D472" s="4"/>
      <c r="E472" s="2"/>
      <c r="F472" s="8"/>
      <c r="G472" s="8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</row>
    <row r="473">
      <c r="A473" s="2"/>
      <c r="B473" s="7"/>
      <c r="C473" s="2"/>
      <c r="D473" s="4"/>
      <c r="E473" s="2"/>
      <c r="F473" s="8"/>
      <c r="G473" s="8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</row>
    <row r="474">
      <c r="A474" s="2"/>
      <c r="B474" s="7"/>
      <c r="C474" s="2"/>
      <c r="D474" s="4"/>
      <c r="E474" s="2"/>
      <c r="F474" s="8"/>
      <c r="G474" s="8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</row>
    <row r="475">
      <c r="A475" s="2"/>
      <c r="B475" s="7"/>
      <c r="C475" s="2"/>
      <c r="D475" s="4"/>
      <c r="E475" s="2"/>
      <c r="F475" s="8"/>
      <c r="G475" s="8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</row>
    <row r="476">
      <c r="A476" s="2"/>
      <c r="B476" s="7"/>
      <c r="C476" s="2"/>
      <c r="D476" s="4"/>
      <c r="E476" s="2"/>
      <c r="F476" s="8"/>
      <c r="G476" s="8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</row>
    <row r="477">
      <c r="A477" s="2"/>
      <c r="B477" s="7"/>
      <c r="C477" s="2"/>
      <c r="D477" s="4"/>
      <c r="E477" s="2"/>
      <c r="F477" s="8"/>
      <c r="G477" s="8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</row>
    <row r="478">
      <c r="A478" s="2"/>
      <c r="B478" s="7"/>
      <c r="C478" s="2"/>
      <c r="D478" s="4"/>
      <c r="E478" s="2"/>
      <c r="F478" s="8"/>
      <c r="G478" s="8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</row>
    <row r="479">
      <c r="A479" s="2"/>
      <c r="B479" s="7"/>
      <c r="C479" s="2"/>
      <c r="D479" s="4"/>
      <c r="E479" s="2"/>
      <c r="F479" s="8"/>
      <c r="G479" s="8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</row>
    <row r="480">
      <c r="A480" s="2"/>
      <c r="B480" s="7"/>
      <c r="C480" s="2"/>
      <c r="D480" s="4"/>
      <c r="E480" s="2"/>
      <c r="F480" s="8"/>
      <c r="G480" s="8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</row>
    <row r="481">
      <c r="A481" s="2"/>
      <c r="B481" s="7"/>
      <c r="C481" s="2"/>
      <c r="D481" s="4"/>
      <c r="E481" s="2"/>
      <c r="F481" s="8"/>
      <c r="G481" s="8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</row>
    <row r="482">
      <c r="A482" s="2"/>
      <c r="B482" s="7"/>
      <c r="C482" s="2"/>
      <c r="D482" s="4"/>
      <c r="E482" s="2"/>
      <c r="F482" s="8"/>
      <c r="G482" s="8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</row>
    <row r="483">
      <c r="A483" s="2"/>
      <c r="B483" s="7"/>
      <c r="C483" s="2"/>
      <c r="D483" s="4"/>
      <c r="E483" s="2"/>
      <c r="F483" s="8"/>
      <c r="G483" s="8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</row>
    <row r="484">
      <c r="A484" s="2"/>
      <c r="B484" s="7"/>
      <c r="C484" s="2"/>
      <c r="D484" s="4"/>
      <c r="E484" s="2"/>
      <c r="F484" s="8"/>
      <c r="G484" s="8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</row>
    <row r="485">
      <c r="A485" s="2"/>
      <c r="B485" s="7"/>
      <c r="C485" s="2"/>
      <c r="D485" s="4"/>
      <c r="E485" s="2"/>
      <c r="F485" s="8"/>
      <c r="G485" s="8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</row>
    <row r="486">
      <c r="A486" s="2"/>
      <c r="B486" s="7"/>
      <c r="C486" s="2"/>
      <c r="D486" s="4"/>
      <c r="E486" s="2"/>
      <c r="F486" s="8"/>
      <c r="G486" s="8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</row>
    <row r="487">
      <c r="A487" s="2"/>
      <c r="B487" s="7"/>
      <c r="C487" s="2"/>
      <c r="D487" s="4"/>
      <c r="E487" s="2"/>
      <c r="F487" s="8"/>
      <c r="G487" s="8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</row>
    <row r="488">
      <c r="A488" s="2"/>
      <c r="B488" s="7"/>
      <c r="C488" s="2"/>
      <c r="D488" s="4"/>
      <c r="E488" s="2"/>
      <c r="F488" s="8"/>
      <c r="G488" s="8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</row>
    <row r="489">
      <c r="A489" s="2"/>
      <c r="B489" s="7"/>
      <c r="C489" s="2"/>
      <c r="D489" s="4"/>
      <c r="E489" s="2"/>
      <c r="F489" s="8"/>
      <c r="G489" s="8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</row>
    <row r="490">
      <c r="A490" s="2"/>
      <c r="B490" s="7"/>
      <c r="C490" s="2"/>
      <c r="D490" s="4"/>
      <c r="E490" s="2"/>
      <c r="F490" s="8"/>
      <c r="G490" s="8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</row>
    <row r="491">
      <c r="A491" s="2"/>
      <c r="B491" s="7"/>
      <c r="C491" s="2"/>
      <c r="D491" s="4"/>
      <c r="E491" s="2"/>
      <c r="F491" s="8"/>
      <c r="G491" s="8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</row>
    <row r="492">
      <c r="A492" s="2"/>
      <c r="B492" s="7"/>
      <c r="C492" s="2"/>
      <c r="D492" s="4"/>
      <c r="E492" s="2"/>
      <c r="F492" s="8"/>
      <c r="G492" s="8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</row>
    <row r="493">
      <c r="A493" s="2"/>
      <c r="B493" s="7"/>
      <c r="C493" s="2"/>
      <c r="D493" s="4"/>
      <c r="E493" s="2"/>
      <c r="F493" s="8"/>
      <c r="G493" s="8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</row>
    <row r="494">
      <c r="A494" s="2"/>
      <c r="B494" s="7"/>
      <c r="C494" s="2"/>
      <c r="D494" s="4"/>
      <c r="E494" s="2"/>
      <c r="F494" s="8"/>
      <c r="G494" s="8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</row>
    <row r="495">
      <c r="A495" s="2"/>
      <c r="B495" s="7"/>
      <c r="C495" s="2"/>
      <c r="D495" s="4"/>
      <c r="E495" s="2"/>
      <c r="F495" s="8"/>
      <c r="G495" s="8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</row>
    <row r="496">
      <c r="A496" s="2"/>
      <c r="B496" s="7"/>
      <c r="C496" s="2"/>
      <c r="D496" s="4"/>
      <c r="E496" s="2"/>
      <c r="F496" s="8"/>
      <c r="G496" s="8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</row>
    <row r="497">
      <c r="A497" s="2"/>
      <c r="B497" s="7"/>
      <c r="C497" s="2"/>
      <c r="D497" s="4"/>
      <c r="E497" s="2"/>
      <c r="F497" s="8"/>
      <c r="G497" s="8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</row>
    <row r="498">
      <c r="A498" s="2"/>
      <c r="B498" s="7"/>
      <c r="C498" s="2"/>
      <c r="D498" s="4"/>
      <c r="E498" s="2"/>
      <c r="F498" s="8"/>
      <c r="G498" s="8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</row>
    <row r="499">
      <c r="A499" s="2"/>
      <c r="B499" s="7"/>
      <c r="C499" s="2"/>
      <c r="D499" s="4"/>
      <c r="E499" s="2"/>
      <c r="F499" s="8"/>
      <c r="G499" s="8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</row>
    <row r="500">
      <c r="A500" s="2"/>
      <c r="B500" s="7"/>
      <c r="C500" s="2"/>
      <c r="D500" s="4"/>
      <c r="E500" s="2"/>
      <c r="F500" s="8"/>
      <c r="G500" s="8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</row>
    <row r="501">
      <c r="A501" s="2"/>
      <c r="B501" s="7"/>
      <c r="C501" s="2"/>
      <c r="D501" s="4"/>
      <c r="E501" s="2"/>
      <c r="F501" s="8"/>
      <c r="G501" s="8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</row>
    <row r="502">
      <c r="A502" s="2"/>
      <c r="B502" s="7"/>
      <c r="C502" s="2"/>
      <c r="D502" s="4"/>
      <c r="E502" s="2"/>
      <c r="F502" s="8"/>
      <c r="G502" s="8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</row>
    <row r="503">
      <c r="A503" s="2"/>
      <c r="B503" s="7"/>
      <c r="C503" s="2"/>
      <c r="D503" s="4"/>
      <c r="E503" s="2"/>
      <c r="F503" s="8"/>
      <c r="G503" s="8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</row>
    <row r="504">
      <c r="A504" s="2"/>
      <c r="B504" s="7"/>
      <c r="C504" s="2"/>
      <c r="D504" s="4"/>
      <c r="E504" s="2"/>
      <c r="F504" s="8"/>
      <c r="G504" s="8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</row>
    <row r="505">
      <c r="A505" s="2"/>
      <c r="B505" s="7"/>
      <c r="C505" s="2"/>
      <c r="D505" s="4"/>
      <c r="E505" s="2"/>
      <c r="F505" s="8"/>
      <c r="G505" s="8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</row>
    <row r="506">
      <c r="A506" s="2"/>
      <c r="B506" s="7"/>
      <c r="C506" s="2"/>
      <c r="D506" s="4"/>
      <c r="E506" s="2"/>
      <c r="F506" s="8"/>
      <c r="G506" s="8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</row>
    <row r="507">
      <c r="A507" s="2"/>
      <c r="B507" s="7"/>
      <c r="C507" s="2"/>
      <c r="D507" s="4"/>
      <c r="E507" s="2"/>
      <c r="F507" s="8"/>
      <c r="G507" s="8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</row>
    <row r="508">
      <c r="A508" s="2"/>
      <c r="B508" s="7"/>
      <c r="C508" s="2"/>
      <c r="D508" s="4"/>
      <c r="E508" s="2"/>
      <c r="F508" s="8"/>
      <c r="G508" s="8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</row>
    <row r="509">
      <c r="A509" s="2"/>
      <c r="B509" s="7"/>
      <c r="C509" s="2"/>
      <c r="D509" s="4"/>
      <c r="E509" s="2"/>
      <c r="F509" s="8"/>
      <c r="G509" s="8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</row>
    <row r="510">
      <c r="A510" s="2"/>
      <c r="B510" s="7"/>
      <c r="C510" s="2"/>
      <c r="D510" s="4"/>
      <c r="E510" s="2"/>
      <c r="F510" s="8"/>
      <c r="G510" s="8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</row>
    <row r="511">
      <c r="A511" s="2"/>
      <c r="B511" s="7"/>
      <c r="C511" s="2"/>
      <c r="D511" s="4"/>
      <c r="E511" s="2"/>
      <c r="F511" s="8"/>
      <c r="G511" s="8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</row>
    <row r="512">
      <c r="A512" s="2"/>
      <c r="B512" s="7"/>
      <c r="C512" s="2"/>
      <c r="D512" s="4"/>
      <c r="E512" s="2"/>
      <c r="F512" s="8"/>
      <c r="G512" s="8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</row>
    <row r="513">
      <c r="A513" s="2"/>
      <c r="B513" s="7"/>
      <c r="C513" s="2"/>
      <c r="D513" s="4"/>
      <c r="E513" s="2"/>
      <c r="F513" s="8"/>
      <c r="G513" s="8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</row>
    <row r="514">
      <c r="A514" s="2"/>
      <c r="B514" s="7"/>
      <c r="C514" s="2"/>
      <c r="D514" s="4"/>
      <c r="E514" s="2"/>
      <c r="F514" s="8"/>
      <c r="G514" s="8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</row>
    <row r="515">
      <c r="A515" s="2"/>
      <c r="B515" s="7"/>
      <c r="C515" s="2"/>
      <c r="D515" s="4"/>
      <c r="E515" s="2"/>
      <c r="F515" s="8"/>
      <c r="G515" s="8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</row>
    <row r="516">
      <c r="A516" s="2"/>
      <c r="B516" s="7"/>
      <c r="C516" s="2"/>
      <c r="D516" s="4"/>
      <c r="E516" s="2"/>
      <c r="F516" s="8"/>
      <c r="G516" s="8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</row>
    <row r="517">
      <c r="A517" s="2"/>
      <c r="B517" s="7"/>
      <c r="C517" s="2"/>
      <c r="D517" s="4"/>
      <c r="E517" s="2"/>
      <c r="F517" s="8"/>
      <c r="G517" s="8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</row>
    <row r="518">
      <c r="A518" s="2"/>
      <c r="B518" s="7"/>
      <c r="C518" s="2"/>
      <c r="D518" s="4"/>
      <c r="E518" s="2"/>
      <c r="F518" s="8"/>
      <c r="G518" s="8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</row>
    <row r="519">
      <c r="A519" s="2"/>
      <c r="B519" s="7"/>
      <c r="C519" s="2"/>
      <c r="D519" s="4"/>
      <c r="E519" s="2"/>
      <c r="F519" s="8"/>
      <c r="G519" s="8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</row>
    <row r="520">
      <c r="A520" s="2"/>
      <c r="B520" s="7"/>
      <c r="C520" s="2"/>
      <c r="D520" s="4"/>
      <c r="E520" s="2"/>
      <c r="F520" s="8"/>
      <c r="G520" s="8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</row>
    <row r="521">
      <c r="A521" s="2"/>
      <c r="B521" s="7"/>
      <c r="C521" s="2"/>
      <c r="D521" s="4"/>
      <c r="E521" s="2"/>
      <c r="F521" s="8"/>
      <c r="G521" s="8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</row>
    <row r="522">
      <c r="A522" s="2"/>
      <c r="B522" s="7"/>
      <c r="C522" s="2"/>
      <c r="D522" s="4"/>
      <c r="E522" s="2"/>
      <c r="F522" s="8"/>
      <c r="G522" s="8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</row>
    <row r="523">
      <c r="A523" s="2"/>
      <c r="B523" s="7"/>
      <c r="C523" s="2"/>
      <c r="D523" s="4"/>
      <c r="E523" s="2"/>
      <c r="F523" s="8"/>
      <c r="G523" s="8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</row>
    <row r="524">
      <c r="A524" s="2"/>
      <c r="B524" s="7"/>
      <c r="C524" s="2"/>
      <c r="D524" s="4"/>
      <c r="E524" s="2"/>
      <c r="F524" s="8"/>
      <c r="G524" s="8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</row>
    <row r="525">
      <c r="A525" s="2"/>
      <c r="B525" s="7"/>
      <c r="C525" s="2"/>
      <c r="D525" s="4"/>
      <c r="E525" s="2"/>
      <c r="F525" s="8"/>
      <c r="G525" s="8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</row>
    <row r="526">
      <c r="A526" s="2"/>
      <c r="B526" s="7"/>
      <c r="C526" s="2"/>
      <c r="D526" s="4"/>
      <c r="E526" s="2"/>
      <c r="F526" s="8"/>
      <c r="G526" s="8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</row>
    <row r="527">
      <c r="A527" s="2"/>
      <c r="B527" s="7"/>
      <c r="C527" s="2"/>
      <c r="D527" s="4"/>
      <c r="E527" s="2"/>
      <c r="F527" s="8"/>
      <c r="G527" s="8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</row>
    <row r="528">
      <c r="A528" s="2"/>
      <c r="B528" s="7"/>
      <c r="C528" s="2"/>
      <c r="D528" s="4"/>
      <c r="E528" s="2"/>
      <c r="F528" s="8"/>
      <c r="G528" s="8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</row>
    <row r="529">
      <c r="A529" s="2"/>
      <c r="B529" s="7"/>
      <c r="C529" s="2"/>
      <c r="D529" s="4"/>
      <c r="E529" s="2"/>
      <c r="F529" s="8"/>
      <c r="G529" s="8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</row>
    <row r="530">
      <c r="A530" s="2"/>
      <c r="B530" s="7"/>
      <c r="C530" s="2"/>
      <c r="D530" s="4"/>
      <c r="E530" s="2"/>
      <c r="F530" s="8"/>
      <c r="G530" s="8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</row>
    <row r="531">
      <c r="A531" s="2"/>
      <c r="B531" s="7"/>
      <c r="C531" s="2"/>
      <c r="D531" s="4"/>
      <c r="E531" s="2"/>
      <c r="F531" s="8"/>
      <c r="G531" s="8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</row>
    <row r="532">
      <c r="A532" s="2"/>
      <c r="B532" s="7"/>
      <c r="C532" s="2"/>
      <c r="D532" s="4"/>
      <c r="E532" s="2"/>
      <c r="F532" s="8"/>
      <c r="G532" s="8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</row>
    <row r="533">
      <c r="A533" s="2"/>
      <c r="B533" s="7"/>
      <c r="C533" s="2"/>
      <c r="D533" s="4"/>
      <c r="E533" s="2"/>
      <c r="F533" s="8"/>
      <c r="G533" s="8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</row>
    <row r="534">
      <c r="A534" s="2"/>
      <c r="B534" s="7"/>
      <c r="C534" s="2"/>
      <c r="D534" s="4"/>
      <c r="E534" s="2"/>
      <c r="F534" s="8"/>
      <c r="G534" s="8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</row>
    <row r="535">
      <c r="A535" s="2"/>
      <c r="B535" s="7"/>
      <c r="C535" s="2"/>
      <c r="D535" s="4"/>
      <c r="E535" s="2"/>
      <c r="F535" s="8"/>
      <c r="G535" s="8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</row>
    <row r="536">
      <c r="A536" s="2"/>
      <c r="B536" s="7"/>
      <c r="C536" s="2"/>
      <c r="D536" s="4"/>
      <c r="E536" s="2"/>
      <c r="F536" s="8"/>
      <c r="G536" s="8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</row>
    <row r="537">
      <c r="A537" s="2"/>
      <c r="B537" s="7"/>
      <c r="C537" s="2"/>
      <c r="D537" s="4"/>
      <c r="E537" s="2"/>
      <c r="F537" s="8"/>
      <c r="G537" s="8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</row>
    <row r="538">
      <c r="A538" s="2"/>
      <c r="B538" s="7"/>
      <c r="C538" s="2"/>
      <c r="D538" s="4"/>
      <c r="E538" s="2"/>
      <c r="F538" s="8"/>
      <c r="G538" s="8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</row>
    <row r="539">
      <c r="A539" s="2"/>
      <c r="B539" s="7"/>
      <c r="C539" s="2"/>
      <c r="D539" s="4"/>
      <c r="E539" s="2"/>
      <c r="F539" s="8"/>
      <c r="G539" s="8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</row>
    <row r="540">
      <c r="A540" s="2"/>
      <c r="B540" s="7"/>
      <c r="C540" s="2"/>
      <c r="D540" s="4"/>
      <c r="E540" s="2"/>
      <c r="F540" s="8"/>
      <c r="G540" s="8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</row>
    <row r="541">
      <c r="A541" s="2"/>
      <c r="B541" s="7"/>
      <c r="C541" s="2"/>
      <c r="D541" s="4"/>
      <c r="E541" s="2"/>
      <c r="F541" s="8"/>
      <c r="G541" s="8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</row>
    <row r="542">
      <c r="A542" s="2"/>
      <c r="B542" s="7"/>
      <c r="C542" s="2"/>
      <c r="D542" s="4"/>
      <c r="E542" s="2"/>
      <c r="F542" s="8"/>
      <c r="G542" s="8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</row>
    <row r="543">
      <c r="A543" s="2"/>
      <c r="B543" s="7"/>
      <c r="C543" s="2"/>
      <c r="D543" s="4"/>
      <c r="E543" s="2"/>
      <c r="F543" s="8"/>
      <c r="G543" s="8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</row>
    <row r="544">
      <c r="A544" s="2"/>
      <c r="B544" s="7"/>
      <c r="C544" s="2"/>
      <c r="D544" s="4"/>
      <c r="E544" s="2"/>
      <c r="F544" s="8"/>
      <c r="G544" s="8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</row>
    <row r="545">
      <c r="A545" s="2"/>
      <c r="B545" s="7"/>
      <c r="C545" s="2"/>
      <c r="D545" s="4"/>
      <c r="E545" s="2"/>
      <c r="F545" s="8"/>
      <c r="G545" s="8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</row>
    <row r="546">
      <c r="A546" s="2"/>
      <c r="B546" s="7"/>
      <c r="C546" s="2"/>
      <c r="D546" s="4"/>
      <c r="E546" s="2"/>
      <c r="F546" s="8"/>
      <c r="G546" s="8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</row>
    <row r="547">
      <c r="A547" s="2"/>
      <c r="B547" s="7"/>
      <c r="C547" s="2"/>
      <c r="D547" s="4"/>
      <c r="E547" s="2"/>
      <c r="F547" s="8"/>
      <c r="G547" s="8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</row>
    <row r="548">
      <c r="A548" s="2"/>
      <c r="B548" s="7"/>
      <c r="C548" s="2"/>
      <c r="D548" s="4"/>
      <c r="E548" s="2"/>
      <c r="F548" s="8"/>
      <c r="G548" s="8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</row>
    <row r="549">
      <c r="A549" s="2"/>
      <c r="B549" s="7"/>
      <c r="C549" s="2"/>
      <c r="D549" s="4"/>
      <c r="E549" s="2"/>
      <c r="F549" s="8"/>
      <c r="G549" s="8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</row>
    <row r="550">
      <c r="A550" s="2"/>
      <c r="B550" s="7"/>
      <c r="C550" s="2"/>
      <c r="D550" s="4"/>
      <c r="E550" s="2"/>
      <c r="F550" s="8"/>
      <c r="G550" s="8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</row>
    <row r="551">
      <c r="A551" s="2"/>
      <c r="B551" s="7"/>
      <c r="C551" s="2"/>
      <c r="D551" s="4"/>
      <c r="E551" s="2"/>
      <c r="F551" s="8"/>
      <c r="G551" s="8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</row>
    <row r="552">
      <c r="A552" s="2"/>
      <c r="B552" s="7"/>
      <c r="C552" s="2"/>
      <c r="D552" s="4"/>
      <c r="E552" s="2"/>
      <c r="F552" s="8"/>
      <c r="G552" s="8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</row>
    <row r="553">
      <c r="A553" s="2"/>
      <c r="B553" s="7"/>
      <c r="C553" s="2"/>
      <c r="D553" s="4"/>
      <c r="E553" s="2"/>
      <c r="F553" s="8"/>
      <c r="G553" s="8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</row>
    <row r="554">
      <c r="A554" s="2"/>
      <c r="B554" s="7"/>
      <c r="C554" s="2"/>
      <c r="D554" s="4"/>
      <c r="E554" s="2"/>
      <c r="F554" s="8"/>
      <c r="G554" s="8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</row>
    <row r="555">
      <c r="A555" s="2"/>
      <c r="B555" s="7"/>
      <c r="C555" s="2"/>
      <c r="D555" s="4"/>
      <c r="E555" s="2"/>
      <c r="F555" s="8"/>
      <c r="G555" s="8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</row>
    <row r="556">
      <c r="A556" s="2"/>
      <c r="B556" s="7"/>
      <c r="C556" s="2"/>
      <c r="D556" s="4"/>
      <c r="E556" s="2"/>
      <c r="F556" s="8"/>
      <c r="G556" s="8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</row>
    <row r="557">
      <c r="A557" s="2"/>
      <c r="B557" s="7"/>
      <c r="C557" s="2"/>
      <c r="D557" s="4"/>
      <c r="E557" s="2"/>
      <c r="F557" s="8"/>
      <c r="G557" s="8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</row>
    <row r="558">
      <c r="A558" s="2"/>
      <c r="B558" s="7"/>
      <c r="C558" s="2"/>
      <c r="D558" s="4"/>
      <c r="E558" s="2"/>
      <c r="F558" s="8"/>
      <c r="G558" s="8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</row>
    <row r="559">
      <c r="A559" s="2"/>
      <c r="B559" s="7"/>
      <c r="C559" s="2"/>
      <c r="D559" s="4"/>
      <c r="E559" s="2"/>
      <c r="F559" s="8"/>
      <c r="G559" s="8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</row>
    <row r="560">
      <c r="A560" s="2"/>
      <c r="B560" s="7"/>
      <c r="C560" s="2"/>
      <c r="D560" s="4"/>
      <c r="E560" s="2"/>
      <c r="F560" s="8"/>
      <c r="G560" s="8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</row>
    <row r="561">
      <c r="A561" s="2"/>
      <c r="B561" s="7"/>
      <c r="C561" s="2"/>
      <c r="D561" s="4"/>
      <c r="E561" s="2"/>
      <c r="F561" s="8"/>
      <c r="G561" s="8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</row>
    <row r="562">
      <c r="A562" s="2"/>
      <c r="B562" s="7"/>
      <c r="C562" s="2"/>
      <c r="D562" s="4"/>
      <c r="E562" s="2"/>
      <c r="F562" s="8"/>
      <c r="G562" s="8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</row>
    <row r="563">
      <c r="A563" s="2"/>
      <c r="B563" s="7"/>
      <c r="C563" s="2"/>
      <c r="D563" s="4"/>
      <c r="E563" s="2"/>
      <c r="F563" s="8"/>
      <c r="G563" s="8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</row>
    <row r="564">
      <c r="A564" s="2"/>
      <c r="B564" s="7"/>
      <c r="C564" s="2"/>
      <c r="D564" s="4"/>
      <c r="E564" s="2"/>
      <c r="F564" s="8"/>
      <c r="G564" s="8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</row>
    <row r="565">
      <c r="A565" s="2"/>
      <c r="B565" s="7"/>
      <c r="C565" s="2"/>
      <c r="D565" s="4"/>
      <c r="E565" s="2"/>
      <c r="F565" s="8"/>
      <c r="G565" s="8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</row>
    <row r="566">
      <c r="A566" s="2"/>
      <c r="B566" s="7"/>
      <c r="C566" s="2"/>
      <c r="D566" s="4"/>
      <c r="E566" s="2"/>
      <c r="F566" s="8"/>
      <c r="G566" s="8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</row>
    <row r="567">
      <c r="A567" s="2"/>
      <c r="B567" s="7"/>
      <c r="C567" s="2"/>
      <c r="D567" s="4"/>
      <c r="E567" s="2"/>
      <c r="F567" s="8"/>
      <c r="G567" s="8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</row>
    <row r="568">
      <c r="A568" s="2"/>
      <c r="B568" s="7"/>
      <c r="C568" s="2"/>
      <c r="D568" s="4"/>
      <c r="E568" s="2"/>
      <c r="F568" s="8"/>
      <c r="G568" s="8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</row>
    <row r="569">
      <c r="A569" s="2"/>
      <c r="B569" s="7"/>
      <c r="C569" s="2"/>
      <c r="D569" s="4"/>
      <c r="E569" s="2"/>
      <c r="F569" s="8"/>
      <c r="G569" s="8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</row>
    <row r="570">
      <c r="A570" s="2"/>
      <c r="B570" s="7"/>
      <c r="C570" s="2"/>
      <c r="D570" s="4"/>
      <c r="E570" s="2"/>
      <c r="F570" s="8"/>
      <c r="G570" s="8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</row>
    <row r="571">
      <c r="A571" s="2"/>
      <c r="B571" s="7"/>
      <c r="C571" s="2"/>
      <c r="D571" s="4"/>
      <c r="E571" s="2"/>
      <c r="F571" s="8"/>
      <c r="G571" s="8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</row>
    <row r="572">
      <c r="A572" s="2"/>
      <c r="B572" s="7"/>
      <c r="C572" s="2"/>
      <c r="D572" s="4"/>
      <c r="E572" s="2"/>
      <c r="F572" s="8"/>
      <c r="G572" s="8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</row>
    <row r="573">
      <c r="A573" s="2"/>
      <c r="B573" s="7"/>
      <c r="C573" s="2"/>
      <c r="D573" s="4"/>
      <c r="E573" s="2"/>
      <c r="F573" s="8"/>
      <c r="G573" s="8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</row>
    <row r="574">
      <c r="A574" s="2"/>
      <c r="B574" s="7"/>
      <c r="C574" s="2"/>
      <c r="D574" s="4"/>
      <c r="E574" s="2"/>
      <c r="F574" s="8"/>
      <c r="G574" s="8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</row>
    <row r="575">
      <c r="A575" s="2"/>
      <c r="B575" s="7"/>
      <c r="C575" s="2"/>
      <c r="D575" s="4"/>
      <c r="E575" s="2"/>
      <c r="F575" s="8"/>
      <c r="G575" s="8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</row>
    <row r="576">
      <c r="A576" s="2"/>
      <c r="B576" s="7"/>
      <c r="C576" s="2"/>
      <c r="D576" s="4"/>
      <c r="E576" s="2"/>
      <c r="F576" s="8"/>
      <c r="G576" s="8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</row>
    <row r="577">
      <c r="A577" s="2"/>
      <c r="B577" s="7"/>
      <c r="C577" s="2"/>
      <c r="D577" s="4"/>
      <c r="E577" s="2"/>
      <c r="F577" s="8"/>
      <c r="G577" s="8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</row>
    <row r="578">
      <c r="A578" s="2"/>
      <c r="B578" s="7"/>
      <c r="C578" s="2"/>
      <c r="D578" s="4"/>
      <c r="E578" s="2"/>
      <c r="F578" s="8"/>
      <c r="G578" s="8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</row>
    <row r="579">
      <c r="A579" s="2"/>
      <c r="B579" s="7"/>
      <c r="C579" s="2"/>
      <c r="D579" s="4"/>
      <c r="E579" s="2"/>
      <c r="F579" s="8"/>
      <c r="G579" s="8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</row>
    <row r="580">
      <c r="A580" s="2"/>
      <c r="B580" s="7"/>
      <c r="C580" s="2"/>
      <c r="D580" s="4"/>
      <c r="E580" s="2"/>
      <c r="F580" s="8"/>
      <c r="G580" s="8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</row>
    <row r="581">
      <c r="A581" s="2"/>
      <c r="B581" s="7"/>
      <c r="C581" s="2"/>
      <c r="D581" s="4"/>
      <c r="E581" s="2"/>
      <c r="F581" s="8"/>
      <c r="G581" s="8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</row>
    <row r="582">
      <c r="A582" s="2"/>
      <c r="B582" s="7"/>
      <c r="C582" s="2"/>
      <c r="D582" s="4"/>
      <c r="E582" s="2"/>
      <c r="F582" s="8"/>
      <c r="G582" s="8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</row>
    <row r="583">
      <c r="A583" s="2"/>
      <c r="B583" s="7"/>
      <c r="C583" s="2"/>
      <c r="D583" s="4"/>
      <c r="E583" s="2"/>
      <c r="F583" s="8"/>
      <c r="G583" s="8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</row>
    <row r="584">
      <c r="A584" s="2"/>
      <c r="B584" s="7"/>
      <c r="C584" s="2"/>
      <c r="D584" s="4"/>
      <c r="E584" s="2"/>
      <c r="F584" s="8"/>
      <c r="G584" s="8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</row>
    <row r="585">
      <c r="A585" s="2"/>
      <c r="B585" s="7"/>
      <c r="C585" s="2"/>
      <c r="D585" s="4"/>
      <c r="E585" s="2"/>
      <c r="F585" s="8"/>
      <c r="G585" s="8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</row>
    <row r="586">
      <c r="A586" s="2"/>
      <c r="B586" s="7"/>
      <c r="C586" s="2"/>
      <c r="D586" s="4"/>
      <c r="E586" s="2"/>
      <c r="F586" s="8"/>
      <c r="G586" s="8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</row>
    <row r="587">
      <c r="A587" s="2"/>
      <c r="B587" s="7"/>
      <c r="C587" s="2"/>
      <c r="D587" s="4"/>
      <c r="E587" s="2"/>
      <c r="F587" s="8"/>
      <c r="G587" s="8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</row>
    <row r="588">
      <c r="A588" s="2"/>
      <c r="B588" s="7"/>
      <c r="C588" s="2"/>
      <c r="D588" s="4"/>
      <c r="E588" s="2"/>
      <c r="F588" s="8"/>
      <c r="G588" s="8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</row>
    <row r="589">
      <c r="A589" s="2"/>
      <c r="B589" s="7"/>
      <c r="C589" s="2"/>
      <c r="D589" s="4"/>
      <c r="E589" s="2"/>
      <c r="F589" s="8"/>
      <c r="G589" s="8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</row>
    <row r="590">
      <c r="A590" s="2"/>
      <c r="B590" s="7"/>
      <c r="C590" s="2"/>
      <c r="D590" s="4"/>
      <c r="E590" s="2"/>
      <c r="F590" s="8"/>
      <c r="G590" s="8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</row>
    <row r="591">
      <c r="A591" s="2"/>
      <c r="B591" s="7"/>
      <c r="C591" s="2"/>
      <c r="D591" s="4"/>
      <c r="E591" s="2"/>
      <c r="F591" s="8"/>
      <c r="G591" s="8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</row>
    <row r="592">
      <c r="A592" s="2"/>
      <c r="B592" s="7"/>
      <c r="C592" s="2"/>
      <c r="D592" s="4"/>
      <c r="E592" s="2"/>
      <c r="F592" s="8"/>
      <c r="G592" s="8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</row>
    <row r="593">
      <c r="A593" s="2"/>
      <c r="B593" s="7"/>
      <c r="C593" s="2"/>
      <c r="D593" s="4"/>
      <c r="E593" s="2"/>
      <c r="F593" s="8"/>
      <c r="G593" s="8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</row>
    <row r="594">
      <c r="A594" s="2"/>
      <c r="B594" s="7"/>
      <c r="C594" s="2"/>
      <c r="D594" s="4"/>
      <c r="E594" s="2"/>
      <c r="F594" s="8"/>
      <c r="G594" s="8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</row>
    <row r="595">
      <c r="A595" s="2"/>
      <c r="B595" s="7"/>
      <c r="C595" s="2"/>
      <c r="D595" s="4"/>
      <c r="E595" s="2"/>
      <c r="F595" s="8"/>
      <c r="G595" s="8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</row>
    <row r="596">
      <c r="A596" s="2"/>
      <c r="B596" s="7"/>
      <c r="C596" s="2"/>
      <c r="D596" s="4"/>
      <c r="E596" s="2"/>
      <c r="F596" s="8"/>
      <c r="G596" s="8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</row>
    <row r="597">
      <c r="A597" s="2"/>
      <c r="B597" s="7"/>
      <c r="C597" s="2"/>
      <c r="D597" s="4"/>
      <c r="E597" s="2"/>
      <c r="F597" s="8"/>
      <c r="G597" s="8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</row>
    <row r="598">
      <c r="A598" s="2"/>
      <c r="B598" s="7"/>
      <c r="C598" s="2"/>
      <c r="D598" s="4"/>
      <c r="E598" s="2"/>
      <c r="F598" s="8"/>
      <c r="G598" s="8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</row>
    <row r="599">
      <c r="A599" s="2"/>
      <c r="B599" s="7"/>
      <c r="C599" s="2"/>
      <c r="D599" s="4"/>
      <c r="E599" s="2"/>
      <c r="F599" s="8"/>
      <c r="G599" s="8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</row>
    <row r="600">
      <c r="A600" s="2"/>
      <c r="B600" s="7"/>
      <c r="C600" s="2"/>
      <c r="D600" s="4"/>
      <c r="E600" s="2"/>
      <c r="F600" s="8"/>
      <c r="G600" s="8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</row>
    <row r="601">
      <c r="A601" s="2"/>
      <c r="B601" s="7"/>
      <c r="C601" s="2"/>
      <c r="D601" s="4"/>
      <c r="E601" s="2"/>
      <c r="F601" s="8"/>
      <c r="G601" s="8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</row>
    <row r="602">
      <c r="A602" s="2"/>
      <c r="B602" s="7"/>
      <c r="C602" s="2"/>
      <c r="D602" s="4"/>
      <c r="E602" s="2"/>
      <c r="F602" s="8"/>
      <c r="G602" s="8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</row>
    <row r="603">
      <c r="A603" s="2"/>
      <c r="B603" s="7"/>
      <c r="C603" s="2"/>
      <c r="D603" s="4"/>
      <c r="E603" s="2"/>
      <c r="F603" s="8"/>
      <c r="G603" s="8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</row>
    <row r="604">
      <c r="A604" s="2"/>
      <c r="B604" s="7"/>
      <c r="C604" s="2"/>
      <c r="D604" s="4"/>
      <c r="E604" s="2"/>
      <c r="F604" s="8"/>
      <c r="G604" s="8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</row>
    <row r="605">
      <c r="A605" s="2"/>
      <c r="B605" s="7"/>
      <c r="C605" s="2"/>
      <c r="D605" s="4"/>
      <c r="E605" s="2"/>
      <c r="F605" s="8"/>
      <c r="G605" s="8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</row>
    <row r="606">
      <c r="A606" s="2"/>
      <c r="B606" s="7"/>
      <c r="C606" s="2"/>
      <c r="D606" s="4"/>
      <c r="E606" s="2"/>
      <c r="F606" s="8"/>
      <c r="G606" s="8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</row>
    <row r="607">
      <c r="A607" s="2"/>
      <c r="B607" s="7"/>
      <c r="C607" s="2"/>
      <c r="D607" s="4"/>
      <c r="E607" s="2"/>
      <c r="F607" s="8"/>
      <c r="G607" s="8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</row>
    <row r="608">
      <c r="A608" s="2"/>
      <c r="B608" s="7"/>
      <c r="C608" s="2"/>
      <c r="D608" s="4"/>
      <c r="E608" s="2"/>
      <c r="F608" s="8"/>
      <c r="G608" s="8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</row>
    <row r="609">
      <c r="A609" s="2"/>
      <c r="B609" s="7"/>
      <c r="C609" s="2"/>
      <c r="D609" s="4"/>
      <c r="E609" s="2"/>
      <c r="F609" s="8"/>
      <c r="G609" s="8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</row>
    <row r="610">
      <c r="A610" s="2"/>
      <c r="B610" s="7"/>
      <c r="C610" s="2"/>
      <c r="D610" s="4"/>
      <c r="E610" s="2"/>
      <c r="F610" s="8"/>
      <c r="G610" s="8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</row>
    <row r="611">
      <c r="A611" s="2"/>
      <c r="B611" s="7"/>
      <c r="C611" s="2"/>
      <c r="D611" s="4"/>
      <c r="E611" s="2"/>
      <c r="F611" s="8"/>
      <c r="G611" s="8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</row>
    <row r="612">
      <c r="A612" s="2"/>
      <c r="B612" s="7"/>
      <c r="C612" s="2"/>
      <c r="D612" s="4"/>
      <c r="E612" s="2"/>
      <c r="F612" s="8"/>
      <c r="G612" s="8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</row>
    <row r="613">
      <c r="A613" s="2"/>
      <c r="B613" s="7"/>
      <c r="C613" s="2"/>
      <c r="D613" s="4"/>
      <c r="E613" s="2"/>
      <c r="F613" s="8"/>
      <c r="G613" s="8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</row>
    <row r="614">
      <c r="A614" s="2"/>
      <c r="B614" s="7"/>
      <c r="C614" s="2"/>
      <c r="D614" s="4"/>
      <c r="E614" s="2"/>
      <c r="F614" s="8"/>
      <c r="G614" s="8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</row>
    <row r="615">
      <c r="A615" s="2"/>
      <c r="B615" s="7"/>
      <c r="C615" s="2"/>
      <c r="D615" s="4"/>
      <c r="E615" s="2"/>
      <c r="F615" s="8"/>
      <c r="G615" s="8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</row>
    <row r="616">
      <c r="A616" s="2"/>
      <c r="B616" s="7"/>
      <c r="C616" s="2"/>
      <c r="D616" s="4"/>
      <c r="E616" s="2"/>
      <c r="F616" s="8"/>
      <c r="G616" s="8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</row>
    <row r="617">
      <c r="A617" s="2"/>
      <c r="B617" s="7"/>
      <c r="C617" s="2"/>
      <c r="D617" s="4"/>
      <c r="E617" s="2"/>
      <c r="F617" s="8"/>
      <c r="G617" s="8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</row>
    <row r="618">
      <c r="A618" s="2"/>
      <c r="B618" s="7"/>
      <c r="C618" s="2"/>
      <c r="D618" s="4"/>
      <c r="E618" s="2"/>
      <c r="F618" s="8"/>
      <c r="G618" s="8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</row>
    <row r="619">
      <c r="A619" s="2"/>
      <c r="B619" s="7"/>
      <c r="C619" s="2"/>
      <c r="D619" s="4"/>
      <c r="E619" s="2"/>
      <c r="F619" s="8"/>
      <c r="G619" s="8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</row>
    <row r="620">
      <c r="A620" s="2"/>
      <c r="B620" s="7"/>
      <c r="C620" s="2"/>
      <c r="D620" s="4"/>
      <c r="E620" s="2"/>
      <c r="F620" s="8"/>
      <c r="G620" s="8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</row>
    <row r="621">
      <c r="A621" s="2"/>
      <c r="B621" s="7"/>
      <c r="C621" s="2"/>
      <c r="D621" s="4"/>
      <c r="E621" s="2"/>
      <c r="F621" s="8"/>
      <c r="G621" s="8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</row>
    <row r="622">
      <c r="A622" s="2"/>
      <c r="B622" s="7"/>
      <c r="C622" s="2"/>
      <c r="D622" s="4"/>
      <c r="E622" s="2"/>
      <c r="F622" s="8"/>
      <c r="G622" s="8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</row>
    <row r="623">
      <c r="A623" s="2"/>
      <c r="B623" s="7"/>
      <c r="C623" s="2"/>
      <c r="D623" s="4"/>
      <c r="E623" s="2"/>
      <c r="F623" s="8"/>
      <c r="G623" s="8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</row>
    <row r="624">
      <c r="A624" s="2"/>
      <c r="B624" s="7"/>
      <c r="C624" s="2"/>
      <c r="D624" s="4"/>
      <c r="E624" s="2"/>
      <c r="F624" s="8"/>
      <c r="G624" s="8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</row>
    <row r="625">
      <c r="A625" s="2"/>
      <c r="B625" s="7"/>
      <c r="C625" s="2"/>
      <c r="D625" s="4"/>
      <c r="E625" s="2"/>
      <c r="F625" s="8"/>
      <c r="G625" s="8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</row>
    <row r="626">
      <c r="A626" s="2"/>
      <c r="B626" s="7"/>
      <c r="C626" s="2"/>
      <c r="D626" s="4"/>
      <c r="E626" s="2"/>
      <c r="F626" s="8"/>
      <c r="G626" s="8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</row>
    <row r="627">
      <c r="A627" s="2"/>
      <c r="B627" s="7"/>
      <c r="C627" s="2"/>
      <c r="D627" s="4"/>
      <c r="E627" s="2"/>
      <c r="F627" s="8"/>
      <c r="G627" s="8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</row>
    <row r="628">
      <c r="A628" s="2"/>
      <c r="B628" s="7"/>
      <c r="C628" s="2"/>
      <c r="D628" s="4"/>
      <c r="E628" s="2"/>
      <c r="F628" s="8"/>
      <c r="G628" s="8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</row>
    <row r="629">
      <c r="A629" s="2"/>
      <c r="B629" s="7"/>
      <c r="C629" s="2"/>
      <c r="D629" s="4"/>
      <c r="E629" s="2"/>
      <c r="F629" s="8"/>
      <c r="G629" s="8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</row>
    <row r="630">
      <c r="A630" s="2"/>
      <c r="B630" s="7"/>
      <c r="C630" s="2"/>
      <c r="D630" s="4"/>
      <c r="E630" s="2"/>
      <c r="F630" s="8"/>
      <c r="G630" s="8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</row>
    <row r="631">
      <c r="A631" s="2"/>
      <c r="B631" s="7"/>
      <c r="C631" s="2"/>
      <c r="D631" s="4"/>
      <c r="E631" s="2"/>
      <c r="F631" s="8"/>
      <c r="G631" s="8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</row>
    <row r="632">
      <c r="A632" s="2"/>
      <c r="B632" s="7"/>
      <c r="C632" s="2"/>
      <c r="D632" s="4"/>
      <c r="E632" s="2"/>
      <c r="F632" s="8"/>
      <c r="G632" s="8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</row>
    <row r="633">
      <c r="A633" s="2"/>
      <c r="B633" s="7"/>
      <c r="C633" s="2"/>
      <c r="D633" s="4"/>
      <c r="E633" s="2"/>
      <c r="F633" s="8"/>
      <c r="G633" s="8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</row>
    <row r="634">
      <c r="A634" s="2"/>
      <c r="B634" s="7"/>
      <c r="C634" s="2"/>
      <c r="D634" s="4"/>
      <c r="E634" s="2"/>
      <c r="F634" s="8"/>
      <c r="G634" s="8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</row>
    <row r="635">
      <c r="A635" s="2"/>
      <c r="B635" s="7"/>
      <c r="C635" s="2"/>
      <c r="D635" s="4"/>
      <c r="E635" s="2"/>
      <c r="F635" s="8"/>
      <c r="G635" s="8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</row>
    <row r="636">
      <c r="A636" s="2"/>
      <c r="B636" s="7"/>
      <c r="C636" s="2"/>
      <c r="D636" s="4"/>
      <c r="E636" s="2"/>
      <c r="F636" s="8"/>
      <c r="G636" s="8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</row>
    <row r="637">
      <c r="A637" s="2"/>
      <c r="B637" s="7"/>
      <c r="C637" s="2"/>
      <c r="D637" s="4"/>
      <c r="E637" s="2"/>
      <c r="F637" s="8"/>
      <c r="G637" s="8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</row>
    <row r="638">
      <c r="A638" s="2"/>
      <c r="B638" s="7"/>
      <c r="C638" s="2"/>
      <c r="D638" s="4"/>
      <c r="E638" s="2"/>
      <c r="F638" s="8"/>
      <c r="G638" s="8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</row>
    <row r="639">
      <c r="A639" s="2"/>
      <c r="B639" s="7"/>
      <c r="C639" s="2"/>
      <c r="D639" s="4"/>
      <c r="E639" s="2"/>
      <c r="F639" s="8"/>
      <c r="G639" s="8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</row>
    <row r="640">
      <c r="A640" s="2"/>
      <c r="B640" s="7"/>
      <c r="C640" s="2"/>
      <c r="D640" s="4"/>
      <c r="E640" s="2"/>
      <c r="F640" s="8"/>
      <c r="G640" s="8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</row>
    <row r="641">
      <c r="A641" s="2"/>
      <c r="B641" s="7"/>
      <c r="C641" s="2"/>
      <c r="D641" s="4"/>
      <c r="E641" s="2"/>
      <c r="F641" s="8"/>
      <c r="G641" s="8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</row>
    <row r="642">
      <c r="A642" s="2"/>
      <c r="B642" s="7"/>
      <c r="C642" s="2"/>
      <c r="D642" s="4"/>
      <c r="E642" s="2"/>
      <c r="F642" s="8"/>
      <c r="G642" s="8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</row>
    <row r="643">
      <c r="A643" s="2"/>
      <c r="B643" s="7"/>
      <c r="C643" s="2"/>
      <c r="D643" s="4"/>
      <c r="E643" s="2"/>
      <c r="F643" s="8"/>
      <c r="G643" s="8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</row>
    <row r="644">
      <c r="A644" s="2"/>
      <c r="B644" s="7"/>
      <c r="C644" s="2"/>
      <c r="D644" s="4"/>
      <c r="E644" s="2"/>
      <c r="F644" s="8"/>
      <c r="G644" s="8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</row>
    <row r="645">
      <c r="A645" s="2"/>
      <c r="B645" s="7"/>
      <c r="C645" s="2"/>
      <c r="D645" s="4"/>
      <c r="E645" s="2"/>
      <c r="F645" s="8"/>
      <c r="G645" s="8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</row>
    <row r="646">
      <c r="A646" s="2"/>
      <c r="B646" s="7"/>
      <c r="C646" s="2"/>
      <c r="D646" s="4"/>
      <c r="E646" s="2"/>
      <c r="F646" s="8"/>
      <c r="G646" s="8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</row>
    <row r="647">
      <c r="A647" s="2"/>
      <c r="B647" s="7"/>
      <c r="C647" s="2"/>
      <c r="D647" s="4"/>
      <c r="E647" s="2"/>
      <c r="F647" s="8"/>
      <c r="G647" s="8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</row>
    <row r="648">
      <c r="A648" s="2"/>
      <c r="B648" s="7"/>
      <c r="C648" s="2"/>
      <c r="D648" s="4"/>
      <c r="E648" s="2"/>
      <c r="F648" s="8"/>
      <c r="G648" s="8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</row>
    <row r="649">
      <c r="A649" s="2"/>
      <c r="B649" s="7"/>
      <c r="C649" s="2"/>
      <c r="D649" s="4"/>
      <c r="E649" s="2"/>
      <c r="F649" s="8"/>
      <c r="G649" s="8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</row>
    <row r="650">
      <c r="A650" s="2"/>
      <c r="B650" s="7"/>
      <c r="C650" s="2"/>
      <c r="D650" s="4"/>
      <c r="E650" s="2"/>
      <c r="F650" s="8"/>
      <c r="G650" s="8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</row>
    <row r="651">
      <c r="A651" s="2"/>
      <c r="B651" s="7"/>
      <c r="C651" s="2"/>
      <c r="D651" s="4"/>
      <c r="E651" s="2"/>
      <c r="F651" s="8"/>
      <c r="G651" s="8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</row>
    <row r="652">
      <c r="A652" s="2"/>
      <c r="B652" s="7"/>
      <c r="C652" s="2"/>
      <c r="D652" s="4"/>
      <c r="E652" s="2"/>
      <c r="F652" s="8"/>
      <c r="G652" s="8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</row>
    <row r="653">
      <c r="A653" s="2"/>
      <c r="B653" s="7"/>
      <c r="C653" s="2"/>
      <c r="D653" s="4"/>
      <c r="E653" s="2"/>
      <c r="F653" s="8"/>
      <c r="G653" s="8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</row>
    <row r="654">
      <c r="A654" s="2"/>
      <c r="B654" s="7"/>
      <c r="C654" s="2"/>
      <c r="D654" s="4"/>
      <c r="E654" s="2"/>
      <c r="F654" s="8"/>
      <c r="G654" s="8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</row>
    <row r="655">
      <c r="A655" s="2"/>
      <c r="B655" s="7"/>
      <c r="C655" s="2"/>
      <c r="D655" s="4"/>
      <c r="E655" s="2"/>
      <c r="F655" s="8"/>
      <c r="G655" s="8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</row>
    <row r="656">
      <c r="A656" s="2"/>
      <c r="B656" s="7"/>
      <c r="C656" s="2"/>
      <c r="D656" s="4"/>
      <c r="E656" s="2"/>
      <c r="F656" s="8"/>
      <c r="G656" s="8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</row>
    <row r="657">
      <c r="A657" s="2"/>
      <c r="B657" s="7"/>
      <c r="C657" s="2"/>
      <c r="D657" s="4"/>
      <c r="E657" s="2"/>
      <c r="F657" s="8"/>
      <c r="G657" s="8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</row>
    <row r="658">
      <c r="A658" s="2"/>
      <c r="B658" s="7"/>
      <c r="C658" s="2"/>
      <c r="D658" s="4"/>
      <c r="E658" s="2"/>
      <c r="F658" s="8"/>
      <c r="G658" s="8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</row>
    <row r="659">
      <c r="A659" s="2"/>
      <c r="B659" s="7"/>
      <c r="C659" s="2"/>
      <c r="D659" s="4"/>
      <c r="E659" s="2"/>
      <c r="F659" s="8"/>
      <c r="G659" s="8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</row>
    <row r="660">
      <c r="A660" s="2"/>
      <c r="B660" s="7"/>
      <c r="C660" s="2"/>
      <c r="D660" s="4"/>
      <c r="E660" s="2"/>
      <c r="F660" s="8"/>
      <c r="G660" s="8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</row>
    <row r="661">
      <c r="A661" s="2"/>
      <c r="B661" s="7"/>
      <c r="C661" s="2"/>
      <c r="D661" s="4"/>
      <c r="E661" s="2"/>
      <c r="F661" s="8"/>
      <c r="G661" s="8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</row>
    <row r="662">
      <c r="A662" s="2"/>
      <c r="B662" s="7"/>
      <c r="C662" s="2"/>
      <c r="D662" s="4"/>
      <c r="E662" s="2"/>
      <c r="F662" s="8"/>
      <c r="G662" s="8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</row>
    <row r="663">
      <c r="A663" s="2"/>
      <c r="B663" s="7"/>
      <c r="C663" s="2"/>
      <c r="D663" s="4"/>
      <c r="E663" s="2"/>
      <c r="F663" s="8"/>
      <c r="G663" s="8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</row>
    <row r="664">
      <c r="A664" s="2"/>
      <c r="B664" s="7"/>
      <c r="C664" s="2"/>
      <c r="D664" s="4"/>
      <c r="E664" s="2"/>
      <c r="F664" s="8"/>
      <c r="G664" s="8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</row>
    <row r="665">
      <c r="A665" s="2"/>
      <c r="B665" s="7"/>
      <c r="C665" s="2"/>
      <c r="D665" s="4"/>
      <c r="E665" s="2"/>
      <c r="F665" s="8"/>
      <c r="G665" s="8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</row>
    <row r="666">
      <c r="A666" s="2"/>
      <c r="B666" s="7"/>
      <c r="C666" s="2"/>
      <c r="D666" s="4"/>
      <c r="E666" s="2"/>
      <c r="F666" s="8"/>
      <c r="G666" s="8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</row>
    <row r="667">
      <c r="A667" s="2"/>
      <c r="B667" s="7"/>
      <c r="C667" s="2"/>
      <c r="D667" s="4"/>
      <c r="E667" s="2"/>
      <c r="F667" s="8"/>
      <c r="G667" s="8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</row>
    <row r="668">
      <c r="A668" s="2"/>
      <c r="B668" s="7"/>
      <c r="C668" s="2"/>
      <c r="D668" s="4"/>
      <c r="E668" s="2"/>
      <c r="F668" s="8"/>
      <c r="G668" s="8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</row>
    <row r="669">
      <c r="A669" s="2"/>
      <c r="B669" s="7"/>
      <c r="C669" s="2"/>
      <c r="D669" s="4"/>
      <c r="E669" s="2"/>
      <c r="F669" s="8"/>
      <c r="G669" s="8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</row>
    <row r="670">
      <c r="A670" s="2"/>
      <c r="B670" s="7"/>
      <c r="C670" s="2"/>
      <c r="D670" s="4"/>
      <c r="E670" s="2"/>
      <c r="F670" s="8"/>
      <c r="G670" s="8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</row>
    <row r="671">
      <c r="A671" s="2"/>
      <c r="B671" s="7"/>
      <c r="C671" s="2"/>
      <c r="D671" s="4"/>
      <c r="E671" s="2"/>
      <c r="F671" s="8"/>
      <c r="G671" s="8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</row>
    <row r="672">
      <c r="A672" s="2"/>
      <c r="B672" s="7"/>
      <c r="C672" s="2"/>
      <c r="D672" s="4"/>
      <c r="E672" s="2"/>
      <c r="F672" s="8"/>
      <c r="G672" s="8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</row>
    <row r="673">
      <c r="A673" s="2"/>
      <c r="B673" s="7"/>
      <c r="C673" s="2"/>
      <c r="D673" s="4"/>
      <c r="E673" s="2"/>
      <c r="F673" s="8"/>
      <c r="G673" s="8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</row>
    <row r="674">
      <c r="A674" s="2"/>
      <c r="B674" s="7"/>
      <c r="C674" s="2"/>
      <c r="D674" s="4"/>
      <c r="E674" s="2"/>
      <c r="F674" s="8"/>
      <c r="G674" s="8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</row>
    <row r="675">
      <c r="A675" s="2"/>
      <c r="B675" s="7"/>
      <c r="C675" s="2"/>
      <c r="D675" s="4"/>
      <c r="E675" s="2"/>
      <c r="F675" s="8"/>
      <c r="G675" s="8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</row>
    <row r="676">
      <c r="A676" s="2"/>
      <c r="B676" s="7"/>
      <c r="C676" s="2"/>
      <c r="D676" s="4"/>
      <c r="E676" s="2"/>
      <c r="F676" s="8"/>
      <c r="G676" s="8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</row>
    <row r="677">
      <c r="A677" s="2"/>
      <c r="B677" s="7"/>
      <c r="C677" s="2"/>
      <c r="D677" s="4"/>
      <c r="E677" s="2"/>
      <c r="F677" s="8"/>
      <c r="G677" s="8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</row>
    <row r="678">
      <c r="A678" s="2"/>
      <c r="B678" s="7"/>
      <c r="C678" s="2"/>
      <c r="D678" s="4"/>
      <c r="E678" s="2"/>
      <c r="F678" s="8"/>
      <c r="G678" s="8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</row>
    <row r="679">
      <c r="A679" s="2"/>
      <c r="B679" s="7"/>
      <c r="C679" s="2"/>
      <c r="D679" s="4"/>
      <c r="E679" s="2"/>
      <c r="F679" s="8"/>
      <c r="G679" s="8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</row>
    <row r="680">
      <c r="A680" s="2"/>
      <c r="B680" s="7"/>
      <c r="C680" s="2"/>
      <c r="D680" s="4"/>
      <c r="E680" s="2"/>
      <c r="F680" s="8"/>
      <c r="G680" s="8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</row>
    <row r="681">
      <c r="A681" s="2"/>
      <c r="B681" s="7"/>
      <c r="C681" s="2"/>
      <c r="D681" s="4"/>
      <c r="E681" s="2"/>
      <c r="F681" s="8"/>
      <c r="G681" s="8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</row>
    <row r="682">
      <c r="A682" s="2"/>
      <c r="B682" s="7"/>
      <c r="C682" s="2"/>
      <c r="D682" s="4"/>
      <c r="E682" s="2"/>
      <c r="F682" s="8"/>
      <c r="G682" s="8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</row>
    <row r="683">
      <c r="A683" s="2"/>
      <c r="B683" s="7"/>
      <c r="C683" s="2"/>
      <c r="D683" s="4"/>
      <c r="E683" s="2"/>
      <c r="F683" s="8"/>
      <c r="G683" s="8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</row>
    <row r="684">
      <c r="A684" s="2"/>
      <c r="B684" s="7"/>
      <c r="C684" s="2"/>
      <c r="D684" s="4"/>
      <c r="E684" s="2"/>
      <c r="F684" s="8"/>
      <c r="G684" s="8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</row>
    <row r="685">
      <c r="A685" s="2"/>
      <c r="B685" s="7"/>
      <c r="C685" s="2"/>
      <c r="D685" s="4"/>
      <c r="E685" s="2"/>
      <c r="F685" s="8"/>
      <c r="G685" s="8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</row>
    <row r="686">
      <c r="A686" s="2"/>
      <c r="B686" s="7"/>
      <c r="C686" s="2"/>
      <c r="D686" s="4"/>
      <c r="E686" s="2"/>
      <c r="F686" s="8"/>
      <c r="G686" s="8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</row>
    <row r="687">
      <c r="A687" s="2"/>
      <c r="B687" s="7"/>
      <c r="C687" s="2"/>
      <c r="D687" s="4"/>
      <c r="E687" s="2"/>
      <c r="F687" s="8"/>
      <c r="G687" s="8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</row>
    <row r="688">
      <c r="A688" s="2"/>
      <c r="B688" s="7"/>
      <c r="C688" s="2"/>
      <c r="D688" s="4"/>
      <c r="E688" s="2"/>
      <c r="F688" s="8"/>
      <c r="G688" s="8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</row>
    <row r="689">
      <c r="A689" s="2"/>
      <c r="B689" s="7"/>
      <c r="C689" s="2"/>
      <c r="D689" s="4"/>
      <c r="E689" s="2"/>
      <c r="F689" s="8"/>
      <c r="G689" s="8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</row>
    <row r="690">
      <c r="A690" s="2"/>
      <c r="B690" s="7"/>
      <c r="C690" s="2"/>
      <c r="D690" s="4"/>
      <c r="E690" s="2"/>
      <c r="F690" s="8"/>
      <c r="G690" s="8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</row>
    <row r="691">
      <c r="A691" s="2"/>
      <c r="B691" s="7"/>
      <c r="C691" s="2"/>
      <c r="D691" s="4"/>
      <c r="E691" s="2"/>
      <c r="F691" s="8"/>
      <c r="G691" s="8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</row>
    <row r="692">
      <c r="A692" s="2"/>
      <c r="B692" s="7"/>
      <c r="C692" s="2"/>
      <c r="D692" s="4"/>
      <c r="E692" s="2"/>
      <c r="F692" s="8"/>
      <c r="G692" s="8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</row>
    <row r="693">
      <c r="A693" s="2"/>
      <c r="B693" s="7"/>
      <c r="C693" s="2"/>
      <c r="D693" s="4"/>
      <c r="E693" s="2"/>
      <c r="F693" s="8"/>
      <c r="G693" s="8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</row>
    <row r="694">
      <c r="A694" s="2"/>
      <c r="B694" s="7"/>
      <c r="C694" s="2"/>
      <c r="D694" s="4"/>
      <c r="E694" s="2"/>
      <c r="F694" s="8"/>
      <c r="G694" s="8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</row>
    <row r="695">
      <c r="A695" s="2"/>
      <c r="B695" s="7"/>
      <c r="C695" s="2"/>
      <c r="D695" s="4"/>
      <c r="E695" s="2"/>
      <c r="F695" s="8"/>
      <c r="G695" s="8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</row>
    <row r="696">
      <c r="A696" s="2"/>
      <c r="B696" s="7"/>
      <c r="C696" s="2"/>
      <c r="D696" s="4"/>
      <c r="E696" s="2"/>
      <c r="F696" s="8"/>
      <c r="G696" s="8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</row>
    <row r="697">
      <c r="A697" s="2"/>
      <c r="B697" s="7"/>
      <c r="C697" s="2"/>
      <c r="D697" s="4"/>
      <c r="E697" s="2"/>
      <c r="F697" s="8"/>
      <c r="G697" s="8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</row>
    <row r="698">
      <c r="A698" s="2"/>
      <c r="B698" s="7"/>
      <c r="C698" s="2"/>
      <c r="D698" s="4"/>
      <c r="E698" s="2"/>
      <c r="F698" s="8"/>
      <c r="G698" s="8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</row>
    <row r="699">
      <c r="A699" s="2"/>
      <c r="B699" s="7"/>
      <c r="C699" s="2"/>
      <c r="D699" s="4"/>
      <c r="E699" s="2"/>
      <c r="F699" s="8"/>
      <c r="G699" s="8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</row>
    <row r="700">
      <c r="A700" s="2"/>
      <c r="B700" s="7"/>
      <c r="C700" s="2"/>
      <c r="D700" s="4"/>
      <c r="E700" s="2"/>
      <c r="F700" s="8"/>
      <c r="G700" s="8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</row>
    <row r="701">
      <c r="A701" s="2"/>
      <c r="B701" s="7"/>
      <c r="C701" s="2"/>
      <c r="D701" s="4"/>
      <c r="E701" s="2"/>
      <c r="F701" s="8"/>
      <c r="G701" s="8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</row>
    <row r="702">
      <c r="A702" s="2"/>
      <c r="B702" s="7"/>
      <c r="C702" s="2"/>
      <c r="D702" s="4"/>
      <c r="E702" s="2"/>
      <c r="F702" s="8"/>
      <c r="G702" s="8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</row>
    <row r="703">
      <c r="A703" s="2"/>
      <c r="B703" s="7"/>
      <c r="C703" s="2"/>
      <c r="D703" s="4"/>
      <c r="E703" s="2"/>
      <c r="F703" s="8"/>
      <c r="G703" s="8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</row>
    <row r="704">
      <c r="A704" s="2"/>
      <c r="B704" s="7"/>
      <c r="C704" s="2"/>
      <c r="D704" s="4"/>
      <c r="E704" s="2"/>
      <c r="F704" s="8"/>
      <c r="G704" s="8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</row>
    <row r="705">
      <c r="A705" s="2"/>
      <c r="B705" s="7"/>
      <c r="C705" s="2"/>
      <c r="D705" s="4"/>
      <c r="E705" s="2"/>
      <c r="F705" s="8"/>
      <c r="G705" s="8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</row>
    <row r="706">
      <c r="A706" s="2"/>
      <c r="B706" s="7"/>
      <c r="C706" s="2"/>
      <c r="D706" s="4"/>
      <c r="E706" s="2"/>
      <c r="F706" s="8"/>
      <c r="G706" s="8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</row>
    <row r="707">
      <c r="A707" s="2"/>
      <c r="B707" s="7"/>
      <c r="C707" s="2"/>
      <c r="D707" s="4"/>
      <c r="E707" s="2"/>
      <c r="F707" s="8"/>
      <c r="G707" s="8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</row>
    <row r="708">
      <c r="A708" s="2"/>
      <c r="B708" s="7"/>
      <c r="C708" s="2"/>
      <c r="D708" s="4"/>
      <c r="E708" s="2"/>
      <c r="F708" s="8"/>
      <c r="G708" s="8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</row>
    <row r="709">
      <c r="A709" s="2"/>
      <c r="B709" s="7"/>
      <c r="C709" s="2"/>
      <c r="D709" s="4"/>
      <c r="E709" s="2"/>
      <c r="F709" s="8"/>
      <c r="G709" s="8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</row>
    <row r="710">
      <c r="A710" s="2"/>
      <c r="B710" s="7"/>
      <c r="C710" s="2"/>
      <c r="D710" s="4"/>
      <c r="E710" s="2"/>
      <c r="F710" s="8"/>
      <c r="G710" s="8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</row>
    <row r="711">
      <c r="A711" s="2"/>
      <c r="B711" s="7"/>
      <c r="C711" s="2"/>
      <c r="D711" s="4"/>
      <c r="E711" s="2"/>
      <c r="F711" s="8"/>
      <c r="G711" s="8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</row>
    <row r="712">
      <c r="A712" s="2"/>
      <c r="B712" s="7"/>
      <c r="C712" s="2"/>
      <c r="D712" s="4"/>
      <c r="E712" s="2"/>
      <c r="F712" s="8"/>
      <c r="G712" s="8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</row>
    <row r="713">
      <c r="A713" s="2"/>
      <c r="B713" s="7"/>
      <c r="C713" s="2"/>
      <c r="D713" s="4"/>
      <c r="E713" s="2"/>
      <c r="F713" s="8"/>
      <c r="G713" s="8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</row>
    <row r="714">
      <c r="A714" s="2"/>
      <c r="B714" s="7"/>
      <c r="C714" s="2"/>
      <c r="D714" s="4"/>
      <c r="E714" s="2"/>
      <c r="F714" s="8"/>
      <c r="G714" s="8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</row>
    <row r="715">
      <c r="A715" s="2"/>
      <c r="B715" s="7"/>
      <c r="C715" s="2"/>
      <c r="D715" s="4"/>
      <c r="E715" s="2"/>
      <c r="F715" s="8"/>
      <c r="G715" s="8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</row>
    <row r="716">
      <c r="A716" s="2"/>
      <c r="B716" s="7"/>
      <c r="C716" s="2"/>
      <c r="D716" s="4"/>
      <c r="E716" s="2"/>
      <c r="F716" s="8"/>
      <c r="G716" s="8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</row>
    <row r="717">
      <c r="A717" s="2"/>
      <c r="B717" s="7"/>
      <c r="C717" s="2"/>
      <c r="D717" s="4"/>
      <c r="E717" s="2"/>
      <c r="F717" s="8"/>
      <c r="G717" s="8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</row>
    <row r="718">
      <c r="A718" s="2"/>
      <c r="B718" s="7"/>
      <c r="C718" s="2"/>
      <c r="D718" s="4"/>
      <c r="E718" s="2"/>
      <c r="F718" s="8"/>
      <c r="G718" s="8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</row>
    <row r="719">
      <c r="A719" s="2"/>
      <c r="B719" s="7"/>
      <c r="C719" s="2"/>
      <c r="D719" s="4"/>
      <c r="E719" s="2"/>
      <c r="F719" s="8"/>
      <c r="G719" s="8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</row>
    <row r="720">
      <c r="A720" s="2"/>
      <c r="B720" s="7"/>
      <c r="C720" s="2"/>
      <c r="D720" s="4"/>
      <c r="E720" s="2"/>
      <c r="F720" s="8"/>
      <c r="G720" s="8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</row>
    <row r="721">
      <c r="A721" s="2"/>
      <c r="B721" s="7"/>
      <c r="C721" s="2"/>
      <c r="D721" s="4"/>
      <c r="E721" s="2"/>
      <c r="F721" s="8"/>
      <c r="G721" s="8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</row>
    <row r="722">
      <c r="A722" s="2"/>
      <c r="B722" s="7"/>
      <c r="C722" s="2"/>
      <c r="D722" s="4"/>
      <c r="E722" s="2"/>
      <c r="F722" s="8"/>
      <c r="G722" s="8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</row>
    <row r="723">
      <c r="A723" s="2"/>
      <c r="B723" s="7"/>
      <c r="C723" s="2"/>
      <c r="D723" s="4"/>
      <c r="E723" s="2"/>
      <c r="F723" s="8"/>
      <c r="G723" s="8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</row>
    <row r="724">
      <c r="A724" s="2"/>
      <c r="B724" s="7"/>
      <c r="C724" s="2"/>
      <c r="D724" s="4"/>
      <c r="E724" s="2"/>
      <c r="F724" s="8"/>
      <c r="G724" s="8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</row>
    <row r="725">
      <c r="A725" s="2"/>
      <c r="B725" s="7"/>
      <c r="C725" s="2"/>
      <c r="D725" s="4"/>
      <c r="E725" s="2"/>
      <c r="F725" s="8"/>
      <c r="G725" s="8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</row>
    <row r="726">
      <c r="A726" s="2"/>
      <c r="B726" s="7"/>
      <c r="C726" s="2"/>
      <c r="D726" s="4"/>
      <c r="E726" s="2"/>
      <c r="F726" s="8"/>
      <c r="G726" s="8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</row>
    <row r="727">
      <c r="A727" s="2"/>
      <c r="B727" s="7"/>
      <c r="C727" s="2"/>
      <c r="D727" s="4"/>
      <c r="E727" s="2"/>
      <c r="F727" s="8"/>
      <c r="G727" s="8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</row>
    <row r="728">
      <c r="A728" s="2"/>
      <c r="B728" s="7"/>
      <c r="C728" s="2"/>
      <c r="D728" s="4"/>
      <c r="E728" s="2"/>
      <c r="F728" s="8"/>
      <c r="G728" s="8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</row>
    <row r="729">
      <c r="A729" s="2"/>
      <c r="B729" s="7"/>
      <c r="C729" s="2"/>
      <c r="D729" s="4"/>
      <c r="E729" s="2"/>
      <c r="F729" s="8"/>
      <c r="G729" s="8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</row>
    <row r="730">
      <c r="A730" s="2"/>
      <c r="B730" s="7"/>
      <c r="C730" s="2"/>
      <c r="D730" s="4"/>
      <c r="E730" s="2"/>
      <c r="F730" s="8"/>
      <c r="G730" s="8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</row>
    <row r="731">
      <c r="A731" s="2"/>
      <c r="B731" s="7"/>
      <c r="C731" s="2"/>
      <c r="D731" s="4"/>
      <c r="E731" s="2"/>
      <c r="F731" s="8"/>
      <c r="G731" s="8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</row>
    <row r="732">
      <c r="A732" s="2"/>
      <c r="B732" s="7"/>
      <c r="C732" s="2"/>
      <c r="D732" s="4"/>
      <c r="E732" s="2"/>
      <c r="F732" s="8"/>
      <c r="G732" s="8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</row>
    <row r="733">
      <c r="A733" s="2"/>
      <c r="B733" s="7"/>
      <c r="C733" s="2"/>
      <c r="D733" s="4"/>
      <c r="E733" s="2"/>
      <c r="F733" s="8"/>
      <c r="G733" s="8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</row>
    <row r="734">
      <c r="A734" s="2"/>
      <c r="B734" s="7"/>
      <c r="C734" s="2"/>
      <c r="D734" s="4"/>
      <c r="E734" s="2"/>
      <c r="F734" s="8"/>
      <c r="G734" s="8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</row>
    <row r="735">
      <c r="A735" s="2"/>
      <c r="B735" s="7"/>
      <c r="C735" s="2"/>
      <c r="D735" s="4"/>
      <c r="E735" s="2"/>
      <c r="F735" s="8"/>
      <c r="G735" s="8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</row>
    <row r="736">
      <c r="A736" s="2"/>
      <c r="B736" s="7"/>
      <c r="C736" s="2"/>
      <c r="D736" s="4"/>
      <c r="E736" s="2"/>
      <c r="F736" s="8"/>
      <c r="G736" s="8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</row>
    <row r="737">
      <c r="A737" s="2"/>
      <c r="B737" s="7"/>
      <c r="C737" s="2"/>
      <c r="D737" s="4"/>
      <c r="E737" s="2"/>
      <c r="F737" s="8"/>
      <c r="G737" s="8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</row>
    <row r="738">
      <c r="A738" s="2"/>
      <c r="B738" s="7"/>
      <c r="C738" s="2"/>
      <c r="D738" s="4"/>
      <c r="E738" s="2"/>
      <c r="F738" s="8"/>
      <c r="G738" s="8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</row>
    <row r="739">
      <c r="A739" s="2"/>
      <c r="B739" s="7"/>
      <c r="C739" s="2"/>
      <c r="D739" s="4"/>
      <c r="E739" s="2"/>
      <c r="F739" s="8"/>
      <c r="G739" s="8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</row>
    <row r="740">
      <c r="A740" s="2"/>
      <c r="B740" s="7"/>
      <c r="C740" s="2"/>
      <c r="D740" s="4"/>
      <c r="E740" s="2"/>
      <c r="F740" s="8"/>
      <c r="G740" s="8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</row>
    <row r="741">
      <c r="A741" s="2"/>
      <c r="B741" s="7"/>
      <c r="C741" s="2"/>
      <c r="D741" s="4"/>
      <c r="E741" s="2"/>
      <c r="F741" s="8"/>
      <c r="G741" s="8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</row>
    <row r="742">
      <c r="A742" s="2"/>
      <c r="B742" s="7"/>
      <c r="C742" s="2"/>
      <c r="D742" s="4"/>
      <c r="E742" s="2"/>
      <c r="F742" s="8"/>
      <c r="G742" s="8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</row>
    <row r="743">
      <c r="A743" s="2"/>
      <c r="B743" s="7"/>
      <c r="C743" s="2"/>
      <c r="D743" s="4"/>
      <c r="E743" s="2"/>
      <c r="F743" s="8"/>
      <c r="G743" s="8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</row>
    <row r="744">
      <c r="A744" s="2"/>
      <c r="B744" s="7"/>
      <c r="C744" s="2"/>
      <c r="D744" s="4"/>
      <c r="E744" s="2"/>
      <c r="F744" s="8"/>
      <c r="G744" s="8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</row>
    <row r="745">
      <c r="A745" s="2"/>
      <c r="B745" s="7"/>
      <c r="C745" s="2"/>
      <c r="D745" s="4"/>
      <c r="E745" s="2"/>
      <c r="F745" s="8"/>
      <c r="G745" s="8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</row>
    <row r="746">
      <c r="A746" s="2"/>
      <c r="B746" s="7"/>
      <c r="C746" s="2"/>
      <c r="D746" s="4"/>
      <c r="E746" s="2"/>
      <c r="F746" s="8"/>
      <c r="G746" s="8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</row>
    <row r="747">
      <c r="A747" s="2"/>
      <c r="B747" s="7"/>
      <c r="C747" s="2"/>
      <c r="D747" s="4"/>
      <c r="E747" s="2"/>
      <c r="F747" s="8"/>
      <c r="G747" s="8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</row>
    <row r="748">
      <c r="A748" s="2"/>
      <c r="B748" s="7"/>
      <c r="C748" s="2"/>
      <c r="D748" s="4"/>
      <c r="E748" s="2"/>
      <c r="F748" s="8"/>
      <c r="G748" s="8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</row>
    <row r="749">
      <c r="A749" s="2"/>
      <c r="B749" s="7"/>
      <c r="C749" s="2"/>
      <c r="D749" s="4"/>
      <c r="E749" s="2"/>
      <c r="F749" s="8"/>
      <c r="G749" s="8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</row>
    <row r="750">
      <c r="A750" s="2"/>
      <c r="B750" s="7"/>
      <c r="C750" s="2"/>
      <c r="D750" s="4"/>
      <c r="E750" s="2"/>
      <c r="F750" s="8"/>
      <c r="G750" s="8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</row>
    <row r="751">
      <c r="A751" s="2"/>
      <c r="B751" s="7"/>
      <c r="C751" s="2"/>
      <c r="D751" s="4"/>
      <c r="E751" s="2"/>
      <c r="F751" s="8"/>
      <c r="G751" s="8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</row>
    <row r="752">
      <c r="A752" s="2"/>
      <c r="B752" s="7"/>
      <c r="C752" s="2"/>
      <c r="D752" s="4"/>
      <c r="E752" s="2"/>
      <c r="F752" s="8"/>
      <c r="G752" s="8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</row>
    <row r="753">
      <c r="A753" s="2"/>
      <c r="B753" s="7"/>
      <c r="C753" s="2"/>
      <c r="D753" s="4"/>
      <c r="E753" s="2"/>
      <c r="F753" s="8"/>
      <c r="G753" s="8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</row>
    <row r="754">
      <c r="A754" s="2"/>
      <c r="B754" s="7"/>
      <c r="C754" s="2"/>
      <c r="D754" s="4"/>
      <c r="E754" s="2"/>
      <c r="F754" s="8"/>
      <c r="G754" s="8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</row>
    <row r="755">
      <c r="A755" s="2"/>
      <c r="B755" s="7"/>
      <c r="C755" s="2"/>
      <c r="D755" s="4"/>
      <c r="E755" s="2"/>
      <c r="F755" s="8"/>
      <c r="G755" s="8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</row>
    <row r="756">
      <c r="A756" s="2"/>
      <c r="B756" s="7"/>
      <c r="C756" s="2"/>
      <c r="D756" s="4"/>
      <c r="E756" s="2"/>
      <c r="F756" s="8"/>
      <c r="G756" s="8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</row>
    <row r="757">
      <c r="A757" s="2"/>
      <c r="B757" s="7"/>
      <c r="C757" s="2"/>
      <c r="D757" s="4"/>
      <c r="E757" s="2"/>
      <c r="F757" s="8"/>
      <c r="G757" s="8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</row>
    <row r="758">
      <c r="A758" s="2"/>
      <c r="B758" s="7"/>
      <c r="C758" s="2"/>
      <c r="D758" s="4"/>
      <c r="E758" s="2"/>
      <c r="F758" s="8"/>
      <c r="G758" s="8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</row>
    <row r="759">
      <c r="A759" s="2"/>
      <c r="B759" s="7"/>
      <c r="C759" s="2"/>
      <c r="D759" s="4"/>
      <c r="E759" s="2"/>
      <c r="F759" s="8"/>
      <c r="G759" s="8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</row>
    <row r="760">
      <c r="A760" s="2"/>
      <c r="B760" s="7"/>
      <c r="C760" s="2"/>
      <c r="D760" s="4"/>
      <c r="E760" s="2"/>
      <c r="F760" s="8"/>
      <c r="G760" s="8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</row>
    <row r="761">
      <c r="A761" s="2"/>
      <c r="B761" s="7"/>
      <c r="C761" s="2"/>
      <c r="D761" s="4"/>
      <c r="E761" s="2"/>
      <c r="F761" s="8"/>
      <c r="G761" s="8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</row>
    <row r="762">
      <c r="A762" s="2"/>
      <c r="B762" s="7"/>
      <c r="C762" s="2"/>
      <c r="D762" s="4"/>
      <c r="E762" s="2"/>
      <c r="F762" s="8"/>
      <c r="G762" s="8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</row>
    <row r="763">
      <c r="A763" s="2"/>
      <c r="B763" s="7"/>
      <c r="C763" s="2"/>
      <c r="D763" s="4"/>
      <c r="E763" s="2"/>
      <c r="F763" s="8"/>
      <c r="G763" s="8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</row>
    <row r="764">
      <c r="A764" s="2"/>
      <c r="B764" s="7"/>
      <c r="C764" s="2"/>
      <c r="D764" s="4"/>
      <c r="E764" s="2"/>
      <c r="F764" s="8"/>
      <c r="G764" s="8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</row>
    <row r="765">
      <c r="A765" s="2"/>
      <c r="B765" s="7"/>
      <c r="C765" s="2"/>
      <c r="D765" s="4"/>
      <c r="E765" s="2"/>
      <c r="F765" s="8"/>
      <c r="G765" s="8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</row>
    <row r="766">
      <c r="A766" s="2"/>
      <c r="B766" s="7"/>
      <c r="C766" s="2"/>
      <c r="D766" s="4"/>
      <c r="E766" s="2"/>
      <c r="F766" s="8"/>
      <c r="G766" s="8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</row>
    <row r="767">
      <c r="A767" s="2"/>
      <c r="B767" s="7"/>
      <c r="C767" s="2"/>
      <c r="D767" s="4"/>
      <c r="E767" s="2"/>
      <c r="F767" s="8"/>
      <c r="G767" s="8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</row>
    <row r="768">
      <c r="A768" s="2"/>
      <c r="B768" s="7"/>
      <c r="C768" s="2"/>
      <c r="D768" s="4"/>
      <c r="E768" s="2"/>
      <c r="F768" s="8"/>
      <c r="G768" s="8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</row>
    <row r="769">
      <c r="A769" s="2"/>
      <c r="B769" s="7"/>
      <c r="C769" s="2"/>
      <c r="D769" s="4"/>
      <c r="E769" s="2"/>
      <c r="F769" s="8"/>
      <c r="G769" s="8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</row>
    <row r="770">
      <c r="A770" s="2"/>
      <c r="B770" s="7"/>
      <c r="C770" s="2"/>
      <c r="D770" s="4"/>
      <c r="E770" s="2"/>
      <c r="F770" s="8"/>
      <c r="G770" s="8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</row>
    <row r="771">
      <c r="A771" s="2"/>
      <c r="B771" s="7"/>
      <c r="C771" s="2"/>
      <c r="D771" s="4"/>
      <c r="E771" s="2"/>
      <c r="F771" s="8"/>
      <c r="G771" s="8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</row>
    <row r="772">
      <c r="A772" s="2"/>
      <c r="B772" s="7"/>
      <c r="C772" s="2"/>
      <c r="D772" s="4"/>
      <c r="E772" s="2"/>
      <c r="F772" s="8"/>
      <c r="G772" s="8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</row>
    <row r="773">
      <c r="A773" s="2"/>
      <c r="B773" s="7"/>
      <c r="C773" s="2"/>
      <c r="D773" s="4"/>
      <c r="E773" s="2"/>
      <c r="F773" s="8"/>
      <c r="G773" s="8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</row>
    <row r="774">
      <c r="A774" s="2"/>
      <c r="B774" s="7"/>
      <c r="C774" s="2"/>
      <c r="D774" s="4"/>
      <c r="E774" s="2"/>
      <c r="F774" s="8"/>
      <c r="G774" s="8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</row>
    <row r="775">
      <c r="A775" s="2"/>
      <c r="B775" s="7"/>
      <c r="C775" s="2"/>
      <c r="D775" s="4"/>
      <c r="E775" s="2"/>
      <c r="F775" s="8"/>
      <c r="G775" s="8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</row>
    <row r="776">
      <c r="A776" s="2"/>
      <c r="B776" s="7"/>
      <c r="C776" s="2"/>
      <c r="D776" s="4"/>
      <c r="E776" s="2"/>
      <c r="F776" s="8"/>
      <c r="G776" s="8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</row>
    <row r="777">
      <c r="A777" s="2"/>
      <c r="B777" s="7"/>
      <c r="C777" s="2"/>
      <c r="D777" s="4"/>
      <c r="E777" s="2"/>
      <c r="F777" s="8"/>
      <c r="G777" s="8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</row>
    <row r="778">
      <c r="A778" s="2"/>
      <c r="B778" s="7"/>
      <c r="C778" s="2"/>
      <c r="D778" s="4"/>
      <c r="E778" s="2"/>
      <c r="F778" s="8"/>
      <c r="G778" s="8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</row>
    <row r="779">
      <c r="A779" s="2"/>
      <c r="B779" s="7"/>
      <c r="C779" s="2"/>
      <c r="D779" s="4"/>
      <c r="E779" s="2"/>
      <c r="F779" s="8"/>
      <c r="G779" s="8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</row>
    <row r="780">
      <c r="A780" s="2"/>
      <c r="B780" s="7"/>
      <c r="C780" s="2"/>
      <c r="D780" s="4"/>
      <c r="E780" s="2"/>
      <c r="F780" s="8"/>
      <c r="G780" s="8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</row>
    <row r="781">
      <c r="A781" s="2"/>
      <c r="B781" s="7"/>
      <c r="C781" s="2"/>
      <c r="D781" s="4"/>
      <c r="E781" s="2"/>
      <c r="F781" s="8"/>
      <c r="G781" s="8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</row>
    <row r="782">
      <c r="A782" s="2"/>
      <c r="B782" s="7"/>
      <c r="C782" s="2"/>
      <c r="D782" s="4"/>
      <c r="E782" s="2"/>
      <c r="F782" s="8"/>
      <c r="G782" s="8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</row>
    <row r="783">
      <c r="A783" s="2"/>
      <c r="B783" s="7"/>
      <c r="C783" s="2"/>
      <c r="D783" s="4"/>
      <c r="E783" s="2"/>
      <c r="F783" s="8"/>
      <c r="G783" s="8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</row>
    <row r="784">
      <c r="A784" s="2"/>
      <c r="B784" s="7"/>
      <c r="C784" s="2"/>
      <c r="D784" s="4"/>
      <c r="E784" s="2"/>
      <c r="F784" s="8"/>
      <c r="G784" s="8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</row>
    <row r="785">
      <c r="A785" s="2"/>
      <c r="B785" s="7"/>
      <c r="C785" s="2"/>
      <c r="D785" s="4"/>
      <c r="E785" s="2"/>
      <c r="F785" s="8"/>
      <c r="G785" s="8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</row>
    <row r="786">
      <c r="A786" s="2"/>
      <c r="B786" s="7"/>
      <c r="C786" s="2"/>
      <c r="D786" s="4"/>
      <c r="E786" s="2"/>
      <c r="F786" s="8"/>
      <c r="G786" s="8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</row>
    <row r="787">
      <c r="A787" s="2"/>
      <c r="B787" s="7"/>
      <c r="C787" s="2"/>
      <c r="D787" s="4"/>
      <c r="E787" s="2"/>
      <c r="F787" s="8"/>
      <c r="G787" s="8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</row>
    <row r="788">
      <c r="A788" s="2"/>
      <c r="B788" s="7"/>
      <c r="C788" s="2"/>
      <c r="D788" s="4"/>
      <c r="E788" s="2"/>
      <c r="F788" s="8"/>
      <c r="G788" s="8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</row>
    <row r="789">
      <c r="A789" s="2"/>
      <c r="B789" s="7"/>
      <c r="C789" s="2"/>
      <c r="D789" s="4"/>
      <c r="E789" s="2"/>
      <c r="F789" s="8"/>
      <c r="G789" s="8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</row>
    <row r="790">
      <c r="A790" s="2"/>
      <c r="B790" s="7"/>
      <c r="C790" s="2"/>
      <c r="D790" s="4"/>
      <c r="E790" s="2"/>
      <c r="F790" s="8"/>
      <c r="G790" s="8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</row>
    <row r="791">
      <c r="A791" s="2"/>
      <c r="B791" s="7"/>
      <c r="C791" s="2"/>
      <c r="D791" s="4"/>
      <c r="E791" s="2"/>
      <c r="F791" s="8"/>
      <c r="G791" s="8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</row>
    <row r="792">
      <c r="A792" s="2"/>
      <c r="B792" s="7"/>
      <c r="C792" s="2"/>
      <c r="D792" s="4"/>
      <c r="E792" s="2"/>
      <c r="F792" s="8"/>
      <c r="G792" s="8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</row>
    <row r="793">
      <c r="A793" s="2"/>
      <c r="B793" s="7"/>
      <c r="C793" s="2"/>
      <c r="D793" s="4"/>
      <c r="E793" s="2"/>
      <c r="F793" s="8"/>
      <c r="G793" s="8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</row>
    <row r="794">
      <c r="A794" s="2"/>
      <c r="B794" s="7"/>
      <c r="C794" s="2"/>
      <c r="D794" s="4"/>
      <c r="E794" s="2"/>
      <c r="F794" s="8"/>
      <c r="G794" s="8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</row>
    <row r="795">
      <c r="A795" s="2"/>
      <c r="B795" s="7"/>
      <c r="C795" s="2"/>
      <c r="D795" s="4"/>
      <c r="E795" s="2"/>
      <c r="F795" s="8"/>
      <c r="G795" s="8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</row>
    <row r="796">
      <c r="A796" s="2"/>
      <c r="B796" s="7"/>
      <c r="C796" s="2"/>
      <c r="D796" s="4"/>
      <c r="E796" s="2"/>
      <c r="F796" s="8"/>
      <c r="G796" s="8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</row>
    <row r="797">
      <c r="A797" s="2"/>
      <c r="B797" s="7"/>
      <c r="C797" s="2"/>
      <c r="D797" s="4"/>
      <c r="E797" s="2"/>
      <c r="F797" s="8"/>
      <c r="G797" s="8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</row>
    <row r="798">
      <c r="A798" s="2"/>
      <c r="B798" s="7"/>
      <c r="C798" s="2"/>
      <c r="D798" s="4"/>
      <c r="E798" s="2"/>
      <c r="F798" s="8"/>
      <c r="G798" s="8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</row>
    <row r="799">
      <c r="A799" s="2"/>
      <c r="B799" s="7"/>
      <c r="C799" s="2"/>
      <c r="D799" s="4"/>
      <c r="E799" s="2"/>
      <c r="F799" s="8"/>
      <c r="G799" s="8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</row>
    <row r="800">
      <c r="A800" s="2"/>
      <c r="B800" s="7"/>
      <c r="C800" s="2"/>
      <c r="D800" s="4"/>
      <c r="E800" s="2"/>
      <c r="F800" s="8"/>
      <c r="G800" s="8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</row>
    <row r="801">
      <c r="A801" s="2"/>
      <c r="B801" s="7"/>
      <c r="C801" s="2"/>
      <c r="D801" s="4"/>
      <c r="E801" s="2"/>
      <c r="F801" s="8"/>
      <c r="G801" s="8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</row>
    <row r="802">
      <c r="A802" s="2"/>
      <c r="B802" s="7"/>
      <c r="C802" s="2"/>
      <c r="D802" s="4"/>
      <c r="E802" s="2"/>
      <c r="F802" s="8"/>
      <c r="G802" s="8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</row>
    <row r="803">
      <c r="A803" s="2"/>
      <c r="B803" s="7"/>
      <c r="C803" s="2"/>
      <c r="D803" s="4"/>
      <c r="E803" s="2"/>
      <c r="F803" s="8"/>
      <c r="G803" s="8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</row>
    <row r="804">
      <c r="A804" s="2"/>
      <c r="B804" s="7"/>
      <c r="C804" s="2"/>
      <c r="D804" s="4"/>
      <c r="E804" s="2"/>
      <c r="F804" s="8"/>
      <c r="G804" s="8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</row>
    <row r="805">
      <c r="A805" s="2"/>
      <c r="B805" s="7"/>
      <c r="C805" s="2"/>
      <c r="D805" s="4"/>
      <c r="E805" s="2"/>
      <c r="F805" s="8"/>
      <c r="G805" s="8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</row>
    <row r="806">
      <c r="A806" s="2"/>
      <c r="B806" s="7"/>
      <c r="C806" s="2"/>
      <c r="D806" s="4"/>
      <c r="E806" s="2"/>
      <c r="F806" s="8"/>
      <c r="G806" s="8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</row>
    <row r="807">
      <c r="A807" s="2"/>
      <c r="B807" s="7"/>
      <c r="C807" s="2"/>
      <c r="D807" s="4"/>
      <c r="E807" s="2"/>
      <c r="F807" s="8"/>
      <c r="G807" s="8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</row>
    <row r="808">
      <c r="A808" s="2"/>
      <c r="B808" s="7"/>
      <c r="C808" s="2"/>
      <c r="D808" s="4"/>
      <c r="E808" s="2"/>
      <c r="F808" s="8"/>
      <c r="G808" s="8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</row>
    <row r="809">
      <c r="A809" s="2"/>
      <c r="B809" s="7"/>
      <c r="C809" s="2"/>
      <c r="D809" s="4"/>
      <c r="E809" s="2"/>
      <c r="F809" s="8"/>
      <c r="G809" s="8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</row>
    <row r="810">
      <c r="A810" s="2"/>
      <c r="B810" s="7"/>
      <c r="C810" s="2"/>
      <c r="D810" s="4"/>
      <c r="E810" s="2"/>
      <c r="F810" s="8"/>
      <c r="G810" s="8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</row>
    <row r="811">
      <c r="A811" s="2"/>
      <c r="B811" s="7"/>
      <c r="C811" s="2"/>
      <c r="D811" s="4"/>
      <c r="E811" s="2"/>
      <c r="F811" s="8"/>
      <c r="G811" s="8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</row>
    <row r="812">
      <c r="A812" s="2"/>
      <c r="B812" s="7"/>
      <c r="C812" s="2"/>
      <c r="D812" s="4"/>
      <c r="E812" s="2"/>
      <c r="F812" s="8"/>
      <c r="G812" s="8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</row>
    <row r="813">
      <c r="A813" s="2"/>
      <c r="B813" s="7"/>
      <c r="C813" s="2"/>
      <c r="D813" s="4"/>
      <c r="E813" s="2"/>
      <c r="F813" s="8"/>
      <c r="G813" s="8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</row>
    <row r="814">
      <c r="A814" s="2"/>
      <c r="B814" s="7"/>
      <c r="C814" s="2"/>
      <c r="D814" s="4"/>
      <c r="E814" s="2"/>
      <c r="F814" s="8"/>
      <c r="G814" s="8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</row>
    <row r="815">
      <c r="A815" s="2"/>
      <c r="B815" s="7"/>
      <c r="C815" s="2"/>
      <c r="D815" s="4"/>
      <c r="E815" s="2"/>
      <c r="F815" s="8"/>
      <c r="G815" s="8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</row>
    <row r="816">
      <c r="A816" s="2"/>
      <c r="B816" s="7"/>
      <c r="C816" s="2"/>
      <c r="D816" s="4"/>
      <c r="E816" s="2"/>
      <c r="F816" s="8"/>
      <c r="G816" s="8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</row>
    <row r="817">
      <c r="A817" s="2"/>
      <c r="B817" s="7"/>
      <c r="C817" s="2"/>
      <c r="D817" s="4"/>
      <c r="E817" s="2"/>
      <c r="F817" s="8"/>
      <c r="G817" s="8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</row>
    <row r="818">
      <c r="A818" s="2"/>
      <c r="B818" s="7"/>
      <c r="C818" s="2"/>
      <c r="D818" s="4"/>
      <c r="E818" s="2"/>
      <c r="F818" s="8"/>
      <c r="G818" s="8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</row>
    <row r="819">
      <c r="A819" s="2"/>
      <c r="B819" s="7"/>
      <c r="C819" s="2"/>
      <c r="D819" s="4"/>
      <c r="E819" s="2"/>
      <c r="F819" s="8"/>
      <c r="G819" s="8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</row>
    <row r="820">
      <c r="A820" s="2"/>
      <c r="B820" s="7"/>
      <c r="C820" s="2"/>
      <c r="D820" s="4"/>
      <c r="E820" s="2"/>
      <c r="F820" s="8"/>
      <c r="G820" s="8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</row>
    <row r="821">
      <c r="A821" s="2"/>
      <c r="B821" s="7"/>
      <c r="C821" s="2"/>
      <c r="D821" s="4"/>
      <c r="E821" s="2"/>
      <c r="F821" s="8"/>
      <c r="G821" s="8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</row>
    <row r="822">
      <c r="A822" s="2"/>
      <c r="B822" s="7"/>
      <c r="C822" s="2"/>
      <c r="D822" s="4"/>
      <c r="E822" s="2"/>
      <c r="F822" s="8"/>
      <c r="G822" s="8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</row>
    <row r="823">
      <c r="A823" s="2"/>
      <c r="B823" s="7"/>
      <c r="C823" s="2"/>
      <c r="D823" s="4"/>
      <c r="E823" s="2"/>
      <c r="F823" s="8"/>
      <c r="G823" s="8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</row>
    <row r="824">
      <c r="A824" s="2"/>
      <c r="B824" s="7"/>
      <c r="C824" s="2"/>
      <c r="D824" s="4"/>
      <c r="E824" s="2"/>
      <c r="F824" s="8"/>
      <c r="G824" s="8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</row>
    <row r="825">
      <c r="A825" s="2"/>
      <c r="B825" s="7"/>
      <c r="C825" s="2"/>
      <c r="D825" s="4"/>
      <c r="E825" s="2"/>
      <c r="F825" s="8"/>
      <c r="G825" s="8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</row>
    <row r="826">
      <c r="A826" s="2"/>
      <c r="B826" s="7"/>
      <c r="C826" s="2"/>
      <c r="D826" s="4"/>
      <c r="E826" s="2"/>
      <c r="F826" s="8"/>
      <c r="G826" s="8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</row>
    <row r="827">
      <c r="A827" s="2"/>
      <c r="B827" s="7"/>
      <c r="C827" s="2"/>
      <c r="D827" s="4"/>
      <c r="E827" s="2"/>
      <c r="F827" s="8"/>
      <c r="G827" s="8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</row>
    <row r="828">
      <c r="A828" s="2"/>
      <c r="B828" s="7"/>
      <c r="C828" s="2"/>
      <c r="D828" s="4"/>
      <c r="E828" s="2"/>
      <c r="F828" s="8"/>
      <c r="G828" s="8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</row>
    <row r="829">
      <c r="A829" s="2"/>
      <c r="B829" s="7"/>
      <c r="C829" s="2"/>
      <c r="D829" s="4"/>
      <c r="E829" s="2"/>
      <c r="F829" s="8"/>
      <c r="G829" s="8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</row>
    <row r="830">
      <c r="A830" s="2"/>
      <c r="B830" s="7"/>
      <c r="C830" s="2"/>
      <c r="D830" s="4"/>
      <c r="E830" s="2"/>
      <c r="F830" s="8"/>
      <c r="G830" s="8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</row>
    <row r="831">
      <c r="A831" s="2"/>
      <c r="B831" s="7"/>
      <c r="C831" s="2"/>
      <c r="D831" s="4"/>
      <c r="E831" s="2"/>
      <c r="F831" s="8"/>
      <c r="G831" s="8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</row>
    <row r="832">
      <c r="A832" s="2"/>
      <c r="B832" s="7"/>
      <c r="C832" s="2"/>
      <c r="D832" s="4"/>
      <c r="E832" s="2"/>
      <c r="F832" s="8"/>
      <c r="G832" s="8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</row>
    <row r="833">
      <c r="A833" s="2"/>
      <c r="B833" s="7"/>
      <c r="C833" s="2"/>
      <c r="D833" s="4"/>
      <c r="E833" s="2"/>
      <c r="F833" s="8"/>
      <c r="G833" s="8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</row>
    <row r="834">
      <c r="A834" s="2"/>
      <c r="B834" s="7"/>
      <c r="C834" s="2"/>
      <c r="D834" s="4"/>
      <c r="E834" s="2"/>
      <c r="F834" s="8"/>
      <c r="G834" s="8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</row>
    <row r="835">
      <c r="A835" s="2"/>
      <c r="B835" s="7"/>
      <c r="C835" s="2"/>
      <c r="D835" s="4"/>
      <c r="E835" s="2"/>
      <c r="F835" s="8"/>
      <c r="G835" s="8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</row>
    <row r="836">
      <c r="A836" s="2"/>
      <c r="B836" s="7"/>
      <c r="C836" s="2"/>
      <c r="D836" s="4"/>
      <c r="E836" s="2"/>
      <c r="F836" s="8"/>
      <c r="G836" s="8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</row>
    <row r="837">
      <c r="A837" s="2"/>
      <c r="B837" s="7"/>
      <c r="C837" s="2"/>
      <c r="D837" s="4"/>
      <c r="E837" s="2"/>
      <c r="F837" s="8"/>
      <c r="G837" s="8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</row>
    <row r="838">
      <c r="A838" s="2"/>
      <c r="B838" s="7"/>
      <c r="C838" s="2"/>
      <c r="D838" s="4"/>
      <c r="E838" s="2"/>
      <c r="F838" s="8"/>
      <c r="G838" s="8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</row>
    <row r="839">
      <c r="A839" s="2"/>
      <c r="B839" s="7"/>
      <c r="C839" s="2"/>
      <c r="D839" s="4"/>
      <c r="E839" s="2"/>
      <c r="F839" s="8"/>
      <c r="G839" s="8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</row>
    <row r="840">
      <c r="A840" s="2"/>
      <c r="B840" s="7"/>
      <c r="C840" s="2"/>
      <c r="D840" s="4"/>
      <c r="E840" s="2"/>
      <c r="F840" s="8"/>
      <c r="G840" s="8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</row>
    <row r="841">
      <c r="A841" s="2"/>
      <c r="B841" s="7"/>
      <c r="C841" s="2"/>
      <c r="D841" s="4"/>
      <c r="E841" s="2"/>
      <c r="F841" s="8"/>
      <c r="G841" s="8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</row>
    <row r="842">
      <c r="A842" s="2"/>
      <c r="B842" s="7"/>
      <c r="C842" s="2"/>
      <c r="D842" s="4"/>
      <c r="E842" s="2"/>
      <c r="F842" s="8"/>
      <c r="G842" s="8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</row>
    <row r="843">
      <c r="A843" s="2"/>
      <c r="B843" s="7"/>
      <c r="C843" s="2"/>
      <c r="D843" s="4"/>
      <c r="E843" s="2"/>
      <c r="F843" s="8"/>
      <c r="G843" s="8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</row>
    <row r="844">
      <c r="A844" s="2"/>
      <c r="B844" s="7"/>
      <c r="C844" s="2"/>
      <c r="D844" s="4"/>
      <c r="E844" s="2"/>
      <c r="F844" s="8"/>
      <c r="G844" s="8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</row>
    <row r="845">
      <c r="A845" s="2"/>
      <c r="B845" s="7"/>
      <c r="C845" s="2"/>
      <c r="D845" s="4"/>
      <c r="E845" s="2"/>
      <c r="F845" s="8"/>
      <c r="G845" s="8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</row>
    <row r="846">
      <c r="A846" s="2"/>
      <c r="B846" s="7"/>
      <c r="C846" s="2"/>
      <c r="D846" s="4"/>
      <c r="E846" s="2"/>
      <c r="F846" s="8"/>
      <c r="G846" s="8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</row>
    <row r="847">
      <c r="A847" s="2"/>
      <c r="B847" s="7"/>
      <c r="C847" s="2"/>
      <c r="D847" s="4"/>
      <c r="E847" s="2"/>
      <c r="F847" s="8"/>
      <c r="G847" s="8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</row>
    <row r="848">
      <c r="A848" s="2"/>
      <c r="B848" s="7"/>
      <c r="C848" s="2"/>
      <c r="D848" s="4"/>
      <c r="E848" s="2"/>
      <c r="F848" s="8"/>
      <c r="G848" s="8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</row>
    <row r="849">
      <c r="A849" s="2"/>
      <c r="B849" s="7"/>
      <c r="C849" s="2"/>
      <c r="D849" s="4"/>
      <c r="E849" s="2"/>
      <c r="F849" s="8"/>
      <c r="G849" s="8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</row>
    <row r="850">
      <c r="A850" s="2"/>
      <c r="B850" s="7"/>
      <c r="C850" s="2"/>
      <c r="D850" s="4"/>
      <c r="E850" s="2"/>
      <c r="F850" s="8"/>
      <c r="G850" s="8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</row>
    <row r="851">
      <c r="A851" s="2"/>
      <c r="B851" s="7"/>
      <c r="C851" s="2"/>
      <c r="D851" s="4"/>
      <c r="E851" s="2"/>
      <c r="F851" s="8"/>
      <c r="G851" s="8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</row>
    <row r="852">
      <c r="A852" s="2"/>
      <c r="B852" s="7"/>
      <c r="C852" s="2"/>
      <c r="D852" s="4"/>
      <c r="E852" s="2"/>
      <c r="F852" s="8"/>
      <c r="G852" s="8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</row>
    <row r="853">
      <c r="A853" s="2"/>
      <c r="B853" s="7"/>
      <c r="C853" s="2"/>
      <c r="D853" s="4"/>
      <c r="E853" s="2"/>
      <c r="F853" s="8"/>
      <c r="G853" s="8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</row>
    <row r="854">
      <c r="A854" s="2"/>
      <c r="B854" s="7"/>
      <c r="C854" s="2"/>
      <c r="D854" s="4"/>
      <c r="E854" s="2"/>
      <c r="F854" s="8"/>
      <c r="G854" s="8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</row>
    <row r="855">
      <c r="A855" s="2"/>
      <c r="B855" s="7"/>
      <c r="C855" s="2"/>
      <c r="D855" s="4"/>
      <c r="E855" s="2"/>
      <c r="F855" s="8"/>
      <c r="G855" s="8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</row>
    <row r="856">
      <c r="A856" s="2"/>
      <c r="B856" s="7"/>
      <c r="C856" s="2"/>
      <c r="D856" s="4"/>
      <c r="E856" s="2"/>
      <c r="F856" s="8"/>
      <c r="G856" s="8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</row>
    <row r="857">
      <c r="A857" s="2"/>
      <c r="B857" s="7"/>
      <c r="C857" s="2"/>
      <c r="D857" s="4"/>
      <c r="E857" s="2"/>
      <c r="F857" s="8"/>
      <c r="G857" s="8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</row>
    <row r="858">
      <c r="A858" s="2"/>
      <c r="B858" s="7"/>
      <c r="C858" s="2"/>
      <c r="D858" s="4"/>
      <c r="E858" s="2"/>
      <c r="F858" s="8"/>
      <c r="G858" s="8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</row>
    <row r="859">
      <c r="A859" s="2"/>
      <c r="B859" s="7"/>
      <c r="C859" s="2"/>
      <c r="D859" s="4"/>
      <c r="E859" s="2"/>
      <c r="F859" s="8"/>
      <c r="G859" s="8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</row>
    <row r="860">
      <c r="A860" s="2"/>
      <c r="B860" s="7"/>
      <c r="C860" s="2"/>
      <c r="D860" s="4"/>
      <c r="E860" s="2"/>
      <c r="F860" s="8"/>
      <c r="G860" s="8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</row>
    <row r="861">
      <c r="A861" s="2"/>
      <c r="B861" s="7"/>
      <c r="C861" s="2"/>
      <c r="D861" s="4"/>
      <c r="E861" s="2"/>
      <c r="F861" s="8"/>
      <c r="G861" s="8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</row>
    <row r="862">
      <c r="A862" s="2"/>
      <c r="B862" s="7"/>
      <c r="C862" s="2"/>
      <c r="D862" s="4"/>
      <c r="E862" s="2"/>
      <c r="F862" s="8"/>
      <c r="G862" s="8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</row>
    <row r="863">
      <c r="A863" s="2"/>
      <c r="B863" s="7"/>
      <c r="C863" s="2"/>
      <c r="D863" s="4"/>
      <c r="E863" s="2"/>
      <c r="F863" s="8"/>
      <c r="G863" s="8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</row>
    <row r="864">
      <c r="A864" s="2"/>
      <c r="B864" s="7"/>
      <c r="C864" s="2"/>
      <c r="D864" s="4"/>
      <c r="E864" s="2"/>
      <c r="F864" s="8"/>
      <c r="G864" s="8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</row>
    <row r="865">
      <c r="A865" s="2"/>
      <c r="B865" s="7"/>
      <c r="C865" s="2"/>
      <c r="D865" s="4"/>
      <c r="E865" s="2"/>
      <c r="F865" s="8"/>
      <c r="G865" s="8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</row>
    <row r="866">
      <c r="A866" s="2"/>
      <c r="B866" s="7"/>
      <c r="C866" s="2"/>
      <c r="D866" s="4"/>
      <c r="E866" s="2"/>
      <c r="F866" s="8"/>
      <c r="G866" s="8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</row>
    <row r="867">
      <c r="A867" s="2"/>
      <c r="B867" s="7"/>
      <c r="C867" s="2"/>
      <c r="D867" s="4"/>
      <c r="E867" s="2"/>
      <c r="F867" s="8"/>
      <c r="G867" s="8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</row>
    <row r="868">
      <c r="A868" s="2"/>
      <c r="B868" s="7"/>
      <c r="C868" s="2"/>
      <c r="D868" s="4"/>
      <c r="E868" s="2"/>
      <c r="F868" s="8"/>
      <c r="G868" s="8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</row>
    <row r="869">
      <c r="A869" s="2"/>
      <c r="B869" s="7"/>
      <c r="C869" s="2"/>
      <c r="D869" s="4"/>
      <c r="E869" s="2"/>
      <c r="F869" s="8"/>
      <c r="G869" s="8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</row>
    <row r="870">
      <c r="A870" s="2"/>
      <c r="B870" s="7"/>
      <c r="C870" s="2"/>
      <c r="D870" s="4"/>
      <c r="E870" s="2"/>
      <c r="F870" s="8"/>
      <c r="G870" s="8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</row>
    <row r="871">
      <c r="A871" s="2"/>
      <c r="B871" s="7"/>
      <c r="C871" s="2"/>
      <c r="D871" s="4"/>
      <c r="E871" s="2"/>
      <c r="F871" s="8"/>
      <c r="G871" s="8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</row>
    <row r="872">
      <c r="A872" s="2"/>
      <c r="B872" s="7"/>
      <c r="C872" s="2"/>
      <c r="D872" s="4"/>
      <c r="E872" s="2"/>
      <c r="F872" s="8"/>
      <c r="G872" s="8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</row>
    <row r="873">
      <c r="A873" s="2"/>
      <c r="B873" s="7"/>
      <c r="C873" s="2"/>
      <c r="D873" s="4"/>
      <c r="E873" s="2"/>
      <c r="F873" s="8"/>
      <c r="G873" s="8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</row>
    <row r="874">
      <c r="A874" s="2"/>
      <c r="B874" s="7"/>
      <c r="C874" s="2"/>
      <c r="D874" s="4"/>
      <c r="E874" s="2"/>
      <c r="F874" s="8"/>
      <c r="G874" s="8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</row>
    <row r="875">
      <c r="A875" s="2"/>
      <c r="B875" s="7"/>
      <c r="C875" s="2"/>
      <c r="D875" s="4"/>
      <c r="E875" s="2"/>
      <c r="F875" s="8"/>
      <c r="G875" s="8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</row>
    <row r="876">
      <c r="A876" s="2"/>
      <c r="B876" s="7"/>
      <c r="C876" s="2"/>
      <c r="D876" s="4"/>
      <c r="E876" s="2"/>
      <c r="F876" s="8"/>
      <c r="G876" s="8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</row>
    <row r="877">
      <c r="A877" s="2"/>
      <c r="B877" s="7"/>
      <c r="C877" s="2"/>
      <c r="D877" s="4"/>
      <c r="E877" s="2"/>
      <c r="F877" s="8"/>
      <c r="G877" s="8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</row>
    <row r="878">
      <c r="A878" s="2"/>
      <c r="B878" s="7"/>
      <c r="C878" s="2"/>
      <c r="D878" s="4"/>
      <c r="E878" s="2"/>
      <c r="F878" s="8"/>
      <c r="G878" s="8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</row>
    <row r="879">
      <c r="A879" s="2"/>
      <c r="B879" s="7"/>
      <c r="C879" s="2"/>
      <c r="D879" s="4"/>
      <c r="E879" s="2"/>
      <c r="F879" s="8"/>
      <c r="G879" s="8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</row>
    <row r="880">
      <c r="A880" s="2"/>
      <c r="B880" s="7"/>
      <c r="C880" s="2"/>
      <c r="D880" s="4"/>
      <c r="E880" s="2"/>
      <c r="F880" s="8"/>
      <c r="G880" s="8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</row>
    <row r="881">
      <c r="A881" s="2"/>
      <c r="B881" s="7"/>
      <c r="C881" s="2"/>
      <c r="D881" s="4"/>
      <c r="E881" s="2"/>
      <c r="F881" s="8"/>
      <c r="G881" s="8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</row>
    <row r="882">
      <c r="A882" s="2"/>
      <c r="B882" s="7"/>
      <c r="C882" s="2"/>
      <c r="D882" s="4"/>
      <c r="E882" s="2"/>
      <c r="F882" s="8"/>
      <c r="G882" s="8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</row>
    <row r="883">
      <c r="A883" s="2"/>
      <c r="B883" s="7"/>
      <c r="C883" s="2"/>
      <c r="D883" s="4"/>
      <c r="E883" s="2"/>
      <c r="F883" s="8"/>
      <c r="G883" s="8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</row>
    <row r="884">
      <c r="A884" s="2"/>
      <c r="B884" s="7"/>
      <c r="C884" s="2"/>
      <c r="D884" s="4"/>
      <c r="E884" s="2"/>
      <c r="F884" s="8"/>
      <c r="G884" s="8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</row>
    <row r="885">
      <c r="A885" s="2"/>
      <c r="B885" s="7"/>
      <c r="C885" s="2"/>
      <c r="D885" s="4"/>
      <c r="E885" s="2"/>
      <c r="F885" s="8"/>
      <c r="G885" s="8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</row>
    <row r="886">
      <c r="A886" s="2"/>
      <c r="B886" s="7"/>
      <c r="C886" s="2"/>
      <c r="D886" s="4"/>
      <c r="E886" s="2"/>
      <c r="F886" s="8"/>
      <c r="G886" s="8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</row>
    <row r="887">
      <c r="A887" s="2"/>
      <c r="B887" s="7"/>
      <c r="C887" s="2"/>
      <c r="D887" s="4"/>
      <c r="E887" s="2"/>
      <c r="F887" s="8"/>
      <c r="G887" s="8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</row>
    <row r="888">
      <c r="A888" s="2"/>
      <c r="B888" s="7"/>
      <c r="C888" s="2"/>
      <c r="D888" s="4"/>
      <c r="E888" s="2"/>
      <c r="F888" s="8"/>
      <c r="G888" s="8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</row>
    <row r="889">
      <c r="A889" s="2"/>
      <c r="B889" s="7"/>
      <c r="C889" s="2"/>
      <c r="D889" s="4"/>
      <c r="E889" s="2"/>
      <c r="F889" s="8"/>
      <c r="G889" s="8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</row>
    <row r="890">
      <c r="A890" s="2"/>
      <c r="B890" s="7"/>
      <c r="C890" s="2"/>
      <c r="D890" s="4"/>
      <c r="E890" s="2"/>
      <c r="F890" s="8"/>
      <c r="G890" s="8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</row>
    <row r="891">
      <c r="A891" s="2"/>
      <c r="B891" s="7"/>
      <c r="C891" s="2"/>
      <c r="D891" s="4"/>
      <c r="E891" s="2"/>
      <c r="F891" s="8"/>
      <c r="G891" s="8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</row>
    <row r="892">
      <c r="A892" s="2"/>
      <c r="B892" s="7"/>
      <c r="C892" s="2"/>
      <c r="D892" s="4"/>
      <c r="E892" s="2"/>
      <c r="F892" s="8"/>
      <c r="G892" s="8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</row>
    <row r="893">
      <c r="A893" s="2"/>
      <c r="B893" s="7"/>
      <c r="C893" s="2"/>
      <c r="D893" s="4"/>
      <c r="E893" s="2"/>
      <c r="F893" s="8"/>
      <c r="G893" s="8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</row>
    <row r="894">
      <c r="A894" s="2"/>
      <c r="B894" s="7"/>
      <c r="C894" s="2"/>
      <c r="D894" s="4"/>
      <c r="E894" s="2"/>
      <c r="F894" s="8"/>
      <c r="G894" s="8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</row>
    <row r="895">
      <c r="A895" s="2"/>
      <c r="B895" s="7"/>
      <c r="C895" s="2"/>
      <c r="D895" s="4"/>
      <c r="E895" s="2"/>
      <c r="F895" s="8"/>
      <c r="G895" s="8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</row>
    <row r="896">
      <c r="A896" s="2"/>
      <c r="B896" s="7"/>
      <c r="C896" s="2"/>
      <c r="D896" s="4"/>
      <c r="E896" s="2"/>
      <c r="F896" s="8"/>
      <c r="G896" s="8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</row>
    <row r="897">
      <c r="A897" s="2"/>
      <c r="B897" s="7"/>
      <c r="C897" s="2"/>
      <c r="D897" s="4"/>
      <c r="E897" s="2"/>
      <c r="F897" s="8"/>
      <c r="G897" s="8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</row>
    <row r="898">
      <c r="A898" s="2"/>
      <c r="B898" s="7"/>
      <c r="C898" s="2"/>
      <c r="D898" s="4"/>
      <c r="E898" s="2"/>
      <c r="F898" s="8"/>
      <c r="G898" s="8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</row>
    <row r="899">
      <c r="A899" s="2"/>
      <c r="B899" s="7"/>
      <c r="C899" s="2"/>
      <c r="D899" s="4"/>
      <c r="E899" s="2"/>
      <c r="F899" s="8"/>
      <c r="G899" s="8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</row>
    <row r="900">
      <c r="A900" s="2"/>
      <c r="B900" s="7"/>
      <c r="C900" s="2"/>
      <c r="D900" s="4"/>
      <c r="E900" s="2"/>
      <c r="F900" s="8"/>
      <c r="G900" s="8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</row>
    <row r="901">
      <c r="A901" s="2"/>
      <c r="B901" s="7"/>
      <c r="C901" s="2"/>
      <c r="D901" s="4"/>
      <c r="E901" s="2"/>
      <c r="F901" s="8"/>
      <c r="G901" s="8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</row>
    <row r="902">
      <c r="A902" s="2"/>
      <c r="B902" s="7"/>
      <c r="C902" s="2"/>
      <c r="D902" s="4"/>
      <c r="E902" s="2"/>
      <c r="F902" s="8"/>
      <c r="G902" s="8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</row>
    <row r="903">
      <c r="A903" s="2"/>
      <c r="B903" s="7"/>
      <c r="C903" s="2"/>
      <c r="D903" s="4"/>
      <c r="E903" s="2"/>
      <c r="F903" s="8"/>
      <c r="G903" s="8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</row>
    <row r="904">
      <c r="A904" s="2"/>
      <c r="B904" s="7"/>
      <c r="C904" s="2"/>
      <c r="D904" s="4"/>
      <c r="E904" s="2"/>
      <c r="F904" s="8"/>
      <c r="G904" s="8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</row>
    <row r="905">
      <c r="A905" s="2"/>
      <c r="B905" s="7"/>
      <c r="C905" s="2"/>
      <c r="D905" s="4"/>
      <c r="E905" s="2"/>
      <c r="F905" s="8"/>
      <c r="G905" s="8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</row>
    <row r="906">
      <c r="A906" s="2"/>
      <c r="B906" s="7"/>
      <c r="C906" s="2"/>
      <c r="D906" s="4"/>
      <c r="E906" s="2"/>
      <c r="F906" s="8"/>
      <c r="G906" s="8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</row>
    <row r="907">
      <c r="A907" s="2"/>
      <c r="B907" s="7"/>
      <c r="C907" s="2"/>
      <c r="D907" s="4"/>
      <c r="E907" s="2"/>
      <c r="F907" s="8"/>
      <c r="G907" s="8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</row>
    <row r="908">
      <c r="A908" s="2"/>
      <c r="B908" s="7"/>
      <c r="C908" s="2"/>
      <c r="D908" s="4"/>
      <c r="E908" s="2"/>
      <c r="F908" s="8"/>
      <c r="G908" s="8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</row>
    <row r="909">
      <c r="A909" s="2"/>
      <c r="B909" s="7"/>
      <c r="C909" s="2"/>
      <c r="D909" s="4"/>
      <c r="E909" s="2"/>
      <c r="F909" s="8"/>
      <c r="G909" s="8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</row>
    <row r="910">
      <c r="A910" s="2"/>
      <c r="B910" s="7"/>
      <c r="C910" s="2"/>
      <c r="D910" s="4"/>
      <c r="E910" s="2"/>
      <c r="F910" s="8"/>
      <c r="G910" s="8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</row>
    <row r="911">
      <c r="A911" s="2"/>
      <c r="B911" s="7"/>
      <c r="C911" s="2"/>
      <c r="D911" s="4"/>
      <c r="E911" s="2"/>
      <c r="F911" s="8"/>
      <c r="G911" s="8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</row>
    <row r="912">
      <c r="A912" s="2"/>
      <c r="B912" s="7"/>
      <c r="C912" s="2"/>
      <c r="D912" s="4"/>
      <c r="E912" s="2"/>
      <c r="F912" s="8"/>
      <c r="G912" s="8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</row>
    <row r="913">
      <c r="A913" s="2"/>
      <c r="B913" s="7"/>
      <c r="C913" s="2"/>
      <c r="D913" s="4"/>
      <c r="E913" s="2"/>
      <c r="F913" s="8"/>
      <c r="G913" s="8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</row>
    <row r="914">
      <c r="A914" s="2"/>
      <c r="B914" s="7"/>
      <c r="C914" s="2"/>
      <c r="D914" s="4"/>
      <c r="E914" s="2"/>
      <c r="F914" s="8"/>
      <c r="G914" s="8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</row>
    <row r="915">
      <c r="A915" s="2"/>
      <c r="B915" s="7"/>
      <c r="C915" s="2"/>
      <c r="D915" s="4"/>
      <c r="E915" s="2"/>
      <c r="F915" s="8"/>
      <c r="G915" s="8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</row>
    <row r="916">
      <c r="A916" s="2"/>
      <c r="B916" s="7"/>
      <c r="C916" s="2"/>
      <c r="D916" s="4"/>
      <c r="E916" s="2"/>
      <c r="F916" s="8"/>
      <c r="G916" s="8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</row>
    <row r="917">
      <c r="A917" s="2"/>
      <c r="B917" s="7"/>
      <c r="C917" s="2"/>
      <c r="D917" s="4"/>
      <c r="E917" s="2"/>
      <c r="F917" s="8"/>
      <c r="G917" s="8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</row>
    <row r="918">
      <c r="A918" s="2"/>
      <c r="B918" s="7"/>
      <c r="C918" s="2"/>
      <c r="D918" s="4"/>
      <c r="E918" s="2"/>
      <c r="F918" s="8"/>
      <c r="G918" s="8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</row>
    <row r="919">
      <c r="A919" s="2"/>
      <c r="B919" s="7"/>
      <c r="C919" s="2"/>
      <c r="D919" s="4"/>
      <c r="E919" s="2"/>
      <c r="F919" s="8"/>
      <c r="G919" s="8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</row>
    <row r="920">
      <c r="A920" s="2"/>
      <c r="B920" s="7"/>
      <c r="C920" s="2"/>
      <c r="D920" s="4"/>
      <c r="E920" s="2"/>
      <c r="F920" s="8"/>
      <c r="G920" s="8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</row>
    <row r="921">
      <c r="A921" s="2"/>
      <c r="B921" s="7"/>
      <c r="C921" s="2"/>
      <c r="D921" s="4"/>
      <c r="E921" s="2"/>
      <c r="F921" s="8"/>
      <c r="G921" s="8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</row>
    <row r="922">
      <c r="A922" s="2"/>
      <c r="B922" s="7"/>
      <c r="C922" s="2"/>
      <c r="D922" s="4"/>
      <c r="E922" s="2"/>
      <c r="F922" s="8"/>
      <c r="G922" s="8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</row>
    <row r="923">
      <c r="A923" s="2"/>
      <c r="B923" s="7"/>
      <c r="C923" s="2"/>
      <c r="D923" s="4"/>
      <c r="E923" s="2"/>
      <c r="F923" s="8"/>
      <c r="G923" s="8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</row>
    <row r="924">
      <c r="A924" s="2"/>
      <c r="B924" s="7"/>
      <c r="C924" s="2"/>
      <c r="D924" s="4"/>
      <c r="E924" s="2"/>
      <c r="F924" s="8"/>
      <c r="G924" s="8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</row>
    <row r="925">
      <c r="A925" s="2"/>
      <c r="B925" s="7"/>
      <c r="C925" s="2"/>
      <c r="D925" s="4"/>
      <c r="E925" s="2"/>
      <c r="F925" s="8"/>
      <c r="G925" s="8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</row>
    <row r="926">
      <c r="A926" s="2"/>
      <c r="B926" s="7"/>
      <c r="C926" s="2"/>
      <c r="D926" s="4"/>
      <c r="E926" s="2"/>
      <c r="F926" s="8"/>
      <c r="G926" s="8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</row>
    <row r="927">
      <c r="A927" s="2"/>
      <c r="B927" s="7"/>
      <c r="C927" s="2"/>
      <c r="D927" s="4"/>
      <c r="E927" s="2"/>
      <c r="F927" s="8"/>
      <c r="G927" s="8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</row>
    <row r="928">
      <c r="A928" s="2"/>
      <c r="B928" s="7"/>
      <c r="C928" s="2"/>
      <c r="D928" s="4"/>
      <c r="E928" s="2"/>
      <c r="F928" s="8"/>
      <c r="G928" s="8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</row>
    <row r="929">
      <c r="A929" s="2"/>
      <c r="B929" s="7"/>
      <c r="C929" s="2"/>
      <c r="D929" s="4"/>
      <c r="E929" s="2"/>
      <c r="F929" s="8"/>
      <c r="G929" s="8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</row>
    <row r="930">
      <c r="A930" s="2"/>
      <c r="B930" s="7"/>
      <c r="C930" s="2"/>
      <c r="D930" s="4"/>
      <c r="E930" s="2"/>
      <c r="F930" s="8"/>
      <c r="G930" s="8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</row>
    <row r="931">
      <c r="A931" s="2"/>
      <c r="B931" s="7"/>
      <c r="C931" s="2"/>
      <c r="D931" s="4"/>
      <c r="E931" s="2"/>
      <c r="F931" s="8"/>
      <c r="G931" s="8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</row>
    <row r="932">
      <c r="A932" s="2"/>
      <c r="B932" s="7"/>
      <c r="C932" s="2"/>
      <c r="D932" s="4"/>
      <c r="E932" s="2"/>
      <c r="F932" s="8"/>
      <c r="G932" s="8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</row>
    <row r="933">
      <c r="A933" s="2"/>
      <c r="B933" s="7"/>
      <c r="C933" s="2"/>
      <c r="D933" s="4"/>
      <c r="E933" s="2"/>
      <c r="F933" s="8"/>
      <c r="G933" s="8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</row>
    <row r="934">
      <c r="A934" s="2"/>
      <c r="B934" s="7"/>
      <c r="C934" s="2"/>
      <c r="D934" s="4"/>
      <c r="E934" s="2"/>
      <c r="F934" s="8"/>
      <c r="G934" s="8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</row>
    <row r="935">
      <c r="A935" s="2"/>
      <c r="B935" s="7"/>
      <c r="C935" s="2"/>
      <c r="D935" s="4"/>
      <c r="E935" s="2"/>
      <c r="F935" s="8"/>
      <c r="G935" s="8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</row>
    <row r="936">
      <c r="A936" s="2"/>
      <c r="B936" s="7"/>
      <c r="C936" s="2"/>
      <c r="D936" s="4"/>
      <c r="E936" s="2"/>
      <c r="F936" s="8"/>
      <c r="G936" s="8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</row>
    <row r="937">
      <c r="A937" s="2"/>
      <c r="B937" s="7"/>
      <c r="C937" s="2"/>
      <c r="D937" s="4"/>
      <c r="E937" s="2"/>
      <c r="F937" s="8"/>
      <c r="G937" s="8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</row>
    <row r="938">
      <c r="A938" s="2"/>
      <c r="B938" s="7"/>
      <c r="C938" s="2"/>
      <c r="D938" s="4"/>
      <c r="E938" s="2"/>
      <c r="F938" s="8"/>
      <c r="G938" s="8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</row>
    <row r="939">
      <c r="A939" s="2"/>
      <c r="B939" s="7"/>
      <c r="C939" s="2"/>
      <c r="D939" s="4"/>
      <c r="E939" s="2"/>
      <c r="F939" s="8"/>
      <c r="G939" s="8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</row>
    <row r="940">
      <c r="A940" s="2"/>
      <c r="B940" s="7"/>
      <c r="C940" s="2"/>
      <c r="D940" s="4"/>
      <c r="E940" s="2"/>
      <c r="F940" s="8"/>
      <c r="G940" s="8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</row>
    <row r="941">
      <c r="A941" s="2"/>
      <c r="B941" s="7"/>
      <c r="C941" s="2"/>
      <c r="D941" s="4"/>
      <c r="E941" s="2"/>
      <c r="F941" s="8"/>
      <c r="G941" s="8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</row>
    <row r="942">
      <c r="A942" s="2"/>
      <c r="B942" s="7"/>
      <c r="C942" s="2"/>
      <c r="D942" s="4"/>
      <c r="E942" s="2"/>
      <c r="F942" s="8"/>
      <c r="G942" s="8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</row>
    <row r="943">
      <c r="A943" s="2"/>
      <c r="B943" s="7"/>
      <c r="C943" s="2"/>
      <c r="D943" s="4"/>
      <c r="E943" s="2"/>
      <c r="F943" s="8"/>
      <c r="G943" s="8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</row>
    <row r="944">
      <c r="A944" s="2"/>
      <c r="B944" s="7"/>
      <c r="C944" s="2"/>
      <c r="D944" s="4"/>
      <c r="E944" s="2"/>
      <c r="F944" s="8"/>
      <c r="G944" s="8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</row>
    <row r="945">
      <c r="A945" s="2"/>
      <c r="B945" s="7"/>
      <c r="C945" s="2"/>
      <c r="D945" s="4"/>
      <c r="E945" s="2"/>
      <c r="F945" s="8"/>
      <c r="G945" s="8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</row>
    <row r="946">
      <c r="A946" s="2"/>
      <c r="B946" s="7"/>
      <c r="C946" s="2"/>
      <c r="D946" s="4"/>
      <c r="E946" s="2"/>
      <c r="F946" s="8"/>
      <c r="G946" s="8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</row>
    <row r="947">
      <c r="A947" s="2"/>
      <c r="B947" s="7"/>
      <c r="C947" s="2"/>
      <c r="D947" s="4"/>
      <c r="E947" s="2"/>
      <c r="F947" s="8"/>
      <c r="G947" s="8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</row>
    <row r="948">
      <c r="A948" s="2"/>
      <c r="B948" s="7"/>
      <c r="C948" s="2"/>
      <c r="D948" s="4"/>
      <c r="E948" s="2"/>
      <c r="F948" s="8"/>
      <c r="G948" s="8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</row>
    <row r="949">
      <c r="A949" s="2"/>
      <c r="B949" s="7"/>
      <c r="C949" s="2"/>
      <c r="D949" s="4"/>
      <c r="E949" s="2"/>
      <c r="F949" s="8"/>
      <c r="G949" s="8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</row>
    <row r="950">
      <c r="A950" s="2"/>
      <c r="B950" s="7"/>
      <c r="C950" s="2"/>
      <c r="D950" s="4"/>
      <c r="E950" s="2"/>
      <c r="F950" s="8"/>
      <c r="G950" s="8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</row>
    <row r="951">
      <c r="A951" s="2"/>
      <c r="B951" s="7"/>
      <c r="C951" s="2"/>
      <c r="D951" s="4"/>
      <c r="E951" s="2"/>
      <c r="F951" s="8"/>
      <c r="G951" s="8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</row>
    <row r="952">
      <c r="A952" s="2"/>
      <c r="B952" s="7"/>
      <c r="C952" s="2"/>
      <c r="D952" s="4"/>
      <c r="E952" s="2"/>
      <c r="F952" s="8"/>
      <c r="G952" s="8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</row>
    <row r="953">
      <c r="A953" s="2"/>
      <c r="B953" s="7"/>
      <c r="C953" s="2"/>
      <c r="D953" s="4"/>
      <c r="E953" s="2"/>
      <c r="F953" s="8"/>
      <c r="G953" s="8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</row>
    <row r="954">
      <c r="A954" s="2"/>
      <c r="B954" s="7"/>
      <c r="C954" s="2"/>
      <c r="D954" s="4"/>
      <c r="E954" s="2"/>
      <c r="F954" s="8"/>
      <c r="G954" s="8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</row>
    <row r="955">
      <c r="A955" s="2"/>
      <c r="B955" s="7"/>
      <c r="C955" s="2"/>
      <c r="D955" s="4"/>
      <c r="E955" s="2"/>
      <c r="F955" s="8"/>
      <c r="G955" s="8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</row>
    <row r="956">
      <c r="A956" s="2"/>
      <c r="B956" s="7"/>
      <c r="C956" s="2"/>
      <c r="D956" s="4"/>
      <c r="E956" s="2"/>
      <c r="F956" s="8"/>
      <c r="G956" s="8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</row>
    <row r="957">
      <c r="A957" s="2"/>
      <c r="B957" s="7"/>
      <c r="C957" s="2"/>
      <c r="D957" s="4"/>
      <c r="E957" s="2"/>
      <c r="F957" s="8"/>
      <c r="G957" s="8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</row>
    <row r="958">
      <c r="A958" s="2"/>
      <c r="B958" s="7"/>
      <c r="C958" s="2"/>
      <c r="D958" s="4"/>
      <c r="E958" s="2"/>
      <c r="F958" s="8"/>
      <c r="G958" s="8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</row>
    <row r="959">
      <c r="A959" s="2"/>
      <c r="B959" s="7"/>
      <c r="C959" s="2"/>
      <c r="D959" s="4"/>
      <c r="E959" s="2"/>
      <c r="F959" s="8"/>
      <c r="G959" s="8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</row>
    <row r="960">
      <c r="A960" s="2"/>
      <c r="B960" s="7"/>
      <c r="C960" s="2"/>
      <c r="D960" s="4"/>
      <c r="E960" s="2"/>
      <c r="F960" s="8"/>
      <c r="G960" s="8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</row>
    <row r="961">
      <c r="A961" s="2"/>
      <c r="B961" s="7"/>
      <c r="C961" s="2"/>
      <c r="D961" s="4"/>
      <c r="E961" s="2"/>
      <c r="F961" s="8"/>
      <c r="G961" s="8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</row>
    <row r="962">
      <c r="A962" s="2"/>
      <c r="B962" s="7"/>
      <c r="C962" s="2"/>
      <c r="D962" s="4"/>
      <c r="E962" s="2"/>
      <c r="F962" s="8"/>
      <c r="G962" s="8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</row>
    <row r="963">
      <c r="A963" s="2"/>
      <c r="B963" s="7"/>
      <c r="C963" s="2"/>
      <c r="D963" s="4"/>
      <c r="E963" s="2"/>
      <c r="F963" s="8"/>
      <c r="G963" s="8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</row>
    <row r="964">
      <c r="A964" s="2"/>
      <c r="B964" s="7"/>
      <c r="C964" s="2"/>
      <c r="D964" s="4"/>
      <c r="E964" s="2"/>
      <c r="F964" s="8"/>
      <c r="G964" s="8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</row>
    <row r="965">
      <c r="A965" s="2"/>
      <c r="B965" s="7"/>
      <c r="C965" s="2"/>
      <c r="D965" s="4"/>
      <c r="E965" s="2"/>
      <c r="F965" s="8"/>
      <c r="G965" s="8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</row>
    <row r="966">
      <c r="A966" s="2"/>
      <c r="B966" s="7"/>
      <c r="C966" s="2"/>
      <c r="D966" s="4"/>
      <c r="E966" s="2"/>
      <c r="F966" s="8"/>
      <c r="G966" s="8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</row>
    <row r="967">
      <c r="A967" s="2"/>
      <c r="B967" s="7"/>
      <c r="C967" s="2"/>
      <c r="D967" s="4"/>
      <c r="E967" s="2"/>
      <c r="F967" s="8"/>
      <c r="G967" s="8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</row>
    <row r="968">
      <c r="A968" s="2"/>
      <c r="B968" s="7"/>
      <c r="C968" s="2"/>
      <c r="D968" s="4"/>
      <c r="E968" s="2"/>
      <c r="F968" s="8"/>
      <c r="G968" s="8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</row>
    <row r="969">
      <c r="A969" s="2"/>
      <c r="B969" s="7"/>
      <c r="C969" s="2"/>
      <c r="D969" s="4"/>
      <c r="E969" s="2"/>
      <c r="F969" s="8"/>
      <c r="G969" s="8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</row>
    <row r="970">
      <c r="A970" s="2"/>
      <c r="B970" s="7"/>
      <c r="C970" s="2"/>
      <c r="D970" s="4"/>
      <c r="E970" s="2"/>
      <c r="F970" s="8"/>
      <c r="G970" s="8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</row>
    <row r="971">
      <c r="A971" s="2"/>
      <c r="B971" s="7"/>
      <c r="C971" s="2"/>
      <c r="D971" s="4"/>
      <c r="E971" s="2"/>
      <c r="F971" s="8"/>
      <c r="G971" s="8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</row>
    <row r="972">
      <c r="A972" s="2"/>
      <c r="B972" s="7"/>
      <c r="C972" s="2"/>
      <c r="D972" s="4"/>
      <c r="E972" s="2"/>
      <c r="F972" s="8"/>
      <c r="G972" s="8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</row>
    <row r="973">
      <c r="A973" s="2"/>
      <c r="B973" s="7"/>
      <c r="C973" s="2"/>
      <c r="D973" s="4"/>
      <c r="E973" s="2"/>
      <c r="F973" s="8"/>
      <c r="G973" s="8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</row>
    <row r="974">
      <c r="A974" s="2"/>
      <c r="B974" s="7"/>
      <c r="C974" s="2"/>
      <c r="D974" s="4"/>
      <c r="E974" s="2"/>
      <c r="F974" s="8"/>
      <c r="G974" s="8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</row>
    <row r="975">
      <c r="A975" s="2"/>
      <c r="B975" s="7"/>
      <c r="C975" s="2"/>
      <c r="D975" s="4"/>
      <c r="E975" s="2"/>
      <c r="F975" s="8"/>
      <c r="G975" s="8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</row>
    <row r="976">
      <c r="A976" s="2"/>
      <c r="B976" s="7"/>
      <c r="C976" s="2"/>
      <c r="D976" s="4"/>
      <c r="E976" s="2"/>
      <c r="F976" s="8"/>
      <c r="G976" s="8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</row>
    <row r="977">
      <c r="A977" s="2"/>
      <c r="B977" s="7"/>
      <c r="C977" s="2"/>
      <c r="D977" s="4"/>
      <c r="E977" s="2"/>
      <c r="F977" s="8"/>
      <c r="G977" s="8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</row>
    <row r="978">
      <c r="A978" s="2"/>
      <c r="B978" s="7"/>
      <c r="C978" s="2"/>
      <c r="D978" s="4"/>
      <c r="E978" s="2"/>
      <c r="F978" s="8"/>
      <c r="G978" s="8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</row>
    <row r="979">
      <c r="A979" s="2"/>
      <c r="B979" s="7"/>
      <c r="C979" s="2"/>
      <c r="D979" s="4"/>
      <c r="E979" s="2"/>
      <c r="F979" s="8"/>
      <c r="G979" s="8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</row>
    <row r="980">
      <c r="A980" s="2"/>
      <c r="B980" s="7"/>
      <c r="C980" s="2"/>
      <c r="D980" s="4"/>
      <c r="E980" s="2"/>
      <c r="F980" s="8"/>
      <c r="G980" s="8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</row>
    <row r="981">
      <c r="A981" s="2"/>
      <c r="B981" s="7"/>
      <c r="C981" s="2"/>
      <c r="D981" s="4"/>
      <c r="E981" s="2"/>
      <c r="F981" s="8"/>
      <c r="G981" s="8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</row>
    <row r="982">
      <c r="A982" s="2"/>
      <c r="B982" s="7"/>
      <c r="C982" s="2"/>
      <c r="D982" s="4"/>
      <c r="E982" s="2"/>
      <c r="F982" s="8"/>
      <c r="G982" s="8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</row>
    <row r="983">
      <c r="A983" s="2"/>
      <c r="B983" s="7"/>
      <c r="C983" s="2"/>
      <c r="D983" s="4"/>
      <c r="E983" s="2"/>
      <c r="F983" s="8"/>
      <c r="G983" s="8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</row>
    <row r="984">
      <c r="A984" s="2"/>
      <c r="B984" s="7"/>
      <c r="C984" s="2"/>
      <c r="D984" s="4"/>
      <c r="E984" s="2"/>
      <c r="F984" s="8"/>
      <c r="G984" s="8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</row>
    <row r="985">
      <c r="A985" s="2"/>
      <c r="B985" s="7"/>
      <c r="C985" s="2"/>
      <c r="D985" s="4"/>
      <c r="E985" s="2"/>
      <c r="F985" s="8"/>
      <c r="G985" s="8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</row>
    <row r="986">
      <c r="A986" s="2"/>
      <c r="B986" s="7"/>
      <c r="C986" s="2"/>
      <c r="D986" s="4"/>
      <c r="E986" s="2"/>
      <c r="F986" s="8"/>
      <c r="G986" s="8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</row>
    <row r="987">
      <c r="A987" s="2"/>
      <c r="B987" s="7"/>
      <c r="C987" s="2"/>
      <c r="D987" s="4"/>
      <c r="E987" s="2"/>
      <c r="F987" s="8"/>
      <c r="G987" s="8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</row>
    <row r="988">
      <c r="A988" s="2"/>
      <c r="B988" s="7"/>
      <c r="C988" s="2"/>
      <c r="D988" s="4"/>
      <c r="E988" s="2"/>
      <c r="F988" s="8"/>
      <c r="G988" s="8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</row>
    <row r="989">
      <c r="A989" s="2"/>
      <c r="B989" s="7"/>
      <c r="C989" s="2"/>
      <c r="D989" s="4"/>
      <c r="E989" s="2"/>
      <c r="F989" s="8"/>
      <c r="G989" s="8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</row>
    <row r="990">
      <c r="A990" s="2"/>
      <c r="B990" s="7"/>
      <c r="C990" s="2"/>
      <c r="D990" s="4"/>
      <c r="E990" s="2"/>
      <c r="F990" s="8"/>
      <c r="G990" s="8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</row>
    <row r="991">
      <c r="A991" s="2"/>
      <c r="B991" s="7"/>
      <c r="C991" s="2"/>
      <c r="D991" s="4"/>
      <c r="E991" s="2"/>
      <c r="F991" s="8"/>
      <c r="G991" s="8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</row>
    <row r="992">
      <c r="A992" s="2"/>
      <c r="B992" s="7"/>
      <c r="C992" s="2"/>
      <c r="D992" s="4"/>
      <c r="E992" s="2"/>
      <c r="F992" s="8"/>
      <c r="G992" s="8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</row>
    <row r="993">
      <c r="A993" s="2"/>
      <c r="B993" s="7"/>
      <c r="C993" s="2"/>
      <c r="D993" s="4"/>
      <c r="E993" s="2"/>
      <c r="F993" s="8"/>
      <c r="G993" s="8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</row>
    <row r="994">
      <c r="A994" s="2"/>
      <c r="B994" s="7"/>
      <c r="C994" s="2"/>
      <c r="D994" s="4"/>
      <c r="E994" s="2"/>
      <c r="F994" s="8"/>
      <c r="G994" s="8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</row>
    <row r="995">
      <c r="A995" s="2"/>
      <c r="B995" s="7"/>
      <c r="C995" s="2"/>
      <c r="D995" s="4"/>
      <c r="E995" s="2"/>
      <c r="F995" s="8"/>
      <c r="G995" s="8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</row>
    <row r="996">
      <c r="A996" s="2"/>
      <c r="B996" s="7"/>
      <c r="C996" s="2"/>
      <c r="D996" s="4"/>
      <c r="E996" s="2"/>
      <c r="F996" s="8"/>
      <c r="G996" s="8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</row>
    <row r="997">
      <c r="A997" s="2"/>
      <c r="B997" s="7"/>
      <c r="C997" s="2"/>
      <c r="D997" s="4"/>
      <c r="E997" s="2"/>
      <c r="F997" s="8"/>
      <c r="G997" s="8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</row>
    <row r="998">
      <c r="A998" s="2"/>
      <c r="B998" s="7"/>
      <c r="C998" s="2"/>
      <c r="D998" s="4"/>
      <c r="E998" s="2"/>
      <c r="F998" s="8"/>
      <c r="G998" s="8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</row>
    <row r="999">
      <c r="A999" s="2"/>
      <c r="B999" s="7"/>
      <c r="C999" s="2"/>
      <c r="D999" s="4"/>
      <c r="E999" s="2"/>
      <c r="F999" s="8"/>
      <c r="G999" s="8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</row>
    <row r="1000">
      <c r="A1000" s="2"/>
      <c r="B1000" s="7"/>
      <c r="C1000" s="2"/>
      <c r="D1000" s="4"/>
      <c r="E1000" s="2"/>
      <c r="F1000" s="8"/>
      <c r="G1000" s="8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</row>
    <row r="1001">
      <c r="A1001" s="2"/>
      <c r="B1001" s="7"/>
      <c r="C1001" s="2"/>
      <c r="D1001" s="4"/>
      <c r="E1001" s="2"/>
      <c r="F1001" s="8"/>
      <c r="G1001" s="8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</row>
    <row r="1002">
      <c r="A1002" s="2"/>
      <c r="B1002" s="7"/>
      <c r="C1002" s="2"/>
      <c r="D1002" s="4"/>
      <c r="E1002" s="2"/>
      <c r="F1002" s="8"/>
      <c r="G1002" s="8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0"/>
    <col customWidth="1" min="2" max="2" width="4.75"/>
    <col customWidth="1" min="3" max="3" width="6.0"/>
    <col customWidth="1" min="4" max="4" width="5.13"/>
    <col customWidth="1" min="5" max="5" width="22.25"/>
    <col customWidth="1" min="6" max="6" width="12.25"/>
    <col customWidth="1" min="7" max="7" width="11.38"/>
    <col customWidth="1" min="8" max="8" width="18.63"/>
    <col customWidth="1" min="9" max="9" width="8.75"/>
    <col customWidth="1" min="10" max="10" width="22.38"/>
    <col customWidth="1" min="11" max="11" width="17.25"/>
    <col customWidth="1" min="12" max="12" width="8.38"/>
    <col customWidth="1" min="13" max="13" width="7.75"/>
    <col customWidth="1" min="14" max="14" width="7.88"/>
    <col customWidth="1" min="15" max="15" width="8.75"/>
    <col customWidth="1" min="16" max="16" width="12.0"/>
    <col customWidth="1" min="17" max="17" width="6.88"/>
    <col customWidth="1" min="18" max="18" width="12.0"/>
    <col customWidth="1" min="19" max="19" width="6.88"/>
    <col customWidth="1" min="20" max="20" width="12.0"/>
    <col customWidth="1" min="21" max="21" width="6.88"/>
    <col customWidth="1" min="22" max="22" width="12.0"/>
    <col customWidth="1" min="23" max="23" width="6.88"/>
    <col customWidth="1" min="24" max="24" width="12.0"/>
    <col customWidth="1" min="25" max="25" width="6.88"/>
    <col customWidth="1" min="26" max="26" width="8.75"/>
    <col customWidth="1" min="27" max="27" width="6.88"/>
    <col customWidth="1" min="28" max="28" width="4.75"/>
    <col customWidth="1" min="29" max="29" width="8.75"/>
    <col customWidth="1" min="30" max="30" width="14.88"/>
  </cols>
  <sheetData>
    <row r="1">
      <c r="A1" s="1" t="s">
        <v>43</v>
      </c>
      <c r="B1" s="1" t="s">
        <v>220</v>
      </c>
      <c r="C1" s="1" t="s">
        <v>45</v>
      </c>
      <c r="D1" s="1" t="s">
        <v>221</v>
      </c>
      <c r="E1" s="1" t="s">
        <v>222</v>
      </c>
      <c r="F1" s="1" t="s">
        <v>223</v>
      </c>
      <c r="G1" s="6" t="s">
        <v>224</v>
      </c>
      <c r="H1" s="1" t="s">
        <v>225</v>
      </c>
      <c r="I1" s="1" t="s">
        <v>226</v>
      </c>
      <c r="J1" s="1" t="s">
        <v>227</v>
      </c>
      <c r="K1" s="1" t="s">
        <v>228</v>
      </c>
      <c r="L1" s="1" t="s">
        <v>229</v>
      </c>
      <c r="M1" s="6" t="s">
        <v>226</v>
      </c>
      <c r="N1" s="1" t="s">
        <v>230</v>
      </c>
      <c r="O1" s="6" t="s">
        <v>226</v>
      </c>
      <c r="P1" s="1" t="s">
        <v>231</v>
      </c>
      <c r="Q1" s="6" t="s">
        <v>226</v>
      </c>
      <c r="R1" s="1" t="s">
        <v>232</v>
      </c>
      <c r="S1" s="6" t="s">
        <v>226</v>
      </c>
      <c r="T1" s="1" t="s">
        <v>233</v>
      </c>
      <c r="U1" s="6" t="s">
        <v>226</v>
      </c>
      <c r="V1" s="1" t="s">
        <v>234</v>
      </c>
      <c r="W1" s="6" t="s">
        <v>226</v>
      </c>
      <c r="X1" s="1" t="s">
        <v>235</v>
      </c>
      <c r="Y1" s="6" t="s">
        <v>226</v>
      </c>
      <c r="Z1" s="1" t="s">
        <v>236</v>
      </c>
      <c r="AA1" s="1" t="s">
        <v>226</v>
      </c>
      <c r="AB1" s="1" t="s">
        <v>237</v>
      </c>
      <c r="AC1" s="6" t="s">
        <v>226</v>
      </c>
      <c r="AD1" s="1" t="s">
        <v>238</v>
      </c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>
      <c r="A2" s="10" t="s">
        <v>239</v>
      </c>
      <c r="B2" s="11" t="s">
        <v>240</v>
      </c>
      <c r="C2" s="1"/>
      <c r="D2" s="1">
        <v>1.0</v>
      </c>
      <c r="E2" s="10" t="s">
        <v>241</v>
      </c>
      <c r="F2" s="1">
        <v>600.0</v>
      </c>
      <c r="G2" s="8">
        <f t="array" ref="G2">XLOOKUP("branco_tx",Texturas!A:A,Texturas!F:F)*H2+M2+O2+Q2+S2+U2+W2+Y2+AA2+AC2</f>
        <v>311.216</v>
      </c>
      <c r="H2" s="4">
        <f t="array" ref="H2">XLOOKUP(A2,Pecas!A:A,Pecas!DN:DN)</f>
        <v>1.97</v>
      </c>
      <c r="I2" s="8">
        <f t="array" ref="I2">XLOOKUP("branco_tx",Custos!$A:$A,Custos!$B:$B)*H2</f>
        <v>492.5</v>
      </c>
      <c r="J2" s="4">
        <f t="array" ref="J2">XLOOKUP(A2,Pecas!A:A,Pecas!DO:DO)</f>
        <v>1.48</v>
      </c>
      <c r="K2" s="1">
        <v>1.0</v>
      </c>
      <c r="L2" s="1">
        <v>2.0</v>
      </c>
      <c r="M2" s="8">
        <f t="array" ref="M2">XLOOKUP($L$1,Custos!$A:$A,Custos!$B:$B)*L2</f>
        <v>10</v>
      </c>
      <c r="N2" s="4"/>
      <c r="O2" s="8">
        <f t="array" ref="O2">XLOOKUP($N$1,Custos!$A:$A,Custos!$B:$B)*N2</f>
        <v>0</v>
      </c>
      <c r="P2" s="1">
        <f t="shared" ref="P2:P47" si="1">L2*2+N2*6</f>
        <v>4</v>
      </c>
      <c r="Q2" s="8">
        <f t="array" ref="Q2">XLOOKUP($P$1,Custos!$A:$A,Custos!$B:$B)*P2</f>
        <v>0.224</v>
      </c>
      <c r="R2" s="4"/>
      <c r="S2" s="8">
        <f t="array" ref="S2">XLOOKUP($R$1,Custos!$A:$A,Custos!$B:$B)*R2</f>
        <v>0</v>
      </c>
      <c r="T2" s="1">
        <v>15.0</v>
      </c>
      <c r="U2" s="8">
        <f t="array" ref="U2">XLOOKUP($T$1,Custos!$A:$A,Custos!$B:$B)*T2</f>
        <v>1.11</v>
      </c>
      <c r="V2" s="1">
        <v>12.0</v>
      </c>
      <c r="W2" s="8">
        <f t="array" ref="W2">XLOOKUP($V$1,Custos!$A:$A,Custos!$B:$B)*V2</f>
        <v>0.912</v>
      </c>
      <c r="X2" s="1">
        <f t="shared" ref="X2:X47" si="2">Z2</f>
        <v>2</v>
      </c>
      <c r="Y2" s="8">
        <f t="array" ref="Y2">XLOOKUP($X$1,Custos!$A:$A,Custos!$B:$B)*X2</f>
        <v>0.5</v>
      </c>
      <c r="Z2" s="1">
        <v>2.0</v>
      </c>
      <c r="AA2" s="8">
        <f t="array" ref="AA2">XLOOKUP($Z$1,Custos!$A:$A,Custos!$B:$B)*Z2</f>
        <v>6</v>
      </c>
      <c r="AB2" s="1">
        <v>48.0</v>
      </c>
      <c r="AC2" s="8">
        <f t="array" ref="AC2">XLOOKUP($AB$1,Custos!$A:$A,Custos!$B:$B)*AB2</f>
        <v>192</v>
      </c>
      <c r="AD2" s="1">
        <v>1.3</v>
      </c>
    </row>
    <row r="3">
      <c r="A3" s="10" t="s">
        <v>242</v>
      </c>
      <c r="B3" s="1" t="s">
        <v>243</v>
      </c>
      <c r="C3" s="1"/>
      <c r="D3" s="1">
        <v>2.0</v>
      </c>
      <c r="E3" s="10" t="s">
        <v>244</v>
      </c>
      <c r="F3" s="1">
        <v>600.0</v>
      </c>
      <c r="G3" s="8">
        <f t="array" ref="G3">XLOOKUP("branco_tx",Texturas!A:A,Texturas!F:F)*H3+M3+O3+Q3+S3+U3+W3+Y3+AA3+AC3</f>
        <v>311.216</v>
      </c>
      <c r="H3" s="4">
        <f t="array" ref="H3">XLOOKUP(A3,Pecas!A:A,Pecas!DN:DN)</f>
        <v>1.97</v>
      </c>
      <c r="I3" s="8">
        <f t="array" ref="I3">XLOOKUP("branco_tx",Custos!$A:$A,Custos!$B:$B)*H3</f>
        <v>492.5</v>
      </c>
      <c r="J3" s="4">
        <f t="array" ref="J3">XLOOKUP(A3,Pecas!A:A,Pecas!DO:DO)</f>
        <v>1.48</v>
      </c>
      <c r="K3" s="1">
        <v>1.0</v>
      </c>
      <c r="L3" s="1">
        <v>2.0</v>
      </c>
      <c r="M3" s="8">
        <f t="array" ref="M3">XLOOKUP($L$1,Custos!$A:$A,Custos!$B:$B)*L3</f>
        <v>10</v>
      </c>
      <c r="N3" s="4"/>
      <c r="O3" s="8">
        <f t="array" ref="O3">XLOOKUP($N$1,Custos!$A:$A,Custos!$B:$B)*N3</f>
        <v>0</v>
      </c>
      <c r="P3" s="1">
        <f t="shared" si="1"/>
        <v>4</v>
      </c>
      <c r="Q3" s="8">
        <f t="array" ref="Q3">XLOOKUP($P$1,Custos!$A:$A,Custos!$B:$B)*P3</f>
        <v>0.224</v>
      </c>
      <c r="R3" s="4"/>
      <c r="S3" s="8">
        <f t="array" ref="S3">XLOOKUP($R$1,Custos!$A:$A,Custos!$B:$B)*R3</f>
        <v>0</v>
      </c>
      <c r="T3" s="1">
        <v>15.0</v>
      </c>
      <c r="U3" s="8">
        <f t="array" ref="U3">XLOOKUP($T$1,Custos!$A:$A,Custos!$B:$B)*T3</f>
        <v>1.11</v>
      </c>
      <c r="V3" s="1">
        <v>12.0</v>
      </c>
      <c r="W3" s="8">
        <f t="array" ref="W3">XLOOKUP($V$1,Custos!$A:$A,Custos!$B:$B)*V3</f>
        <v>0.912</v>
      </c>
      <c r="X3" s="1">
        <f t="shared" si="2"/>
        <v>2</v>
      </c>
      <c r="Y3" s="8">
        <f t="array" ref="Y3">XLOOKUP($X$1,Custos!$A:$A,Custos!$B:$B)*X3</f>
        <v>0.5</v>
      </c>
      <c r="Z3" s="1">
        <v>2.0</v>
      </c>
      <c r="AA3" s="8">
        <f t="array" ref="AA3">XLOOKUP($Z$1,Custos!$A:$A,Custos!$B:$B)*Z3</f>
        <v>6</v>
      </c>
      <c r="AB3" s="1">
        <v>48.0</v>
      </c>
      <c r="AC3" s="8">
        <f t="array" ref="AC3">XLOOKUP($AB$1,Custos!$A:$A,Custos!$B:$B)*AB3</f>
        <v>192</v>
      </c>
      <c r="AD3" s="1">
        <f t="shared" ref="AD3:AD47" si="3">$AD$2</f>
        <v>1.3</v>
      </c>
    </row>
    <row r="4">
      <c r="A4" s="10" t="s">
        <v>245</v>
      </c>
      <c r="B4" s="1" t="s">
        <v>243</v>
      </c>
      <c r="C4" s="1"/>
      <c r="D4" s="1">
        <v>2.0</v>
      </c>
      <c r="E4" s="10" t="s">
        <v>246</v>
      </c>
      <c r="F4" s="1">
        <v>600.0</v>
      </c>
      <c r="G4" s="8">
        <f t="array" ref="G4">XLOOKUP("branco_tx",Texturas!A:A,Texturas!F:F)*H4+M4+O4+Q4+S4+U4+W4+Y4+AA4+AC4</f>
        <v>311.216</v>
      </c>
      <c r="H4" s="4">
        <f t="array" ref="H4">XLOOKUP(A4,Pecas!A:A,Pecas!DN:DN)</f>
        <v>1.97</v>
      </c>
      <c r="I4" s="8">
        <f t="array" ref="I4">XLOOKUP("branco_tx",Custos!$A:$A,Custos!$B:$B)*H4</f>
        <v>492.5</v>
      </c>
      <c r="J4" s="4">
        <f t="array" ref="J4">XLOOKUP(A4,Pecas!A:A,Pecas!DO:DO)</f>
        <v>1.48</v>
      </c>
      <c r="K4" s="1">
        <v>1.0</v>
      </c>
      <c r="L4" s="1">
        <v>2.0</v>
      </c>
      <c r="M4" s="8">
        <f t="array" ref="M4">XLOOKUP($L$1,Custos!$A:$A,Custos!$B:$B)*L4</f>
        <v>10</v>
      </c>
      <c r="N4" s="4"/>
      <c r="O4" s="8">
        <f t="array" ref="O4">XLOOKUP($N$1,Custos!$A:$A,Custos!$B:$B)*N4</f>
        <v>0</v>
      </c>
      <c r="P4" s="1">
        <f t="shared" si="1"/>
        <v>4</v>
      </c>
      <c r="Q4" s="8">
        <f t="array" ref="Q4">XLOOKUP($P$1,Custos!$A:$A,Custos!$B:$B)*P4</f>
        <v>0.224</v>
      </c>
      <c r="R4" s="4"/>
      <c r="S4" s="8">
        <f t="array" ref="S4">XLOOKUP($R$1,Custos!$A:$A,Custos!$B:$B)*R4</f>
        <v>0</v>
      </c>
      <c r="T4" s="1">
        <v>15.0</v>
      </c>
      <c r="U4" s="8">
        <f t="array" ref="U4">XLOOKUP($T$1,Custos!$A:$A,Custos!$B:$B)*T4</f>
        <v>1.11</v>
      </c>
      <c r="V4" s="1">
        <v>12.0</v>
      </c>
      <c r="W4" s="8">
        <f t="array" ref="W4">XLOOKUP($V$1,Custos!$A:$A,Custos!$B:$B)*V4</f>
        <v>0.912</v>
      </c>
      <c r="X4" s="1">
        <f t="shared" si="2"/>
        <v>2</v>
      </c>
      <c r="Y4" s="8">
        <f t="array" ref="Y4">XLOOKUP($X$1,Custos!$A:$A,Custos!$B:$B)*X4</f>
        <v>0.5</v>
      </c>
      <c r="Z4" s="1">
        <v>2.0</v>
      </c>
      <c r="AA4" s="8">
        <f t="array" ref="AA4">XLOOKUP($Z$1,Custos!$A:$A,Custos!$B:$B)*Z4</f>
        <v>6</v>
      </c>
      <c r="AB4" s="1">
        <v>48.0</v>
      </c>
      <c r="AC4" s="8">
        <f t="array" ref="AC4">XLOOKUP($AB$1,Custos!$A:$A,Custos!$B:$B)*AB4</f>
        <v>192</v>
      </c>
      <c r="AD4" s="1">
        <f t="shared" si="3"/>
        <v>1.3</v>
      </c>
    </row>
    <row r="5">
      <c r="A5" s="10" t="s">
        <v>247</v>
      </c>
      <c r="B5" s="1" t="s">
        <v>248</v>
      </c>
      <c r="C5" s="1"/>
      <c r="D5" s="1">
        <v>3.0</v>
      </c>
      <c r="E5" s="10" t="s">
        <v>244</v>
      </c>
      <c r="F5" s="1">
        <v>600.0</v>
      </c>
      <c r="G5" s="8">
        <f t="array" ref="G5">XLOOKUP("branco_tx",Texturas!A:A,Texturas!F:F)*H5+M5+O5+Q5+S5+U5+W5+Y5+AA5+AC5</f>
        <v>311.216</v>
      </c>
      <c r="H5" s="4">
        <f t="array" ref="H5">XLOOKUP(A5,Pecas!A:A,Pecas!DN:DN)</f>
        <v>1.97</v>
      </c>
      <c r="I5" s="8">
        <f t="array" ref="I5">XLOOKUP("branco_tx",Custos!$A:$A,Custos!$B:$B)*H5</f>
        <v>492.5</v>
      </c>
      <c r="J5" s="4">
        <f t="array" ref="J5">XLOOKUP(A5,Pecas!A:A,Pecas!DO:DO)</f>
        <v>1.48</v>
      </c>
      <c r="K5" s="1">
        <v>1.0</v>
      </c>
      <c r="L5" s="1">
        <v>2.0</v>
      </c>
      <c r="M5" s="8">
        <f t="array" ref="M5">XLOOKUP($L$1,Custos!$A:$A,Custos!$B:$B)*L5</f>
        <v>10</v>
      </c>
      <c r="N5" s="4"/>
      <c r="O5" s="8">
        <f t="array" ref="O5">XLOOKUP($N$1,Custos!$A:$A,Custos!$B:$B)*N5</f>
        <v>0</v>
      </c>
      <c r="P5" s="1">
        <f t="shared" si="1"/>
        <v>4</v>
      </c>
      <c r="Q5" s="8">
        <f t="array" ref="Q5">XLOOKUP($P$1,Custos!$A:$A,Custos!$B:$B)*P5</f>
        <v>0.224</v>
      </c>
      <c r="R5" s="4"/>
      <c r="S5" s="8">
        <f t="array" ref="S5">XLOOKUP($R$1,Custos!$A:$A,Custos!$B:$B)*R5</f>
        <v>0</v>
      </c>
      <c r="T5" s="1">
        <v>15.0</v>
      </c>
      <c r="U5" s="8">
        <f t="array" ref="U5">XLOOKUP($T$1,Custos!$A:$A,Custos!$B:$B)*T5</f>
        <v>1.11</v>
      </c>
      <c r="V5" s="1">
        <v>12.0</v>
      </c>
      <c r="W5" s="8">
        <f t="array" ref="W5">XLOOKUP($V$1,Custos!$A:$A,Custos!$B:$B)*V5</f>
        <v>0.912</v>
      </c>
      <c r="X5" s="1">
        <f t="shared" si="2"/>
        <v>2</v>
      </c>
      <c r="Y5" s="8">
        <f t="array" ref="Y5">XLOOKUP($X$1,Custos!$A:$A,Custos!$B:$B)*X5</f>
        <v>0.5</v>
      </c>
      <c r="Z5" s="1">
        <v>2.0</v>
      </c>
      <c r="AA5" s="8">
        <f t="array" ref="AA5">XLOOKUP($Z$1,Custos!$A:$A,Custos!$B:$B)*Z5</f>
        <v>6</v>
      </c>
      <c r="AB5" s="1">
        <v>48.0</v>
      </c>
      <c r="AC5" s="8">
        <f t="array" ref="AC5">XLOOKUP($AB$1,Custos!$A:$A,Custos!$B:$B)*AB5</f>
        <v>192</v>
      </c>
      <c r="AD5" s="1">
        <f t="shared" si="3"/>
        <v>1.3</v>
      </c>
    </row>
    <row r="6">
      <c r="A6" s="10" t="s">
        <v>249</v>
      </c>
      <c r="B6" s="1" t="s">
        <v>248</v>
      </c>
      <c r="C6" s="1" t="s">
        <v>7</v>
      </c>
      <c r="D6" s="1">
        <v>3.0</v>
      </c>
      <c r="E6" s="10" t="s">
        <v>246</v>
      </c>
      <c r="F6" s="1">
        <v>600.0</v>
      </c>
      <c r="G6" s="8">
        <f t="array" ref="G6">XLOOKUP("branco_tx",Texturas!A:A,Texturas!F:F)*H6+M6+O6+Q6+S6+U6+W6+Y6+AA6+AC6</f>
        <v>311.216</v>
      </c>
      <c r="H6" s="4">
        <f t="array" ref="H6">XLOOKUP(A6,Pecas!A:A,Pecas!DN:DN)</f>
        <v>1.97</v>
      </c>
      <c r="I6" s="8">
        <f t="array" ref="I6">XLOOKUP("branco_tx",Custos!$A:$A,Custos!$B:$B)*H6</f>
        <v>492.5</v>
      </c>
      <c r="J6" s="4">
        <f t="array" ref="J6">XLOOKUP(A6,Pecas!A:A,Pecas!DO:DO)</f>
        <v>1.48</v>
      </c>
      <c r="K6" s="1">
        <v>1.0</v>
      </c>
      <c r="L6" s="1">
        <v>2.0</v>
      </c>
      <c r="M6" s="8">
        <f t="array" ref="M6">XLOOKUP($L$1,Custos!$A:$A,Custos!$B:$B)*L6</f>
        <v>10</v>
      </c>
      <c r="N6" s="4"/>
      <c r="O6" s="8">
        <f t="array" ref="O6">XLOOKUP($N$1,Custos!$A:$A,Custos!$B:$B)*N6</f>
        <v>0</v>
      </c>
      <c r="P6" s="1">
        <f t="shared" si="1"/>
        <v>4</v>
      </c>
      <c r="Q6" s="8">
        <f t="array" ref="Q6">XLOOKUP($P$1,Custos!$A:$A,Custos!$B:$B)*P6</f>
        <v>0.224</v>
      </c>
      <c r="R6" s="4"/>
      <c r="S6" s="8">
        <f t="array" ref="S6">XLOOKUP($R$1,Custos!$A:$A,Custos!$B:$B)*R6</f>
        <v>0</v>
      </c>
      <c r="T6" s="1">
        <v>15.0</v>
      </c>
      <c r="U6" s="8">
        <f t="array" ref="U6">XLOOKUP($T$1,Custos!$A:$A,Custos!$B:$B)*T6</f>
        <v>1.11</v>
      </c>
      <c r="V6" s="1">
        <v>12.0</v>
      </c>
      <c r="W6" s="8">
        <f t="array" ref="W6">XLOOKUP($V$1,Custos!$A:$A,Custos!$B:$B)*V6</f>
        <v>0.912</v>
      </c>
      <c r="X6" s="1">
        <f t="shared" si="2"/>
        <v>2</v>
      </c>
      <c r="Y6" s="8">
        <f t="array" ref="Y6">XLOOKUP($X$1,Custos!$A:$A,Custos!$B:$B)*X6</f>
        <v>0.5</v>
      </c>
      <c r="Z6" s="1">
        <v>2.0</v>
      </c>
      <c r="AA6" s="8">
        <f t="array" ref="AA6">XLOOKUP($Z$1,Custos!$A:$A,Custos!$B:$B)*Z6</f>
        <v>6</v>
      </c>
      <c r="AB6" s="1">
        <v>48.0</v>
      </c>
      <c r="AC6" s="8">
        <f t="array" ref="AC6">XLOOKUP($AB$1,Custos!$A:$A,Custos!$B:$B)*AB6</f>
        <v>192</v>
      </c>
      <c r="AD6" s="1">
        <f t="shared" si="3"/>
        <v>1.3</v>
      </c>
    </row>
    <row r="7">
      <c r="A7" s="10" t="s">
        <v>250</v>
      </c>
      <c r="B7" s="1" t="s">
        <v>251</v>
      </c>
      <c r="C7" s="1"/>
      <c r="D7" s="1">
        <v>4.0</v>
      </c>
      <c r="E7" s="10" t="s">
        <v>244</v>
      </c>
      <c r="F7" s="1">
        <v>600.0</v>
      </c>
      <c r="G7" s="8">
        <f t="array" ref="G7">XLOOKUP("branco_tx",Texturas!A:A,Texturas!F:F)*H7+M7+O7+Q7+S7+U7+W7+Y7+AA7+AC7</f>
        <v>311.216</v>
      </c>
      <c r="H7" s="4">
        <f t="array" ref="H7">XLOOKUP(A7,Pecas!A:A,Pecas!DN:DN)</f>
        <v>1.97</v>
      </c>
      <c r="I7" s="8">
        <f t="array" ref="I7">XLOOKUP("branco_tx",Custos!$A:$A,Custos!$B:$B)*H7</f>
        <v>492.5</v>
      </c>
      <c r="J7" s="4">
        <f t="array" ref="J7">XLOOKUP(A7,Pecas!A:A,Pecas!DO:DO)</f>
        <v>1.48</v>
      </c>
      <c r="K7" s="1">
        <v>1.0</v>
      </c>
      <c r="L7" s="1">
        <v>2.0</v>
      </c>
      <c r="M7" s="8">
        <f t="array" ref="M7">XLOOKUP($L$1,Custos!$A:$A,Custos!$B:$B)*L7</f>
        <v>10</v>
      </c>
      <c r="N7" s="4"/>
      <c r="O7" s="8">
        <f t="array" ref="O7">XLOOKUP($N$1,Custos!$A:$A,Custos!$B:$B)*N7</f>
        <v>0</v>
      </c>
      <c r="P7" s="1">
        <f t="shared" si="1"/>
        <v>4</v>
      </c>
      <c r="Q7" s="8">
        <f t="array" ref="Q7">XLOOKUP($P$1,Custos!$A:$A,Custos!$B:$B)*P7</f>
        <v>0.224</v>
      </c>
      <c r="R7" s="4"/>
      <c r="S7" s="8">
        <f t="array" ref="S7">XLOOKUP($R$1,Custos!$A:$A,Custos!$B:$B)*R7</f>
        <v>0</v>
      </c>
      <c r="T7" s="1">
        <v>15.0</v>
      </c>
      <c r="U7" s="8">
        <f t="array" ref="U7">XLOOKUP($T$1,Custos!$A:$A,Custos!$B:$B)*T7</f>
        <v>1.11</v>
      </c>
      <c r="V7" s="1">
        <v>12.0</v>
      </c>
      <c r="W7" s="8">
        <f t="array" ref="W7">XLOOKUP($V$1,Custos!$A:$A,Custos!$B:$B)*V7</f>
        <v>0.912</v>
      </c>
      <c r="X7" s="1">
        <f t="shared" si="2"/>
        <v>2</v>
      </c>
      <c r="Y7" s="8">
        <f t="array" ref="Y7">XLOOKUP($X$1,Custos!$A:$A,Custos!$B:$B)*X7</f>
        <v>0.5</v>
      </c>
      <c r="Z7" s="1">
        <v>2.0</v>
      </c>
      <c r="AA7" s="8">
        <f t="array" ref="AA7">XLOOKUP($Z$1,Custos!$A:$A,Custos!$B:$B)*Z7</f>
        <v>6</v>
      </c>
      <c r="AB7" s="1">
        <v>48.0</v>
      </c>
      <c r="AC7" s="8">
        <f t="array" ref="AC7">XLOOKUP($AB$1,Custos!$A:$A,Custos!$B:$B)*AB7</f>
        <v>192</v>
      </c>
      <c r="AD7" s="1">
        <f t="shared" si="3"/>
        <v>1.3</v>
      </c>
    </row>
    <row r="8">
      <c r="A8" s="10" t="s">
        <v>252</v>
      </c>
      <c r="B8" s="1" t="s">
        <v>251</v>
      </c>
      <c r="C8" s="1"/>
      <c r="D8" s="1">
        <v>4.0</v>
      </c>
      <c r="E8" s="10" t="s">
        <v>246</v>
      </c>
      <c r="F8" s="1">
        <v>600.0</v>
      </c>
      <c r="G8" s="8">
        <f t="array" ref="G8">XLOOKUP("branco_tx",Texturas!A:A,Texturas!F:F)*H8+M8+O8+Q8+S8+U8+W8+Y8+AA8+AC8</f>
        <v>311.216</v>
      </c>
      <c r="H8" s="4">
        <f t="array" ref="H8">XLOOKUP(A8,Pecas!A:A,Pecas!DN:DN)</f>
        <v>1.97</v>
      </c>
      <c r="I8" s="8">
        <f t="array" ref="I8">XLOOKUP("branco_tx",Custos!$A:$A,Custos!$B:$B)*H8</f>
        <v>492.5</v>
      </c>
      <c r="J8" s="4">
        <f t="array" ref="J8">XLOOKUP(A8,Pecas!A:A,Pecas!DO:DO)</f>
        <v>1.48</v>
      </c>
      <c r="K8" s="1">
        <v>1.0</v>
      </c>
      <c r="L8" s="1">
        <v>2.0</v>
      </c>
      <c r="M8" s="8">
        <f t="array" ref="M8">XLOOKUP($L$1,Custos!$A:$A,Custos!$B:$B)*L8</f>
        <v>10</v>
      </c>
      <c r="N8" s="4"/>
      <c r="O8" s="8">
        <f t="array" ref="O8">XLOOKUP($N$1,Custos!$A:$A,Custos!$B:$B)*N8</f>
        <v>0</v>
      </c>
      <c r="P8" s="1">
        <f t="shared" si="1"/>
        <v>4</v>
      </c>
      <c r="Q8" s="8">
        <f t="array" ref="Q8">XLOOKUP($P$1,Custos!$A:$A,Custos!$B:$B)*P8</f>
        <v>0.224</v>
      </c>
      <c r="R8" s="4"/>
      <c r="S8" s="8">
        <f t="array" ref="S8">XLOOKUP($R$1,Custos!$A:$A,Custos!$B:$B)*R8</f>
        <v>0</v>
      </c>
      <c r="T8" s="1">
        <v>15.0</v>
      </c>
      <c r="U8" s="8">
        <f t="array" ref="U8">XLOOKUP($T$1,Custos!$A:$A,Custos!$B:$B)*T8</f>
        <v>1.11</v>
      </c>
      <c r="V8" s="1">
        <v>12.0</v>
      </c>
      <c r="W8" s="8">
        <f t="array" ref="W8">XLOOKUP($V$1,Custos!$A:$A,Custos!$B:$B)*V8</f>
        <v>0.912</v>
      </c>
      <c r="X8" s="1">
        <f t="shared" si="2"/>
        <v>2</v>
      </c>
      <c r="Y8" s="8">
        <f t="array" ref="Y8">XLOOKUP($X$1,Custos!$A:$A,Custos!$B:$B)*X8</f>
        <v>0.5</v>
      </c>
      <c r="Z8" s="1">
        <v>2.0</v>
      </c>
      <c r="AA8" s="8">
        <f t="array" ref="AA8">XLOOKUP($Z$1,Custos!$A:$A,Custos!$B:$B)*Z8</f>
        <v>6</v>
      </c>
      <c r="AB8" s="1">
        <v>48.0</v>
      </c>
      <c r="AC8" s="8">
        <f t="array" ref="AC8">XLOOKUP($AB$1,Custos!$A:$A,Custos!$B:$B)*AB8</f>
        <v>192</v>
      </c>
      <c r="AD8" s="1">
        <f t="shared" si="3"/>
        <v>1.3</v>
      </c>
    </row>
    <row r="9">
      <c r="A9" s="10" t="s">
        <v>253</v>
      </c>
      <c r="B9" s="11" t="s">
        <v>254</v>
      </c>
      <c r="C9" s="1"/>
      <c r="D9" s="1">
        <v>5.0</v>
      </c>
      <c r="E9" s="10" t="s">
        <v>241</v>
      </c>
      <c r="F9" s="1">
        <v>600.0</v>
      </c>
      <c r="G9" s="8">
        <f t="array" ref="G9">XLOOKUP("branco_tx",Texturas!A:A,Texturas!F:F)*H9+M9+O9+Q9+S9+U9+W9+Y9+AA9+AC9</f>
        <v>311.216</v>
      </c>
      <c r="H9" s="4">
        <f t="array" ref="H9">XLOOKUP(A9,Pecas!A:A,Pecas!DN:DN)</f>
        <v>1.97</v>
      </c>
      <c r="I9" s="8">
        <f t="array" ref="I9">XLOOKUP("branco_tx",Custos!$A:$A,Custos!$B:$B)*H9</f>
        <v>492.5</v>
      </c>
      <c r="J9" s="4">
        <f t="array" ref="J9">XLOOKUP(A9,Pecas!A:A,Pecas!DO:DO)</f>
        <v>1.48</v>
      </c>
      <c r="K9" s="1">
        <v>1.0</v>
      </c>
      <c r="L9" s="1">
        <v>2.0</v>
      </c>
      <c r="M9" s="8">
        <f t="array" ref="M9">XLOOKUP($L$1,Custos!$A:$A,Custos!$B:$B)*L9</f>
        <v>10</v>
      </c>
      <c r="N9" s="4"/>
      <c r="O9" s="8">
        <f t="array" ref="O9">XLOOKUP($N$1,Custos!$A:$A,Custos!$B:$B)*N9</f>
        <v>0</v>
      </c>
      <c r="P9" s="1">
        <f t="shared" si="1"/>
        <v>4</v>
      </c>
      <c r="Q9" s="8">
        <f t="array" ref="Q9">XLOOKUP($P$1,Custos!$A:$A,Custos!$B:$B)*P9</f>
        <v>0.224</v>
      </c>
      <c r="R9" s="4"/>
      <c r="S9" s="8">
        <f t="array" ref="S9">XLOOKUP($R$1,Custos!$A:$A,Custos!$B:$B)*R9</f>
        <v>0</v>
      </c>
      <c r="T9" s="1">
        <v>15.0</v>
      </c>
      <c r="U9" s="8">
        <f t="array" ref="U9">XLOOKUP($T$1,Custos!$A:$A,Custos!$B:$B)*T9</f>
        <v>1.11</v>
      </c>
      <c r="V9" s="1">
        <v>12.0</v>
      </c>
      <c r="W9" s="8">
        <f t="array" ref="W9">XLOOKUP($V$1,Custos!$A:$A,Custos!$B:$B)*V9</f>
        <v>0.912</v>
      </c>
      <c r="X9" s="1">
        <f t="shared" si="2"/>
        <v>2</v>
      </c>
      <c r="Y9" s="8">
        <f t="array" ref="Y9">XLOOKUP($X$1,Custos!$A:$A,Custos!$B:$B)*X9</f>
        <v>0.5</v>
      </c>
      <c r="Z9" s="1">
        <v>2.0</v>
      </c>
      <c r="AA9" s="8">
        <f t="array" ref="AA9">XLOOKUP($Z$1,Custos!$A:$A,Custos!$B:$B)*Z9</f>
        <v>6</v>
      </c>
      <c r="AB9" s="1">
        <v>48.0</v>
      </c>
      <c r="AC9" s="8">
        <f t="array" ref="AC9">XLOOKUP($AB$1,Custos!$A:$A,Custos!$B:$B)*AB9</f>
        <v>192</v>
      </c>
      <c r="AD9" s="1">
        <f t="shared" si="3"/>
        <v>1.3</v>
      </c>
    </row>
    <row r="10">
      <c r="A10" s="10" t="s">
        <v>255</v>
      </c>
      <c r="B10" s="11" t="s">
        <v>240</v>
      </c>
      <c r="C10" s="1"/>
      <c r="D10" s="1">
        <v>1.0</v>
      </c>
      <c r="E10" s="10" t="s">
        <v>256</v>
      </c>
      <c r="F10" s="1">
        <v>600.0</v>
      </c>
      <c r="G10" s="8">
        <f t="array" ref="G10">XLOOKUP("branco_tx",Texturas!A:A,Texturas!F:F)*H10+M10+O10+Q10+S10+U10+W10+Y10+AA10+AC10</f>
        <v>327.216</v>
      </c>
      <c r="H10" s="4">
        <f t="array" ref="H10">XLOOKUP(A10,Pecas!A:A,Pecas!DN:DN)</f>
        <v>1.97</v>
      </c>
      <c r="I10" s="8">
        <f t="array" ref="I10">XLOOKUP("branco_tx",Custos!$A:$A,Custos!$B:$B)*H10</f>
        <v>492.5</v>
      </c>
      <c r="J10" s="4">
        <f t="array" ref="J10">XLOOKUP(A10,Pecas!A:A,Pecas!DO:DO)</f>
        <v>1.48</v>
      </c>
      <c r="K10" s="1">
        <v>1.0</v>
      </c>
      <c r="L10" s="1">
        <v>2.0</v>
      </c>
      <c r="M10" s="8">
        <f t="array" ref="M10">XLOOKUP($L$1,Custos!$A:$A,Custos!$B:$B)*L10</f>
        <v>10</v>
      </c>
      <c r="N10" s="4"/>
      <c r="O10" s="8">
        <f t="array" ref="O10">XLOOKUP($N$1,Custos!$A:$A,Custos!$B:$B)*N10</f>
        <v>0</v>
      </c>
      <c r="P10" s="1">
        <f t="shared" si="1"/>
        <v>4</v>
      </c>
      <c r="Q10" s="8">
        <f t="array" ref="Q10">XLOOKUP($P$1,Custos!$A:$A,Custos!$B:$B)*P10</f>
        <v>0.224</v>
      </c>
      <c r="R10" s="4"/>
      <c r="S10" s="8">
        <f t="array" ref="S10">XLOOKUP($R$1,Custos!$A:$A,Custos!$B:$B)*R10</f>
        <v>0</v>
      </c>
      <c r="T10" s="1">
        <v>15.0</v>
      </c>
      <c r="U10" s="8">
        <f t="array" ref="U10">XLOOKUP($T$1,Custos!$A:$A,Custos!$B:$B)*T10</f>
        <v>1.11</v>
      </c>
      <c r="V10" s="1">
        <v>12.0</v>
      </c>
      <c r="W10" s="8">
        <f t="array" ref="W10">XLOOKUP($V$1,Custos!$A:$A,Custos!$B:$B)*V10</f>
        <v>0.912</v>
      </c>
      <c r="X10" s="1">
        <f t="shared" si="2"/>
        <v>2</v>
      </c>
      <c r="Y10" s="8">
        <f t="array" ref="Y10">XLOOKUP($X$1,Custos!$A:$A,Custos!$B:$B)*X10</f>
        <v>0.5</v>
      </c>
      <c r="Z10" s="1">
        <v>2.0</v>
      </c>
      <c r="AA10" s="8">
        <f t="array" ref="AA10">XLOOKUP($Z$1,Custos!$A:$A,Custos!$B:$B)*Z10</f>
        <v>6</v>
      </c>
      <c r="AB10" s="1">
        <v>52.0</v>
      </c>
      <c r="AC10" s="8">
        <f t="array" ref="AC10">XLOOKUP($AB$1,Custos!$A:$A,Custos!$B:$B)*AB10</f>
        <v>208</v>
      </c>
      <c r="AD10" s="1">
        <f t="shared" si="3"/>
        <v>1.3</v>
      </c>
    </row>
    <row r="11">
      <c r="A11" s="10" t="s">
        <v>257</v>
      </c>
      <c r="B11" s="1" t="s">
        <v>243</v>
      </c>
      <c r="C11" s="1"/>
      <c r="D11" s="1">
        <v>2.0</v>
      </c>
      <c r="E11" s="10" t="s">
        <v>258</v>
      </c>
      <c r="F11" s="1">
        <v>600.0</v>
      </c>
      <c r="G11" s="8">
        <f t="array" ref="G11">XLOOKUP("branco_tx",Texturas!A:A,Texturas!F:F)*H11+M11+O11+Q11+S11+U11+W11+Y11+AA11+AC11</f>
        <v>327.216</v>
      </c>
      <c r="H11" s="4">
        <f t="array" ref="H11">XLOOKUP(A11,Pecas!A:A,Pecas!DN:DN)</f>
        <v>1.97</v>
      </c>
      <c r="I11" s="8">
        <f t="array" ref="I11">XLOOKUP("branco_tx",Custos!$A:$A,Custos!$B:$B)*H11</f>
        <v>492.5</v>
      </c>
      <c r="J11" s="4">
        <f t="array" ref="J11">XLOOKUP(A11,Pecas!A:A,Pecas!DO:DO)</f>
        <v>1.48</v>
      </c>
      <c r="K11" s="1">
        <v>1.0</v>
      </c>
      <c r="L11" s="1">
        <v>2.0</v>
      </c>
      <c r="M11" s="8">
        <f t="array" ref="M11">XLOOKUP($L$1,Custos!$A:$A,Custos!$B:$B)*L11</f>
        <v>10</v>
      </c>
      <c r="N11" s="4"/>
      <c r="O11" s="8">
        <f t="array" ref="O11">XLOOKUP($N$1,Custos!$A:$A,Custos!$B:$B)*N11</f>
        <v>0</v>
      </c>
      <c r="P11" s="1">
        <f t="shared" si="1"/>
        <v>4</v>
      </c>
      <c r="Q11" s="8">
        <f t="array" ref="Q11">XLOOKUP($P$1,Custos!$A:$A,Custos!$B:$B)*P11</f>
        <v>0.224</v>
      </c>
      <c r="R11" s="4"/>
      <c r="S11" s="8">
        <f t="array" ref="S11">XLOOKUP($R$1,Custos!$A:$A,Custos!$B:$B)*R11</f>
        <v>0</v>
      </c>
      <c r="T11" s="1">
        <v>15.0</v>
      </c>
      <c r="U11" s="8">
        <f t="array" ref="U11">XLOOKUP($T$1,Custos!$A:$A,Custos!$B:$B)*T11</f>
        <v>1.11</v>
      </c>
      <c r="V11" s="1">
        <v>12.0</v>
      </c>
      <c r="W11" s="8">
        <f t="array" ref="W11">XLOOKUP($V$1,Custos!$A:$A,Custos!$B:$B)*V11</f>
        <v>0.912</v>
      </c>
      <c r="X11" s="1">
        <f t="shared" si="2"/>
        <v>2</v>
      </c>
      <c r="Y11" s="8">
        <f t="array" ref="Y11">XLOOKUP($X$1,Custos!$A:$A,Custos!$B:$B)*X11</f>
        <v>0.5</v>
      </c>
      <c r="Z11" s="1">
        <v>2.0</v>
      </c>
      <c r="AA11" s="8">
        <f t="array" ref="AA11">XLOOKUP($Z$1,Custos!$A:$A,Custos!$B:$B)*Z11</f>
        <v>6</v>
      </c>
      <c r="AB11" s="1">
        <v>52.0</v>
      </c>
      <c r="AC11" s="8">
        <f t="array" ref="AC11">XLOOKUP($AB$1,Custos!$A:$A,Custos!$B:$B)*AB11</f>
        <v>208</v>
      </c>
      <c r="AD11" s="1">
        <f t="shared" si="3"/>
        <v>1.3</v>
      </c>
    </row>
    <row r="12">
      <c r="A12" s="10" t="s">
        <v>259</v>
      </c>
      <c r="B12" s="1" t="s">
        <v>243</v>
      </c>
      <c r="C12" s="1"/>
      <c r="D12" s="1">
        <v>2.0</v>
      </c>
      <c r="E12" s="10" t="s">
        <v>260</v>
      </c>
      <c r="F12" s="1">
        <v>600.0</v>
      </c>
      <c r="G12" s="8">
        <f t="array" ref="G12">XLOOKUP("branco_tx",Texturas!A:A,Texturas!F:F)*H12+M12+O12+Q12+S12+U12+W12+Y12+AA12+AC12</f>
        <v>327.216</v>
      </c>
      <c r="H12" s="4">
        <f t="array" ref="H12">XLOOKUP(A12,Pecas!A:A,Pecas!DN:DN)</f>
        <v>1.97</v>
      </c>
      <c r="I12" s="8">
        <f t="array" ref="I12">XLOOKUP("branco_tx",Custos!$A:$A,Custos!$B:$B)*H12</f>
        <v>492.5</v>
      </c>
      <c r="J12" s="4">
        <f t="array" ref="J12">XLOOKUP(A12,Pecas!A:A,Pecas!DO:DO)</f>
        <v>1.48</v>
      </c>
      <c r="K12" s="1">
        <v>1.0</v>
      </c>
      <c r="L12" s="1">
        <v>2.0</v>
      </c>
      <c r="M12" s="8">
        <f t="array" ref="M12">XLOOKUP($L$1,Custos!$A:$A,Custos!$B:$B)*L12</f>
        <v>10</v>
      </c>
      <c r="N12" s="4"/>
      <c r="O12" s="8">
        <f t="array" ref="O12">XLOOKUP($N$1,Custos!$A:$A,Custos!$B:$B)*N12</f>
        <v>0</v>
      </c>
      <c r="P12" s="1">
        <f t="shared" si="1"/>
        <v>4</v>
      </c>
      <c r="Q12" s="8">
        <f t="array" ref="Q12">XLOOKUP($P$1,Custos!$A:$A,Custos!$B:$B)*P12</f>
        <v>0.224</v>
      </c>
      <c r="R12" s="4"/>
      <c r="S12" s="8">
        <f t="array" ref="S12">XLOOKUP($R$1,Custos!$A:$A,Custos!$B:$B)*R12</f>
        <v>0</v>
      </c>
      <c r="T12" s="1">
        <v>15.0</v>
      </c>
      <c r="U12" s="8">
        <f t="array" ref="U12">XLOOKUP($T$1,Custos!$A:$A,Custos!$B:$B)*T12</f>
        <v>1.11</v>
      </c>
      <c r="V12" s="1">
        <v>12.0</v>
      </c>
      <c r="W12" s="8">
        <f t="array" ref="W12">XLOOKUP($V$1,Custos!$A:$A,Custos!$B:$B)*V12</f>
        <v>0.912</v>
      </c>
      <c r="X12" s="1">
        <f t="shared" si="2"/>
        <v>2</v>
      </c>
      <c r="Y12" s="8">
        <f t="array" ref="Y12">XLOOKUP($X$1,Custos!$A:$A,Custos!$B:$B)*X12</f>
        <v>0.5</v>
      </c>
      <c r="Z12" s="1">
        <v>2.0</v>
      </c>
      <c r="AA12" s="8">
        <f t="array" ref="AA12">XLOOKUP($Z$1,Custos!$A:$A,Custos!$B:$B)*Z12</f>
        <v>6</v>
      </c>
      <c r="AB12" s="1">
        <v>52.0</v>
      </c>
      <c r="AC12" s="8">
        <f t="array" ref="AC12">XLOOKUP($AB$1,Custos!$A:$A,Custos!$B:$B)*AB12</f>
        <v>208</v>
      </c>
      <c r="AD12" s="1">
        <f t="shared" si="3"/>
        <v>1.3</v>
      </c>
    </row>
    <row r="13">
      <c r="A13" s="10" t="s">
        <v>261</v>
      </c>
      <c r="B13" s="1" t="s">
        <v>248</v>
      </c>
      <c r="C13" s="1"/>
      <c r="D13" s="1">
        <v>3.0</v>
      </c>
      <c r="E13" s="10" t="s">
        <v>258</v>
      </c>
      <c r="F13" s="1">
        <v>600.0</v>
      </c>
      <c r="G13" s="8">
        <f t="array" ref="G13">XLOOKUP("branco_tx",Texturas!A:A,Texturas!F:F)*H13+M13+O13+Q13+S13+U13+W13+Y13+AA13+AC13</f>
        <v>327.216</v>
      </c>
      <c r="H13" s="4">
        <f t="array" ref="H13">XLOOKUP(A13,Pecas!A:A,Pecas!DN:DN)</f>
        <v>1.97</v>
      </c>
      <c r="I13" s="8">
        <f t="array" ref="I13">XLOOKUP("branco_tx",Custos!$A:$A,Custos!$B:$B)*H13</f>
        <v>492.5</v>
      </c>
      <c r="J13" s="4">
        <f t="array" ref="J13">XLOOKUP(A13,Pecas!A:A,Pecas!DO:DO)</f>
        <v>1.48</v>
      </c>
      <c r="K13" s="1">
        <v>1.0</v>
      </c>
      <c r="L13" s="1">
        <v>2.0</v>
      </c>
      <c r="M13" s="8">
        <f t="array" ref="M13">XLOOKUP($L$1,Custos!$A:$A,Custos!$B:$B)*L13</f>
        <v>10</v>
      </c>
      <c r="N13" s="4"/>
      <c r="O13" s="8">
        <f t="array" ref="O13">XLOOKUP($N$1,Custos!$A:$A,Custos!$B:$B)*N13</f>
        <v>0</v>
      </c>
      <c r="P13" s="1">
        <f t="shared" si="1"/>
        <v>4</v>
      </c>
      <c r="Q13" s="8">
        <f t="array" ref="Q13">XLOOKUP($P$1,Custos!$A:$A,Custos!$B:$B)*P13</f>
        <v>0.224</v>
      </c>
      <c r="R13" s="4"/>
      <c r="S13" s="8">
        <f t="array" ref="S13">XLOOKUP($R$1,Custos!$A:$A,Custos!$B:$B)*R13</f>
        <v>0</v>
      </c>
      <c r="T13" s="1">
        <v>15.0</v>
      </c>
      <c r="U13" s="8">
        <f t="array" ref="U13">XLOOKUP($T$1,Custos!$A:$A,Custos!$B:$B)*T13</f>
        <v>1.11</v>
      </c>
      <c r="V13" s="1">
        <v>12.0</v>
      </c>
      <c r="W13" s="8">
        <f t="array" ref="W13">XLOOKUP($V$1,Custos!$A:$A,Custos!$B:$B)*V13</f>
        <v>0.912</v>
      </c>
      <c r="X13" s="1">
        <f t="shared" si="2"/>
        <v>2</v>
      </c>
      <c r="Y13" s="8">
        <f t="array" ref="Y13">XLOOKUP($X$1,Custos!$A:$A,Custos!$B:$B)*X13</f>
        <v>0.5</v>
      </c>
      <c r="Z13" s="1">
        <v>2.0</v>
      </c>
      <c r="AA13" s="8">
        <f t="array" ref="AA13">XLOOKUP($Z$1,Custos!$A:$A,Custos!$B:$B)*Z13</f>
        <v>6</v>
      </c>
      <c r="AB13" s="1">
        <v>52.0</v>
      </c>
      <c r="AC13" s="8">
        <f t="array" ref="AC13">XLOOKUP($AB$1,Custos!$A:$A,Custos!$B:$B)*AB13</f>
        <v>208</v>
      </c>
      <c r="AD13" s="1">
        <f t="shared" si="3"/>
        <v>1.3</v>
      </c>
    </row>
    <row r="14">
      <c r="A14" s="10" t="s">
        <v>262</v>
      </c>
      <c r="B14" s="1" t="s">
        <v>248</v>
      </c>
      <c r="C14" s="1"/>
      <c r="D14" s="1">
        <v>3.0</v>
      </c>
      <c r="E14" s="10" t="s">
        <v>260</v>
      </c>
      <c r="F14" s="1">
        <v>600.0</v>
      </c>
      <c r="G14" s="8">
        <f t="array" ref="G14">XLOOKUP("branco_tx",Texturas!A:A,Texturas!F:F)*H14+M14+O14+Q14+S14+U14+W14+Y14+AA14+AC14</f>
        <v>327.216</v>
      </c>
      <c r="H14" s="4">
        <f t="array" ref="H14">XLOOKUP(A14,Pecas!A:A,Pecas!DN:DN)</f>
        <v>1.97</v>
      </c>
      <c r="I14" s="8">
        <f t="array" ref="I14">XLOOKUP("branco_tx",Custos!$A:$A,Custos!$B:$B)*H14</f>
        <v>492.5</v>
      </c>
      <c r="J14" s="4">
        <f t="array" ref="J14">XLOOKUP(A14,Pecas!A:A,Pecas!DO:DO)</f>
        <v>1.48</v>
      </c>
      <c r="K14" s="1">
        <v>1.0</v>
      </c>
      <c r="L14" s="1">
        <v>2.0</v>
      </c>
      <c r="M14" s="8">
        <f t="array" ref="M14">XLOOKUP($L$1,Custos!$A:$A,Custos!$B:$B)*L14</f>
        <v>10</v>
      </c>
      <c r="N14" s="4"/>
      <c r="O14" s="8">
        <f t="array" ref="O14">XLOOKUP($N$1,Custos!$A:$A,Custos!$B:$B)*N14</f>
        <v>0</v>
      </c>
      <c r="P14" s="1">
        <f t="shared" si="1"/>
        <v>4</v>
      </c>
      <c r="Q14" s="8">
        <f t="array" ref="Q14">XLOOKUP($P$1,Custos!$A:$A,Custos!$B:$B)*P14</f>
        <v>0.224</v>
      </c>
      <c r="R14" s="4"/>
      <c r="S14" s="8">
        <f t="array" ref="S14">XLOOKUP($R$1,Custos!$A:$A,Custos!$B:$B)*R14</f>
        <v>0</v>
      </c>
      <c r="T14" s="1">
        <v>15.0</v>
      </c>
      <c r="U14" s="8">
        <f t="array" ref="U14">XLOOKUP($T$1,Custos!$A:$A,Custos!$B:$B)*T14</f>
        <v>1.11</v>
      </c>
      <c r="V14" s="1">
        <v>12.0</v>
      </c>
      <c r="W14" s="8">
        <f t="array" ref="W14">XLOOKUP($V$1,Custos!$A:$A,Custos!$B:$B)*V14</f>
        <v>0.912</v>
      </c>
      <c r="X14" s="1">
        <f t="shared" si="2"/>
        <v>2</v>
      </c>
      <c r="Y14" s="8">
        <f t="array" ref="Y14">XLOOKUP($X$1,Custos!$A:$A,Custos!$B:$B)*X14</f>
        <v>0.5</v>
      </c>
      <c r="Z14" s="1">
        <v>2.0</v>
      </c>
      <c r="AA14" s="8">
        <f t="array" ref="AA14">XLOOKUP($Z$1,Custos!$A:$A,Custos!$B:$B)*Z14</f>
        <v>6</v>
      </c>
      <c r="AB14" s="1">
        <v>52.0</v>
      </c>
      <c r="AC14" s="8">
        <f t="array" ref="AC14">XLOOKUP($AB$1,Custos!$A:$A,Custos!$B:$B)*AB14</f>
        <v>208</v>
      </c>
      <c r="AD14" s="1">
        <f t="shared" si="3"/>
        <v>1.3</v>
      </c>
    </row>
    <row r="15">
      <c r="A15" s="10" t="s">
        <v>263</v>
      </c>
      <c r="B15" s="1" t="s">
        <v>251</v>
      </c>
      <c r="C15" s="1"/>
      <c r="D15" s="1">
        <v>4.0</v>
      </c>
      <c r="E15" s="10" t="s">
        <v>258</v>
      </c>
      <c r="F15" s="1">
        <v>600.0</v>
      </c>
      <c r="G15" s="8">
        <f t="array" ref="G15">XLOOKUP("branco_tx",Texturas!A:A,Texturas!F:F)*H15+M15+O15+Q15+S15+U15+W15+Y15+AA15+AC15</f>
        <v>327.216</v>
      </c>
      <c r="H15" s="4">
        <f t="array" ref="H15">XLOOKUP(A15,Pecas!A:A,Pecas!DN:DN)</f>
        <v>1.97</v>
      </c>
      <c r="I15" s="8">
        <f t="array" ref="I15">XLOOKUP("branco_tx",Custos!$A:$A,Custos!$B:$B)*H15</f>
        <v>492.5</v>
      </c>
      <c r="J15" s="4">
        <f t="array" ref="J15">XLOOKUP(A15,Pecas!A:A,Pecas!DO:DO)</f>
        <v>1.48</v>
      </c>
      <c r="K15" s="1">
        <v>1.0</v>
      </c>
      <c r="L15" s="1">
        <v>2.0</v>
      </c>
      <c r="M15" s="8">
        <f t="array" ref="M15">XLOOKUP($L$1,Custos!$A:$A,Custos!$B:$B)*L15</f>
        <v>10</v>
      </c>
      <c r="N15" s="4"/>
      <c r="O15" s="8">
        <f t="array" ref="O15">XLOOKUP($N$1,Custos!$A:$A,Custos!$B:$B)*N15</f>
        <v>0</v>
      </c>
      <c r="P15" s="1">
        <f t="shared" si="1"/>
        <v>4</v>
      </c>
      <c r="Q15" s="8">
        <f t="array" ref="Q15">XLOOKUP($P$1,Custos!$A:$A,Custos!$B:$B)*P15</f>
        <v>0.224</v>
      </c>
      <c r="R15" s="4"/>
      <c r="S15" s="8">
        <f t="array" ref="S15">XLOOKUP($R$1,Custos!$A:$A,Custos!$B:$B)*R15</f>
        <v>0</v>
      </c>
      <c r="T15" s="1">
        <v>15.0</v>
      </c>
      <c r="U15" s="8">
        <f t="array" ref="U15">XLOOKUP($T$1,Custos!$A:$A,Custos!$B:$B)*T15</f>
        <v>1.11</v>
      </c>
      <c r="V15" s="1">
        <v>12.0</v>
      </c>
      <c r="W15" s="8">
        <f t="array" ref="W15">XLOOKUP($V$1,Custos!$A:$A,Custos!$B:$B)*V15</f>
        <v>0.912</v>
      </c>
      <c r="X15" s="1">
        <f t="shared" si="2"/>
        <v>2</v>
      </c>
      <c r="Y15" s="8">
        <f t="array" ref="Y15">XLOOKUP($X$1,Custos!$A:$A,Custos!$B:$B)*X15</f>
        <v>0.5</v>
      </c>
      <c r="Z15" s="1">
        <v>2.0</v>
      </c>
      <c r="AA15" s="8">
        <f t="array" ref="AA15">XLOOKUP($Z$1,Custos!$A:$A,Custos!$B:$B)*Z15</f>
        <v>6</v>
      </c>
      <c r="AB15" s="1">
        <v>52.0</v>
      </c>
      <c r="AC15" s="8">
        <f t="array" ref="AC15">XLOOKUP($AB$1,Custos!$A:$A,Custos!$B:$B)*AB15</f>
        <v>208</v>
      </c>
      <c r="AD15" s="1">
        <f t="shared" si="3"/>
        <v>1.3</v>
      </c>
    </row>
    <row r="16">
      <c r="A16" s="10" t="s">
        <v>264</v>
      </c>
      <c r="B16" s="1" t="s">
        <v>251</v>
      </c>
      <c r="C16" s="1" t="s">
        <v>7</v>
      </c>
      <c r="D16" s="1">
        <v>4.0</v>
      </c>
      <c r="E16" s="10" t="s">
        <v>260</v>
      </c>
      <c r="F16" s="1">
        <v>600.0</v>
      </c>
      <c r="G16" s="8">
        <f t="array" ref="G16">XLOOKUP("branco_tx",Texturas!A:A,Texturas!F:F)*H16+M16+O16+Q16+S16+U16+W16+Y16+AA16+AC16</f>
        <v>327.216</v>
      </c>
      <c r="H16" s="4">
        <f t="array" ref="H16">XLOOKUP(A16,Pecas!A:A,Pecas!DN:DN)</f>
        <v>1.97</v>
      </c>
      <c r="I16" s="8">
        <f t="array" ref="I16">XLOOKUP("branco_tx",Custos!$A:$A,Custos!$B:$B)*H16</f>
        <v>492.5</v>
      </c>
      <c r="J16" s="4">
        <f t="array" ref="J16">XLOOKUP(A16,Pecas!A:A,Pecas!DO:DO)</f>
        <v>1.48</v>
      </c>
      <c r="K16" s="1">
        <v>1.0</v>
      </c>
      <c r="L16" s="1">
        <v>2.0</v>
      </c>
      <c r="M16" s="8">
        <f t="array" ref="M16">XLOOKUP($L$1,Custos!$A:$A,Custos!$B:$B)*L16</f>
        <v>10</v>
      </c>
      <c r="N16" s="4"/>
      <c r="O16" s="8">
        <f t="array" ref="O16">XLOOKUP($N$1,Custos!$A:$A,Custos!$B:$B)*N16</f>
        <v>0</v>
      </c>
      <c r="P16" s="1">
        <f t="shared" si="1"/>
        <v>4</v>
      </c>
      <c r="Q16" s="8">
        <f t="array" ref="Q16">XLOOKUP($P$1,Custos!$A:$A,Custos!$B:$B)*P16</f>
        <v>0.224</v>
      </c>
      <c r="R16" s="4"/>
      <c r="S16" s="8">
        <f t="array" ref="S16">XLOOKUP($R$1,Custos!$A:$A,Custos!$B:$B)*R16</f>
        <v>0</v>
      </c>
      <c r="T16" s="1">
        <v>15.0</v>
      </c>
      <c r="U16" s="8">
        <f t="array" ref="U16">XLOOKUP($T$1,Custos!$A:$A,Custos!$B:$B)*T16</f>
        <v>1.11</v>
      </c>
      <c r="V16" s="1">
        <v>12.0</v>
      </c>
      <c r="W16" s="8">
        <f t="array" ref="W16">XLOOKUP($V$1,Custos!$A:$A,Custos!$B:$B)*V16</f>
        <v>0.912</v>
      </c>
      <c r="X16" s="1">
        <f t="shared" si="2"/>
        <v>2</v>
      </c>
      <c r="Y16" s="8">
        <f t="array" ref="Y16">XLOOKUP($X$1,Custos!$A:$A,Custos!$B:$B)*X16</f>
        <v>0.5</v>
      </c>
      <c r="Z16" s="1">
        <v>2.0</v>
      </c>
      <c r="AA16" s="8">
        <f t="array" ref="AA16">XLOOKUP($Z$1,Custos!$A:$A,Custos!$B:$B)*Z16</f>
        <v>6</v>
      </c>
      <c r="AB16" s="1">
        <v>52.0</v>
      </c>
      <c r="AC16" s="8">
        <f t="array" ref="AC16">XLOOKUP($AB$1,Custos!$A:$A,Custos!$B:$B)*AB16</f>
        <v>208</v>
      </c>
      <c r="AD16" s="1">
        <f t="shared" si="3"/>
        <v>1.3</v>
      </c>
    </row>
    <row r="17">
      <c r="A17" s="10" t="s">
        <v>265</v>
      </c>
      <c r="B17" s="11" t="s">
        <v>254</v>
      </c>
      <c r="C17" s="1"/>
      <c r="D17" s="1">
        <v>5.0</v>
      </c>
      <c r="E17" s="10" t="s">
        <v>256</v>
      </c>
      <c r="F17" s="1">
        <v>600.0</v>
      </c>
      <c r="G17" s="8">
        <f t="array" ref="G17">XLOOKUP("branco_tx",Texturas!A:A,Texturas!F:F)*H17+M17+O17+Q17+S17+U17+W17+Y17+AA17+AC17</f>
        <v>327.216</v>
      </c>
      <c r="H17" s="4">
        <f t="array" ref="H17">XLOOKUP(A17,Pecas!A:A,Pecas!DN:DN)</f>
        <v>1.97</v>
      </c>
      <c r="I17" s="8">
        <f t="array" ref="I17">XLOOKUP("branco_tx",Custos!$A:$A,Custos!$B:$B)*H17</f>
        <v>492.5</v>
      </c>
      <c r="J17" s="4">
        <f t="array" ref="J17">XLOOKUP(A17,Pecas!A:A,Pecas!DO:DO)</f>
        <v>1.48</v>
      </c>
      <c r="K17" s="1">
        <v>1.0</v>
      </c>
      <c r="L17" s="1">
        <v>2.0</v>
      </c>
      <c r="M17" s="8">
        <f t="array" ref="M17">XLOOKUP($L$1,Custos!$A:$A,Custos!$B:$B)*L17</f>
        <v>10</v>
      </c>
      <c r="N17" s="4"/>
      <c r="O17" s="8">
        <f t="array" ref="O17">XLOOKUP($N$1,Custos!$A:$A,Custos!$B:$B)*N17</f>
        <v>0</v>
      </c>
      <c r="P17" s="1">
        <f t="shared" si="1"/>
        <v>4</v>
      </c>
      <c r="Q17" s="8">
        <f t="array" ref="Q17">XLOOKUP($P$1,Custos!$A:$A,Custos!$B:$B)*P17</f>
        <v>0.224</v>
      </c>
      <c r="R17" s="4"/>
      <c r="S17" s="8">
        <f t="array" ref="S17">XLOOKUP($R$1,Custos!$A:$A,Custos!$B:$B)*R17</f>
        <v>0</v>
      </c>
      <c r="T17" s="1">
        <v>15.0</v>
      </c>
      <c r="U17" s="8">
        <f t="array" ref="U17">XLOOKUP($T$1,Custos!$A:$A,Custos!$B:$B)*T17</f>
        <v>1.11</v>
      </c>
      <c r="V17" s="1">
        <v>12.0</v>
      </c>
      <c r="W17" s="8">
        <f t="array" ref="W17">XLOOKUP($V$1,Custos!$A:$A,Custos!$B:$B)*V17</f>
        <v>0.912</v>
      </c>
      <c r="X17" s="1">
        <f t="shared" si="2"/>
        <v>2</v>
      </c>
      <c r="Y17" s="8">
        <f t="array" ref="Y17">XLOOKUP($X$1,Custos!$A:$A,Custos!$B:$B)*X17</f>
        <v>0.5</v>
      </c>
      <c r="Z17" s="1">
        <v>2.0</v>
      </c>
      <c r="AA17" s="8">
        <f t="array" ref="AA17">XLOOKUP($Z$1,Custos!$A:$A,Custos!$B:$B)*Z17</f>
        <v>6</v>
      </c>
      <c r="AB17" s="1">
        <v>52.0</v>
      </c>
      <c r="AC17" s="8">
        <f t="array" ref="AC17">XLOOKUP($AB$1,Custos!$A:$A,Custos!$B:$B)*AB17</f>
        <v>208</v>
      </c>
      <c r="AD17" s="1">
        <f t="shared" si="3"/>
        <v>1.3</v>
      </c>
    </row>
    <row r="18">
      <c r="A18" s="10" t="s">
        <v>266</v>
      </c>
      <c r="B18" s="11" t="s">
        <v>240</v>
      </c>
      <c r="C18" s="4"/>
      <c r="D18" s="1">
        <v>1.0</v>
      </c>
      <c r="E18" s="10" t="s">
        <v>267</v>
      </c>
      <c r="F18" s="1">
        <v>600.0</v>
      </c>
      <c r="G18" s="8">
        <f t="array" ref="G18">XLOOKUP("branco_tx",Texturas!A:A,Texturas!F:F)*H18+M18+O18+Q18+S18+U18+W18+Y18+AA18+AC18</f>
        <v>628.75</v>
      </c>
      <c r="H18" s="4">
        <f t="array" ref="H18">XLOOKUP(A18,Pecas!A:A,Pecas!DN:DN)</f>
        <v>3.84</v>
      </c>
      <c r="I18" s="8">
        <f t="array" ref="I18">XLOOKUP("branco_tx",Custos!$A:$A,Custos!$B:$B)*H18</f>
        <v>960</v>
      </c>
      <c r="J18" s="4">
        <f t="array" ref="J18">XLOOKUP(A18,Pecas!A:A,Pecas!DO:DO)</f>
        <v>2.74</v>
      </c>
      <c r="K18" s="1">
        <v>2.0</v>
      </c>
      <c r="L18" s="1">
        <v>4.0</v>
      </c>
      <c r="M18" s="8">
        <f t="array" ref="M18">XLOOKUP($L$1,Custos!$A:$A,Custos!$B:$B)*L18</f>
        <v>20</v>
      </c>
      <c r="N18" s="1">
        <v>4.0</v>
      </c>
      <c r="O18" s="8">
        <f t="array" ref="O18">XLOOKUP($N$1,Custos!$A:$A,Custos!$B:$B)*N18</f>
        <v>80</v>
      </c>
      <c r="P18" s="1">
        <f t="shared" si="1"/>
        <v>32</v>
      </c>
      <c r="Q18" s="8">
        <f t="array" ref="Q18">XLOOKUP($P$1,Custos!$A:$A,Custos!$B:$B)*P18</f>
        <v>1.792</v>
      </c>
      <c r="R18" s="4"/>
      <c r="S18" s="8">
        <f t="array" ref="S18">XLOOKUP($R$1,Custos!$A:$A,Custos!$B:$B)*R18</f>
        <v>0</v>
      </c>
      <c r="T18" s="4"/>
      <c r="U18" s="8">
        <f t="array" ref="U18">XLOOKUP($T$1,Custos!$A:$A,Custos!$B:$B)*T18</f>
        <v>0</v>
      </c>
      <c r="V18" s="1">
        <v>18.0</v>
      </c>
      <c r="W18" s="8">
        <f t="array" ref="W18">XLOOKUP($V$1,Custos!$A:$A,Custos!$B:$B)*V18</f>
        <v>1.368</v>
      </c>
      <c r="X18" s="1">
        <f t="shared" si="2"/>
        <v>3</v>
      </c>
      <c r="Y18" s="8">
        <f t="array" ref="Y18">XLOOKUP($X$1,Custos!$A:$A,Custos!$B:$B)*X18</f>
        <v>0.75</v>
      </c>
      <c r="Z18" s="1">
        <v>3.0</v>
      </c>
      <c r="AA18" s="8">
        <f t="array" ref="AA18">XLOOKUP($Z$1,Custos!$A:$A,Custos!$B:$B)*Z18</f>
        <v>9</v>
      </c>
      <c r="AB18" s="1">
        <v>80.0</v>
      </c>
      <c r="AC18" s="8">
        <f t="array" ref="AC18">XLOOKUP($AB$1,Custos!$A:$A,Custos!$B:$B)*AB18</f>
        <v>320</v>
      </c>
      <c r="AD18" s="1">
        <f t="shared" si="3"/>
        <v>1.3</v>
      </c>
    </row>
    <row r="19">
      <c r="A19" s="10" t="s">
        <v>268</v>
      </c>
      <c r="B19" s="1" t="s">
        <v>243</v>
      </c>
      <c r="C19" s="4"/>
      <c r="D19" s="1">
        <v>2.0</v>
      </c>
      <c r="E19" s="10" t="s">
        <v>267</v>
      </c>
      <c r="F19" s="1">
        <v>600.0</v>
      </c>
      <c r="G19" s="8">
        <f t="array" ref="G19">XLOOKUP("branco_tx",Texturas!A:A,Texturas!F:F)*H19+M19+O19+Q19+S19+U19+W19+Y19+AA19+AC19</f>
        <v>628.75</v>
      </c>
      <c r="H19" s="4">
        <f t="array" ref="H19">XLOOKUP(A19,Pecas!A:A,Pecas!DN:DN)</f>
        <v>3.84</v>
      </c>
      <c r="I19" s="8">
        <f t="array" ref="I19">XLOOKUP("branco_tx",Custos!$A:$A,Custos!$B:$B)*H19</f>
        <v>960</v>
      </c>
      <c r="J19" s="4">
        <f t="array" ref="J19">XLOOKUP(A19,Pecas!A:A,Pecas!DO:DO)</f>
        <v>2.74</v>
      </c>
      <c r="K19" s="1">
        <v>2.0</v>
      </c>
      <c r="L19" s="1">
        <v>4.0</v>
      </c>
      <c r="M19" s="8">
        <f t="array" ref="M19">XLOOKUP($L$1,Custos!$A:$A,Custos!$B:$B)*L19</f>
        <v>20</v>
      </c>
      <c r="N19" s="1">
        <v>4.0</v>
      </c>
      <c r="O19" s="8">
        <f t="array" ref="O19">XLOOKUP($N$1,Custos!$A:$A,Custos!$B:$B)*N19</f>
        <v>80</v>
      </c>
      <c r="P19" s="1">
        <f t="shared" si="1"/>
        <v>32</v>
      </c>
      <c r="Q19" s="8">
        <f t="array" ref="Q19">XLOOKUP($P$1,Custos!$A:$A,Custos!$B:$B)*P19</f>
        <v>1.792</v>
      </c>
      <c r="R19" s="4"/>
      <c r="S19" s="8">
        <f t="array" ref="S19">XLOOKUP($R$1,Custos!$A:$A,Custos!$B:$B)*R19</f>
        <v>0</v>
      </c>
      <c r="T19" s="4"/>
      <c r="U19" s="8">
        <f t="array" ref="U19">XLOOKUP($T$1,Custos!$A:$A,Custos!$B:$B)*T19</f>
        <v>0</v>
      </c>
      <c r="V19" s="1">
        <v>18.0</v>
      </c>
      <c r="W19" s="8">
        <f t="array" ref="W19">XLOOKUP($V$1,Custos!$A:$A,Custos!$B:$B)*V19</f>
        <v>1.368</v>
      </c>
      <c r="X19" s="1">
        <f t="shared" si="2"/>
        <v>3</v>
      </c>
      <c r="Y19" s="8">
        <f t="array" ref="Y19">XLOOKUP($X$1,Custos!$A:$A,Custos!$B:$B)*X19</f>
        <v>0.75</v>
      </c>
      <c r="Z19" s="1">
        <v>3.0</v>
      </c>
      <c r="AA19" s="8">
        <f t="array" ref="AA19">XLOOKUP($Z$1,Custos!$A:$A,Custos!$B:$B)*Z19</f>
        <v>9</v>
      </c>
      <c r="AB19" s="1">
        <v>80.0</v>
      </c>
      <c r="AC19" s="8">
        <f t="array" ref="AC19">XLOOKUP($AB$1,Custos!$A:$A,Custos!$B:$B)*AB19</f>
        <v>320</v>
      </c>
      <c r="AD19" s="1">
        <f t="shared" si="3"/>
        <v>1.3</v>
      </c>
    </row>
    <row r="20">
      <c r="A20" s="10" t="s">
        <v>269</v>
      </c>
      <c r="B20" s="1" t="s">
        <v>248</v>
      </c>
      <c r="C20" s="4"/>
      <c r="D20" s="1">
        <v>3.0</v>
      </c>
      <c r="E20" s="10" t="s">
        <v>267</v>
      </c>
      <c r="F20" s="1">
        <v>600.0</v>
      </c>
      <c r="G20" s="8">
        <f t="array" ref="G20">XLOOKUP("branco_tx",Texturas!A:A,Texturas!F:F)*H20+M20+O20+Q20+S20+U20+W20+Y20+AA20+AC20</f>
        <v>628.75</v>
      </c>
      <c r="H20" s="4">
        <f t="array" ref="H20">XLOOKUP(A20,Pecas!A:A,Pecas!DN:DN)</f>
        <v>3.84</v>
      </c>
      <c r="I20" s="8">
        <f t="array" ref="I20">XLOOKUP("branco_tx",Custos!$A:$A,Custos!$B:$B)*H20</f>
        <v>960</v>
      </c>
      <c r="J20" s="4">
        <f t="array" ref="J20">XLOOKUP(A20,Pecas!A:A,Pecas!DO:DO)</f>
        <v>2.74</v>
      </c>
      <c r="K20" s="1">
        <v>2.0</v>
      </c>
      <c r="L20" s="1">
        <v>4.0</v>
      </c>
      <c r="M20" s="8">
        <f t="array" ref="M20">XLOOKUP($L$1,Custos!$A:$A,Custos!$B:$B)*L20</f>
        <v>20</v>
      </c>
      <c r="N20" s="1">
        <v>4.0</v>
      </c>
      <c r="O20" s="8">
        <f t="array" ref="O20">XLOOKUP($N$1,Custos!$A:$A,Custos!$B:$B)*N20</f>
        <v>80</v>
      </c>
      <c r="P20" s="1">
        <f t="shared" si="1"/>
        <v>32</v>
      </c>
      <c r="Q20" s="8">
        <f t="array" ref="Q20">XLOOKUP($P$1,Custos!$A:$A,Custos!$B:$B)*P20</f>
        <v>1.792</v>
      </c>
      <c r="R20" s="4"/>
      <c r="S20" s="8">
        <f t="array" ref="S20">XLOOKUP($R$1,Custos!$A:$A,Custos!$B:$B)*R20</f>
        <v>0</v>
      </c>
      <c r="T20" s="4"/>
      <c r="U20" s="8">
        <f t="array" ref="U20">XLOOKUP($T$1,Custos!$A:$A,Custos!$B:$B)*T20</f>
        <v>0</v>
      </c>
      <c r="V20" s="1">
        <v>18.0</v>
      </c>
      <c r="W20" s="8">
        <f t="array" ref="W20">XLOOKUP($V$1,Custos!$A:$A,Custos!$B:$B)*V20</f>
        <v>1.368</v>
      </c>
      <c r="X20" s="1">
        <f t="shared" si="2"/>
        <v>3</v>
      </c>
      <c r="Y20" s="8">
        <f t="array" ref="Y20">XLOOKUP($X$1,Custos!$A:$A,Custos!$B:$B)*X20</f>
        <v>0.75</v>
      </c>
      <c r="Z20" s="1">
        <v>3.0</v>
      </c>
      <c r="AA20" s="8">
        <f t="array" ref="AA20">XLOOKUP($Z$1,Custos!$A:$A,Custos!$B:$B)*Z20</f>
        <v>9</v>
      </c>
      <c r="AB20" s="1">
        <v>80.0</v>
      </c>
      <c r="AC20" s="8">
        <f t="array" ref="AC20">XLOOKUP($AB$1,Custos!$A:$A,Custos!$B:$B)*AB20</f>
        <v>320</v>
      </c>
      <c r="AD20" s="1">
        <f t="shared" si="3"/>
        <v>1.3</v>
      </c>
    </row>
    <row r="21">
      <c r="A21" s="10" t="s">
        <v>270</v>
      </c>
      <c r="B21" s="1" t="s">
        <v>251</v>
      </c>
      <c r="C21" s="4"/>
      <c r="D21" s="1">
        <v>4.0</v>
      </c>
      <c r="E21" s="10" t="s">
        <v>267</v>
      </c>
      <c r="F21" s="1">
        <v>600.0</v>
      </c>
      <c r="G21" s="8">
        <f t="array" ref="G21">XLOOKUP("branco_tx",Texturas!A:A,Texturas!F:F)*H21+M21+O21+Q21+S21+U21+W21+Y21+AA21+AC21</f>
        <v>628.75</v>
      </c>
      <c r="H21" s="4">
        <f t="array" ref="H21">XLOOKUP(A21,Pecas!A:A,Pecas!DN:DN)</f>
        <v>3.84</v>
      </c>
      <c r="I21" s="8">
        <f t="array" ref="I21">XLOOKUP("branco_tx",Custos!$A:$A,Custos!$B:$B)*H21</f>
        <v>960</v>
      </c>
      <c r="J21" s="4">
        <f t="array" ref="J21">XLOOKUP(A21,Pecas!A:A,Pecas!DO:DO)</f>
        <v>2.74</v>
      </c>
      <c r="K21" s="1">
        <v>2.0</v>
      </c>
      <c r="L21" s="1">
        <v>4.0</v>
      </c>
      <c r="M21" s="8">
        <f t="array" ref="M21">XLOOKUP($L$1,Custos!$A:$A,Custos!$B:$B)*L21</f>
        <v>20</v>
      </c>
      <c r="N21" s="1">
        <v>4.0</v>
      </c>
      <c r="O21" s="8">
        <f t="array" ref="O21">XLOOKUP($N$1,Custos!$A:$A,Custos!$B:$B)*N21</f>
        <v>80</v>
      </c>
      <c r="P21" s="1">
        <f t="shared" si="1"/>
        <v>32</v>
      </c>
      <c r="Q21" s="8">
        <f t="array" ref="Q21">XLOOKUP($P$1,Custos!$A:$A,Custos!$B:$B)*P21</f>
        <v>1.792</v>
      </c>
      <c r="R21" s="4"/>
      <c r="S21" s="8">
        <f t="array" ref="S21">XLOOKUP($R$1,Custos!$A:$A,Custos!$B:$B)*R21</f>
        <v>0</v>
      </c>
      <c r="T21" s="4"/>
      <c r="U21" s="8">
        <f t="array" ref="U21">XLOOKUP($T$1,Custos!$A:$A,Custos!$B:$B)*T21</f>
        <v>0</v>
      </c>
      <c r="V21" s="1">
        <v>18.0</v>
      </c>
      <c r="W21" s="8">
        <f t="array" ref="W21">XLOOKUP($V$1,Custos!$A:$A,Custos!$B:$B)*V21</f>
        <v>1.368</v>
      </c>
      <c r="X21" s="1">
        <f t="shared" si="2"/>
        <v>3</v>
      </c>
      <c r="Y21" s="8">
        <f t="array" ref="Y21">XLOOKUP($X$1,Custos!$A:$A,Custos!$B:$B)*X21</f>
        <v>0.75</v>
      </c>
      <c r="Z21" s="1">
        <v>3.0</v>
      </c>
      <c r="AA21" s="8">
        <f t="array" ref="AA21">XLOOKUP($Z$1,Custos!$A:$A,Custos!$B:$B)*Z21</f>
        <v>9</v>
      </c>
      <c r="AB21" s="1">
        <v>80.0</v>
      </c>
      <c r="AC21" s="8">
        <f t="array" ref="AC21">XLOOKUP($AB$1,Custos!$A:$A,Custos!$B:$B)*AB21</f>
        <v>320</v>
      </c>
      <c r="AD21" s="1">
        <f t="shared" si="3"/>
        <v>1.3</v>
      </c>
    </row>
    <row r="22">
      <c r="A22" s="10" t="s">
        <v>271</v>
      </c>
      <c r="B22" s="11" t="s">
        <v>254</v>
      </c>
      <c r="C22" s="4"/>
      <c r="D22" s="1">
        <v>5.0</v>
      </c>
      <c r="E22" s="10" t="s">
        <v>267</v>
      </c>
      <c r="F22" s="1">
        <v>600.0</v>
      </c>
      <c r="G22" s="8">
        <f t="array" ref="G22">XLOOKUP("branco_tx",Texturas!A:A,Texturas!F:F)*H22+M22+O22+Q22+S22+U22+W22+Y22+AA22+AC22</f>
        <v>628.75</v>
      </c>
      <c r="H22" s="4">
        <f t="array" ref="H22">XLOOKUP(A22,Pecas!A:A,Pecas!DN:DN)</f>
        <v>3.84</v>
      </c>
      <c r="I22" s="8">
        <f t="array" ref="I22">XLOOKUP("branco_tx",Custos!$A:$A,Custos!$B:$B)*H22</f>
        <v>960</v>
      </c>
      <c r="J22" s="4">
        <f t="array" ref="J22">XLOOKUP(A22,Pecas!A:A,Pecas!DO:DO)</f>
        <v>2.74</v>
      </c>
      <c r="K22" s="1">
        <v>2.0</v>
      </c>
      <c r="L22" s="1">
        <v>4.0</v>
      </c>
      <c r="M22" s="8">
        <f t="array" ref="M22">XLOOKUP($L$1,Custos!$A:$A,Custos!$B:$B)*L22</f>
        <v>20</v>
      </c>
      <c r="N22" s="1">
        <v>4.0</v>
      </c>
      <c r="O22" s="8">
        <f t="array" ref="O22">XLOOKUP($N$1,Custos!$A:$A,Custos!$B:$B)*N22</f>
        <v>80</v>
      </c>
      <c r="P22" s="1">
        <f t="shared" si="1"/>
        <v>32</v>
      </c>
      <c r="Q22" s="8">
        <f t="array" ref="Q22">XLOOKUP($P$1,Custos!$A:$A,Custos!$B:$B)*P22</f>
        <v>1.792</v>
      </c>
      <c r="R22" s="4"/>
      <c r="S22" s="8">
        <f t="array" ref="S22">XLOOKUP($R$1,Custos!$A:$A,Custos!$B:$B)*R22</f>
        <v>0</v>
      </c>
      <c r="T22" s="4"/>
      <c r="U22" s="8">
        <f t="array" ref="U22">XLOOKUP($T$1,Custos!$A:$A,Custos!$B:$B)*T22</f>
        <v>0</v>
      </c>
      <c r="V22" s="1">
        <v>18.0</v>
      </c>
      <c r="W22" s="8">
        <f t="array" ref="W22">XLOOKUP($V$1,Custos!$A:$A,Custos!$B:$B)*V22</f>
        <v>1.368</v>
      </c>
      <c r="X22" s="1">
        <f t="shared" si="2"/>
        <v>3</v>
      </c>
      <c r="Y22" s="8">
        <f t="array" ref="Y22">XLOOKUP($X$1,Custos!$A:$A,Custos!$B:$B)*X22</f>
        <v>0.75</v>
      </c>
      <c r="Z22" s="1">
        <v>3.0</v>
      </c>
      <c r="AA22" s="8">
        <f t="array" ref="AA22">XLOOKUP($Z$1,Custos!$A:$A,Custos!$B:$B)*Z22</f>
        <v>9</v>
      </c>
      <c r="AB22" s="1">
        <v>80.0</v>
      </c>
      <c r="AC22" s="8">
        <f t="array" ref="AC22">XLOOKUP($AB$1,Custos!$A:$A,Custos!$B:$B)*AB22</f>
        <v>320</v>
      </c>
      <c r="AD22" s="1">
        <f t="shared" si="3"/>
        <v>1.3</v>
      </c>
    </row>
    <row r="23">
      <c r="A23" s="10" t="s">
        <v>272</v>
      </c>
      <c r="B23" s="11" t="s">
        <v>240</v>
      </c>
      <c r="C23" s="1" t="s">
        <v>7</v>
      </c>
      <c r="D23" s="1">
        <v>1.0</v>
      </c>
      <c r="E23" s="10" t="s">
        <v>273</v>
      </c>
      <c r="F23" s="1">
        <v>600.0</v>
      </c>
      <c r="G23" s="8">
        <f t="array" ref="G23">XLOOKUP("branco_tx",Texturas!A:A,Texturas!F:F)*H23+M23+O23+Q23+S23+U23+W23+Y23+AA23+AC23</f>
        <v>299.882</v>
      </c>
      <c r="H23" s="4">
        <f t="array" ref="H23">XLOOKUP(A23,Pecas!A:A,Pecas!DN:DN)</f>
        <v>1.97</v>
      </c>
      <c r="I23" s="8">
        <f t="array" ref="I23">XLOOKUP("branco_tx",Custos!$A:$A,Custos!$B:$B)*H23</f>
        <v>492.5</v>
      </c>
      <c r="J23" s="4">
        <f t="array" ref="J23">XLOOKUP(A23,Pecas!A:A,Pecas!DO:DO)</f>
        <v>1.48</v>
      </c>
      <c r="K23" s="4"/>
      <c r="L23" s="4"/>
      <c r="M23" s="8">
        <f t="array" ref="M23">XLOOKUP($L$1,Custos!$A:$A,Custos!$B:$B)*L23</f>
        <v>0</v>
      </c>
      <c r="N23" s="4"/>
      <c r="O23" s="8">
        <f t="array" ref="O23">XLOOKUP($N$1,Custos!$A:$A,Custos!$B:$B)*N23</f>
        <v>0</v>
      </c>
      <c r="P23" s="1">
        <f t="shared" si="1"/>
        <v>0</v>
      </c>
      <c r="Q23" s="8">
        <f t="array" ref="Q23">XLOOKUP($P$1,Custos!$A:$A,Custos!$B:$B)*P23</f>
        <v>0</v>
      </c>
      <c r="R23" s="4"/>
      <c r="S23" s="8">
        <f t="array" ref="S23">XLOOKUP($R$1,Custos!$A:$A,Custos!$B:$B)*R23</f>
        <v>0</v>
      </c>
      <c r="T23" s="4"/>
      <c r="U23" s="8">
        <f t="array" ref="U23">XLOOKUP($T$1,Custos!$A:$A,Custos!$B:$B)*T23</f>
        <v>0</v>
      </c>
      <c r="V23" s="1">
        <v>12.0</v>
      </c>
      <c r="W23" s="8">
        <f t="array" ref="W23">XLOOKUP($V$1,Custos!$A:$A,Custos!$B:$B)*V23</f>
        <v>0.912</v>
      </c>
      <c r="X23" s="1">
        <f t="shared" si="2"/>
        <v>2</v>
      </c>
      <c r="Y23" s="8">
        <f t="array" ref="Y23">XLOOKUP($X$1,Custos!$A:$A,Custos!$B:$B)*X23</f>
        <v>0.5</v>
      </c>
      <c r="Z23" s="1">
        <v>2.0</v>
      </c>
      <c r="AA23" s="8">
        <f t="array" ref="AA23">XLOOKUP($Z$1,Custos!$A:$A,Custos!$B:$B)*Z23</f>
        <v>6</v>
      </c>
      <c r="AB23" s="1">
        <v>48.0</v>
      </c>
      <c r="AC23" s="8">
        <f t="array" ref="AC23">XLOOKUP($AB$1,Custos!$A:$A,Custos!$B:$B)*AB23</f>
        <v>192</v>
      </c>
      <c r="AD23" s="1">
        <f t="shared" si="3"/>
        <v>1.3</v>
      </c>
    </row>
    <row r="24">
      <c r="A24" s="10" t="s">
        <v>274</v>
      </c>
      <c r="B24" s="1" t="s">
        <v>243</v>
      </c>
      <c r="C24" s="4"/>
      <c r="D24" s="1">
        <v>2.0</v>
      </c>
      <c r="E24" s="10" t="s">
        <v>273</v>
      </c>
      <c r="F24" s="1">
        <v>600.0</v>
      </c>
      <c r="G24" s="8">
        <f t="array" ref="G24">XLOOKUP("branco_tx",Texturas!A:A,Texturas!F:F)*H24+M24+O24+Q24+S24+U24+W24+Y24+AA24+AC24</f>
        <v>299.882</v>
      </c>
      <c r="H24" s="4">
        <f t="array" ref="H24">XLOOKUP(A24,Pecas!A:A,Pecas!DN:DN)</f>
        <v>1.97</v>
      </c>
      <c r="I24" s="8">
        <f t="array" ref="I24">XLOOKUP("branco_tx",Custos!$A:$A,Custos!$B:$B)*H24</f>
        <v>492.5</v>
      </c>
      <c r="J24" s="4">
        <f t="array" ref="J24">XLOOKUP(A24,Pecas!A:A,Pecas!DO:DO)</f>
        <v>1.48</v>
      </c>
      <c r="K24" s="4"/>
      <c r="L24" s="4"/>
      <c r="M24" s="8">
        <f t="array" ref="M24">XLOOKUP($L$1,Custos!$A:$A,Custos!$B:$B)*L24</f>
        <v>0</v>
      </c>
      <c r="N24" s="4"/>
      <c r="O24" s="8">
        <f t="array" ref="O24">XLOOKUP($N$1,Custos!$A:$A,Custos!$B:$B)*N24</f>
        <v>0</v>
      </c>
      <c r="P24" s="1">
        <f t="shared" si="1"/>
        <v>0</v>
      </c>
      <c r="Q24" s="8">
        <f t="array" ref="Q24">XLOOKUP($P$1,Custos!$A:$A,Custos!$B:$B)*P24</f>
        <v>0</v>
      </c>
      <c r="R24" s="4"/>
      <c r="S24" s="8">
        <f t="array" ref="S24">XLOOKUP($R$1,Custos!$A:$A,Custos!$B:$B)*R24</f>
        <v>0</v>
      </c>
      <c r="T24" s="4"/>
      <c r="U24" s="8">
        <f t="array" ref="U24">XLOOKUP($T$1,Custos!$A:$A,Custos!$B:$B)*T24</f>
        <v>0</v>
      </c>
      <c r="V24" s="1">
        <v>12.0</v>
      </c>
      <c r="W24" s="8">
        <f t="array" ref="W24">XLOOKUP($V$1,Custos!$A:$A,Custos!$B:$B)*V24</f>
        <v>0.912</v>
      </c>
      <c r="X24" s="1">
        <f t="shared" si="2"/>
        <v>2</v>
      </c>
      <c r="Y24" s="8">
        <f t="array" ref="Y24">XLOOKUP($X$1,Custos!$A:$A,Custos!$B:$B)*X24</f>
        <v>0.5</v>
      </c>
      <c r="Z24" s="1">
        <v>2.0</v>
      </c>
      <c r="AA24" s="8">
        <f t="array" ref="AA24">XLOOKUP($Z$1,Custos!$A:$A,Custos!$B:$B)*Z24</f>
        <v>6</v>
      </c>
      <c r="AB24" s="1">
        <v>48.0</v>
      </c>
      <c r="AC24" s="8">
        <f t="array" ref="AC24">XLOOKUP($AB$1,Custos!$A:$A,Custos!$B:$B)*AB24</f>
        <v>192</v>
      </c>
      <c r="AD24" s="1">
        <f t="shared" si="3"/>
        <v>1.3</v>
      </c>
    </row>
    <row r="25">
      <c r="A25" s="10" t="s">
        <v>275</v>
      </c>
      <c r="B25" s="1" t="s">
        <v>248</v>
      </c>
      <c r="C25" s="4"/>
      <c r="D25" s="1">
        <v>3.0</v>
      </c>
      <c r="E25" s="10" t="s">
        <v>273</v>
      </c>
      <c r="F25" s="1">
        <v>600.0</v>
      </c>
      <c r="G25" s="8">
        <f t="array" ref="G25">XLOOKUP("branco_tx",Texturas!A:A,Texturas!F:F)*H25+M25+O25+Q25+S25+U25+W25+Y25+AA25+AC25</f>
        <v>299.882</v>
      </c>
      <c r="H25" s="4">
        <f t="array" ref="H25">XLOOKUP(A25,Pecas!A:A,Pecas!DN:DN)</f>
        <v>1.97</v>
      </c>
      <c r="I25" s="8">
        <f t="array" ref="I25">XLOOKUP("branco_tx",Custos!$A:$A,Custos!$B:$B)*H25</f>
        <v>492.5</v>
      </c>
      <c r="J25" s="4">
        <f t="array" ref="J25">XLOOKUP(A25,Pecas!A:A,Pecas!DO:DO)</f>
        <v>1.48</v>
      </c>
      <c r="K25" s="4"/>
      <c r="L25" s="4"/>
      <c r="M25" s="8">
        <f t="array" ref="M25">XLOOKUP($L$1,Custos!$A:$A,Custos!$B:$B)*L25</f>
        <v>0</v>
      </c>
      <c r="N25" s="4"/>
      <c r="O25" s="8">
        <f t="array" ref="O25">XLOOKUP($N$1,Custos!$A:$A,Custos!$B:$B)*N25</f>
        <v>0</v>
      </c>
      <c r="P25" s="1">
        <f t="shared" si="1"/>
        <v>0</v>
      </c>
      <c r="Q25" s="8">
        <f t="array" ref="Q25">XLOOKUP($P$1,Custos!$A:$A,Custos!$B:$B)*P25</f>
        <v>0</v>
      </c>
      <c r="R25" s="4"/>
      <c r="S25" s="8">
        <f t="array" ref="S25">XLOOKUP($R$1,Custos!$A:$A,Custos!$B:$B)*R25</f>
        <v>0</v>
      </c>
      <c r="T25" s="4"/>
      <c r="U25" s="8">
        <f t="array" ref="U25">XLOOKUP($T$1,Custos!$A:$A,Custos!$B:$B)*T25</f>
        <v>0</v>
      </c>
      <c r="V25" s="1">
        <v>12.0</v>
      </c>
      <c r="W25" s="8">
        <f t="array" ref="W25">XLOOKUP($V$1,Custos!$A:$A,Custos!$B:$B)*V25</f>
        <v>0.912</v>
      </c>
      <c r="X25" s="1">
        <f t="shared" si="2"/>
        <v>2</v>
      </c>
      <c r="Y25" s="8">
        <f t="array" ref="Y25">XLOOKUP($X$1,Custos!$A:$A,Custos!$B:$B)*X25</f>
        <v>0.5</v>
      </c>
      <c r="Z25" s="1">
        <v>2.0</v>
      </c>
      <c r="AA25" s="8">
        <f t="array" ref="AA25">XLOOKUP($Z$1,Custos!$A:$A,Custos!$B:$B)*Z25</f>
        <v>6</v>
      </c>
      <c r="AB25" s="1">
        <v>48.0</v>
      </c>
      <c r="AC25" s="8">
        <f t="array" ref="AC25">XLOOKUP($AB$1,Custos!$A:$A,Custos!$B:$B)*AB25</f>
        <v>192</v>
      </c>
      <c r="AD25" s="1">
        <f t="shared" si="3"/>
        <v>1.3</v>
      </c>
    </row>
    <row r="26">
      <c r="A26" s="10" t="s">
        <v>276</v>
      </c>
      <c r="B26" s="1" t="s">
        <v>251</v>
      </c>
      <c r="C26" s="4"/>
      <c r="D26" s="1">
        <v>4.0</v>
      </c>
      <c r="E26" s="10" t="s">
        <v>273</v>
      </c>
      <c r="F26" s="1">
        <v>600.0</v>
      </c>
      <c r="G26" s="8">
        <f t="array" ref="G26">XLOOKUP("branco_tx",Texturas!A:A,Texturas!F:F)*H26+M26+O26+Q26+S26+U26+W26+Y26+AA26+AC26</f>
        <v>299.882</v>
      </c>
      <c r="H26" s="4">
        <f t="array" ref="H26">XLOOKUP(A26,Pecas!A:A,Pecas!DN:DN)</f>
        <v>1.97</v>
      </c>
      <c r="I26" s="8">
        <f t="array" ref="I26">XLOOKUP("branco_tx",Custos!$A:$A,Custos!$B:$B)*H26</f>
        <v>492.5</v>
      </c>
      <c r="J26" s="4">
        <f t="array" ref="J26">XLOOKUP(A26,Pecas!A:A,Pecas!DO:DO)</f>
        <v>1.48</v>
      </c>
      <c r="K26" s="4"/>
      <c r="L26" s="4"/>
      <c r="M26" s="8">
        <f t="array" ref="M26">XLOOKUP($L$1,Custos!$A:$A,Custos!$B:$B)*L26</f>
        <v>0</v>
      </c>
      <c r="N26" s="4"/>
      <c r="O26" s="8">
        <f t="array" ref="O26">XLOOKUP($N$1,Custos!$A:$A,Custos!$B:$B)*N26</f>
        <v>0</v>
      </c>
      <c r="P26" s="1">
        <f t="shared" si="1"/>
        <v>0</v>
      </c>
      <c r="Q26" s="8">
        <f t="array" ref="Q26">XLOOKUP($P$1,Custos!$A:$A,Custos!$B:$B)*P26</f>
        <v>0</v>
      </c>
      <c r="R26" s="4"/>
      <c r="S26" s="8">
        <f t="array" ref="S26">XLOOKUP($R$1,Custos!$A:$A,Custos!$B:$B)*R26</f>
        <v>0</v>
      </c>
      <c r="T26" s="4"/>
      <c r="U26" s="8">
        <f t="array" ref="U26">XLOOKUP($T$1,Custos!$A:$A,Custos!$B:$B)*T26</f>
        <v>0</v>
      </c>
      <c r="V26" s="1">
        <v>12.0</v>
      </c>
      <c r="W26" s="8">
        <f t="array" ref="W26">XLOOKUP($V$1,Custos!$A:$A,Custos!$B:$B)*V26</f>
        <v>0.912</v>
      </c>
      <c r="X26" s="1">
        <f t="shared" si="2"/>
        <v>2</v>
      </c>
      <c r="Y26" s="8">
        <f t="array" ref="Y26">XLOOKUP($X$1,Custos!$A:$A,Custos!$B:$B)*X26</f>
        <v>0.5</v>
      </c>
      <c r="Z26" s="1">
        <v>2.0</v>
      </c>
      <c r="AA26" s="8">
        <f t="array" ref="AA26">XLOOKUP($Z$1,Custos!$A:$A,Custos!$B:$B)*Z26</f>
        <v>6</v>
      </c>
      <c r="AB26" s="1">
        <v>48.0</v>
      </c>
      <c r="AC26" s="8">
        <f t="array" ref="AC26">XLOOKUP($AB$1,Custos!$A:$A,Custos!$B:$B)*AB26</f>
        <v>192</v>
      </c>
      <c r="AD26" s="1">
        <f t="shared" si="3"/>
        <v>1.3</v>
      </c>
    </row>
    <row r="27">
      <c r="A27" s="10" t="s">
        <v>277</v>
      </c>
      <c r="B27" s="11" t="s">
        <v>254</v>
      </c>
      <c r="C27" s="4"/>
      <c r="D27" s="1">
        <v>5.0</v>
      </c>
      <c r="E27" s="10" t="s">
        <v>273</v>
      </c>
      <c r="F27" s="1">
        <v>600.0</v>
      </c>
      <c r="G27" s="8">
        <f t="array" ref="G27">XLOOKUP("branco_tx",Texturas!A:A,Texturas!F:F)*H27+M27+O27+Q27+S27+U27+W27+Y27+AA27+AC27</f>
        <v>299.882</v>
      </c>
      <c r="H27" s="4">
        <f t="array" ref="H27">XLOOKUP(A27,Pecas!A:A,Pecas!DN:DN)</f>
        <v>1.97</v>
      </c>
      <c r="I27" s="8">
        <f t="array" ref="I27">XLOOKUP("branco_tx",Custos!$A:$A,Custos!$B:$B)*H27</f>
        <v>492.5</v>
      </c>
      <c r="J27" s="4">
        <f t="array" ref="J27">XLOOKUP(A27,Pecas!A:A,Pecas!DO:DO)</f>
        <v>1.48</v>
      </c>
      <c r="K27" s="4"/>
      <c r="L27" s="4"/>
      <c r="M27" s="8">
        <f t="array" ref="M27">XLOOKUP($L$1,Custos!$A:$A,Custos!$B:$B)*L27</f>
        <v>0</v>
      </c>
      <c r="N27" s="4"/>
      <c r="O27" s="8">
        <f t="array" ref="O27">XLOOKUP($N$1,Custos!$A:$A,Custos!$B:$B)*N27</f>
        <v>0</v>
      </c>
      <c r="P27" s="1">
        <f t="shared" si="1"/>
        <v>0</v>
      </c>
      <c r="Q27" s="8">
        <f t="array" ref="Q27">XLOOKUP($P$1,Custos!$A:$A,Custos!$B:$B)*P27</f>
        <v>0</v>
      </c>
      <c r="R27" s="4"/>
      <c r="S27" s="8">
        <f t="array" ref="S27">XLOOKUP($R$1,Custos!$A:$A,Custos!$B:$B)*R27</f>
        <v>0</v>
      </c>
      <c r="T27" s="4"/>
      <c r="U27" s="8">
        <f t="array" ref="U27">XLOOKUP($T$1,Custos!$A:$A,Custos!$B:$B)*T27</f>
        <v>0</v>
      </c>
      <c r="V27" s="1">
        <v>12.0</v>
      </c>
      <c r="W27" s="8">
        <f t="array" ref="W27">XLOOKUP($V$1,Custos!$A:$A,Custos!$B:$B)*V27</f>
        <v>0.912</v>
      </c>
      <c r="X27" s="1">
        <f t="shared" si="2"/>
        <v>2</v>
      </c>
      <c r="Y27" s="8">
        <f t="array" ref="Y27">XLOOKUP($X$1,Custos!$A:$A,Custos!$B:$B)*X27</f>
        <v>0.5</v>
      </c>
      <c r="Z27" s="1">
        <v>2.0</v>
      </c>
      <c r="AA27" s="8">
        <f t="array" ref="AA27">XLOOKUP($Z$1,Custos!$A:$A,Custos!$B:$B)*Z27</f>
        <v>6</v>
      </c>
      <c r="AB27" s="1">
        <v>48.0</v>
      </c>
      <c r="AC27" s="8">
        <f t="array" ref="AC27">XLOOKUP($AB$1,Custos!$A:$A,Custos!$B:$B)*AB27</f>
        <v>192</v>
      </c>
      <c r="AD27" s="1">
        <f t="shared" si="3"/>
        <v>1.3</v>
      </c>
    </row>
    <row r="28">
      <c r="A28" s="10" t="s">
        <v>278</v>
      </c>
      <c r="B28" s="11" t="s">
        <v>240</v>
      </c>
      <c r="C28" s="4"/>
      <c r="D28" s="1">
        <v>1.0</v>
      </c>
      <c r="E28" s="10" t="s">
        <v>279</v>
      </c>
      <c r="F28" s="1">
        <v>450.0</v>
      </c>
      <c r="G28" s="8">
        <f t="array" ref="G28">XLOOKUP("branco_tx",Texturas!A:A,Texturas!F:F)*H28+M28+O28+Q28+S28+U28+W28+Y28+AA28+AC28</f>
        <v>875.258</v>
      </c>
      <c r="H28" s="4">
        <f t="array" ref="H28">XLOOKUP(A28,Pecas!A:A,Pecas!DN:DN)</f>
        <v>1.68</v>
      </c>
      <c r="I28" s="8">
        <f t="array" ref="I28">XLOOKUP("branco_tx",Custos!$A:$A,Custos!$B:$B)*H28</f>
        <v>420</v>
      </c>
      <c r="J28" s="4">
        <f t="array" ref="J28">XLOOKUP(A28,Pecas!A:A,Pecas!DO:DO)</f>
        <v>1.36</v>
      </c>
      <c r="K28" s="1">
        <v>4.0</v>
      </c>
      <c r="L28" s="4"/>
      <c r="M28" s="8">
        <f t="array" ref="M28">XLOOKUP($L$1,Custos!$A:$A,Custos!$B:$B)*L28</f>
        <v>0</v>
      </c>
      <c r="N28" s="1">
        <v>8.0</v>
      </c>
      <c r="O28" s="8">
        <f t="array" ref="O28">XLOOKUP($N$1,Custos!$A:$A,Custos!$B:$B)*N28</f>
        <v>160</v>
      </c>
      <c r="P28" s="1">
        <f t="shared" si="1"/>
        <v>48</v>
      </c>
      <c r="Q28" s="8">
        <f t="array" ref="Q28">XLOOKUP($P$1,Custos!$A:$A,Custos!$B:$B)*P28</f>
        <v>2.688</v>
      </c>
      <c r="R28" s="4"/>
      <c r="S28" s="8">
        <f t="array" ref="S28">XLOOKUP($R$1,Custos!$A:$A,Custos!$B:$B)*R28</f>
        <v>0</v>
      </c>
      <c r="T28" s="1">
        <v>47.0</v>
      </c>
      <c r="U28" s="8">
        <f t="array" ref="U28">XLOOKUP($T$1,Custos!$A:$A,Custos!$B:$B)*T28</f>
        <v>3.478</v>
      </c>
      <c r="V28" s="1">
        <v>12.0</v>
      </c>
      <c r="W28" s="8">
        <f t="array" ref="W28">XLOOKUP($V$1,Custos!$A:$A,Custos!$B:$B)*V28</f>
        <v>0.912</v>
      </c>
      <c r="X28" s="1">
        <f t="shared" si="2"/>
        <v>2</v>
      </c>
      <c r="Y28" s="8">
        <f t="array" ref="Y28">XLOOKUP($X$1,Custos!$A:$A,Custos!$B:$B)*X28</f>
        <v>0.5</v>
      </c>
      <c r="Z28" s="1">
        <v>2.0</v>
      </c>
      <c r="AA28" s="8">
        <f t="array" ref="AA28">XLOOKUP($Z$1,Custos!$A:$A,Custos!$B:$B)*Z28</f>
        <v>6</v>
      </c>
      <c r="AB28" s="1">
        <v>154.0</v>
      </c>
      <c r="AC28" s="8">
        <f t="array" ref="AC28">XLOOKUP($AB$1,Custos!$A:$A,Custos!$B:$B)*AB28</f>
        <v>616</v>
      </c>
      <c r="AD28" s="1">
        <f t="shared" si="3"/>
        <v>1.3</v>
      </c>
    </row>
    <row r="29">
      <c r="A29" s="10" t="s">
        <v>280</v>
      </c>
      <c r="B29" s="1" t="s">
        <v>243</v>
      </c>
      <c r="C29" s="1" t="s">
        <v>7</v>
      </c>
      <c r="D29" s="1">
        <v>2.0</v>
      </c>
      <c r="E29" s="10" t="s">
        <v>279</v>
      </c>
      <c r="F29" s="1">
        <v>450.0</v>
      </c>
      <c r="G29" s="8">
        <f t="array" ref="G29">XLOOKUP("branco_tx",Texturas!A:A,Texturas!F:F)*H29+M29+O29+Q29+S29+U29+W29+Y29+AA29+AC29</f>
        <v>875.258</v>
      </c>
      <c r="H29" s="4">
        <f t="array" ref="H29">XLOOKUP(A29,Pecas!A:A,Pecas!DN:DN)</f>
        <v>1.68</v>
      </c>
      <c r="I29" s="8">
        <f t="array" ref="I29">XLOOKUP("branco_tx",Custos!$A:$A,Custos!$B:$B)*H29</f>
        <v>420</v>
      </c>
      <c r="J29" s="4">
        <f t="array" ref="J29">XLOOKUP(A29,Pecas!A:A,Pecas!DO:DO)</f>
        <v>1.36</v>
      </c>
      <c r="K29" s="1">
        <v>4.0</v>
      </c>
      <c r="L29" s="4"/>
      <c r="M29" s="8">
        <f t="array" ref="M29">XLOOKUP($L$1,Custos!$A:$A,Custos!$B:$B)*L29</f>
        <v>0</v>
      </c>
      <c r="N29" s="1">
        <v>8.0</v>
      </c>
      <c r="O29" s="8">
        <f t="array" ref="O29">XLOOKUP($N$1,Custos!$A:$A,Custos!$B:$B)*N29</f>
        <v>160</v>
      </c>
      <c r="P29" s="1">
        <f t="shared" si="1"/>
        <v>48</v>
      </c>
      <c r="Q29" s="8">
        <f t="array" ref="Q29">XLOOKUP($P$1,Custos!$A:$A,Custos!$B:$B)*P29</f>
        <v>2.688</v>
      </c>
      <c r="R29" s="4"/>
      <c r="S29" s="8">
        <f t="array" ref="S29">XLOOKUP($R$1,Custos!$A:$A,Custos!$B:$B)*R29</f>
        <v>0</v>
      </c>
      <c r="T29" s="1">
        <v>47.0</v>
      </c>
      <c r="U29" s="8">
        <f t="array" ref="U29">XLOOKUP($T$1,Custos!$A:$A,Custos!$B:$B)*T29</f>
        <v>3.478</v>
      </c>
      <c r="V29" s="1">
        <v>12.0</v>
      </c>
      <c r="W29" s="8">
        <f t="array" ref="W29">XLOOKUP($V$1,Custos!$A:$A,Custos!$B:$B)*V29</f>
        <v>0.912</v>
      </c>
      <c r="X29" s="1">
        <f t="shared" si="2"/>
        <v>2</v>
      </c>
      <c r="Y29" s="8">
        <f t="array" ref="Y29">XLOOKUP($X$1,Custos!$A:$A,Custos!$B:$B)*X29</f>
        <v>0.5</v>
      </c>
      <c r="Z29" s="1">
        <v>2.0</v>
      </c>
      <c r="AA29" s="8">
        <f t="array" ref="AA29">XLOOKUP($Z$1,Custos!$A:$A,Custos!$B:$B)*Z29</f>
        <v>6</v>
      </c>
      <c r="AB29" s="1">
        <v>154.0</v>
      </c>
      <c r="AC29" s="8">
        <f t="array" ref="AC29">XLOOKUP($AB$1,Custos!$A:$A,Custos!$B:$B)*AB29</f>
        <v>616</v>
      </c>
      <c r="AD29" s="1">
        <f t="shared" si="3"/>
        <v>1.3</v>
      </c>
    </row>
    <row r="30">
      <c r="A30" s="10" t="s">
        <v>281</v>
      </c>
      <c r="B30" s="1" t="s">
        <v>248</v>
      </c>
      <c r="C30" s="4"/>
      <c r="D30" s="1">
        <v>3.0</v>
      </c>
      <c r="E30" s="10" t="s">
        <v>279</v>
      </c>
      <c r="F30" s="1">
        <v>450.0</v>
      </c>
      <c r="G30" s="8">
        <f t="array" ref="G30">XLOOKUP("branco_tx",Texturas!A:A,Texturas!F:F)*H30+M30+O30+Q30+S30+U30+W30+Y30+AA30+AC30</f>
        <v>875.258</v>
      </c>
      <c r="H30" s="4">
        <f t="array" ref="H30">XLOOKUP(A30,Pecas!A:A,Pecas!DN:DN)</f>
        <v>1.68</v>
      </c>
      <c r="I30" s="8">
        <f t="array" ref="I30">XLOOKUP("branco_tx",Custos!$A:$A,Custos!$B:$B)*H30</f>
        <v>420</v>
      </c>
      <c r="J30" s="4">
        <f t="array" ref="J30">XLOOKUP(A30,Pecas!A:A,Pecas!DO:DO)</f>
        <v>1.36</v>
      </c>
      <c r="K30" s="1">
        <v>4.0</v>
      </c>
      <c r="L30" s="4"/>
      <c r="M30" s="8">
        <f t="array" ref="M30">XLOOKUP($L$1,Custos!$A:$A,Custos!$B:$B)*L30</f>
        <v>0</v>
      </c>
      <c r="N30" s="1">
        <v>8.0</v>
      </c>
      <c r="O30" s="8">
        <f t="array" ref="O30">XLOOKUP($N$1,Custos!$A:$A,Custos!$B:$B)*N30</f>
        <v>160</v>
      </c>
      <c r="P30" s="1">
        <f t="shared" si="1"/>
        <v>48</v>
      </c>
      <c r="Q30" s="8">
        <f t="array" ref="Q30">XLOOKUP($P$1,Custos!$A:$A,Custos!$B:$B)*P30</f>
        <v>2.688</v>
      </c>
      <c r="R30" s="4"/>
      <c r="S30" s="8">
        <f t="array" ref="S30">XLOOKUP($R$1,Custos!$A:$A,Custos!$B:$B)*R30</f>
        <v>0</v>
      </c>
      <c r="T30" s="1">
        <v>47.0</v>
      </c>
      <c r="U30" s="8">
        <f t="array" ref="U30">XLOOKUP($T$1,Custos!$A:$A,Custos!$B:$B)*T30</f>
        <v>3.478</v>
      </c>
      <c r="V30" s="1">
        <v>12.0</v>
      </c>
      <c r="W30" s="8">
        <f t="array" ref="W30">XLOOKUP($V$1,Custos!$A:$A,Custos!$B:$B)*V30</f>
        <v>0.912</v>
      </c>
      <c r="X30" s="1">
        <f t="shared" si="2"/>
        <v>2</v>
      </c>
      <c r="Y30" s="8">
        <f t="array" ref="Y30">XLOOKUP($X$1,Custos!$A:$A,Custos!$B:$B)*X30</f>
        <v>0.5</v>
      </c>
      <c r="Z30" s="1">
        <v>2.0</v>
      </c>
      <c r="AA30" s="8">
        <f t="array" ref="AA30">XLOOKUP($Z$1,Custos!$A:$A,Custos!$B:$B)*Z30</f>
        <v>6</v>
      </c>
      <c r="AB30" s="1">
        <v>154.0</v>
      </c>
      <c r="AC30" s="8">
        <f t="array" ref="AC30">XLOOKUP($AB$1,Custos!$A:$A,Custos!$B:$B)*AB30</f>
        <v>616</v>
      </c>
      <c r="AD30" s="1">
        <f t="shared" si="3"/>
        <v>1.3</v>
      </c>
    </row>
    <row r="31">
      <c r="A31" s="10" t="s">
        <v>282</v>
      </c>
      <c r="B31" s="1" t="s">
        <v>251</v>
      </c>
      <c r="C31" s="4"/>
      <c r="D31" s="1">
        <v>4.0</v>
      </c>
      <c r="E31" s="10" t="s">
        <v>279</v>
      </c>
      <c r="F31" s="1">
        <v>450.0</v>
      </c>
      <c r="G31" s="8">
        <f t="array" ref="G31">XLOOKUP("branco_tx",Texturas!A:A,Texturas!F:F)*H31+M31+O31+Q31+S31+U31+W31+Y31+AA31+AC31</f>
        <v>875.258</v>
      </c>
      <c r="H31" s="4">
        <f t="array" ref="H31">XLOOKUP(A31,Pecas!A:A,Pecas!DN:DN)</f>
        <v>1.68</v>
      </c>
      <c r="I31" s="8">
        <f t="array" ref="I31">XLOOKUP("branco_tx",Custos!$A:$A,Custos!$B:$B)*H31</f>
        <v>420</v>
      </c>
      <c r="J31" s="4">
        <f t="array" ref="J31">XLOOKUP(A31,Pecas!A:A,Pecas!DO:DO)</f>
        <v>1.36</v>
      </c>
      <c r="K31" s="1">
        <v>4.0</v>
      </c>
      <c r="L31" s="4"/>
      <c r="M31" s="8">
        <f t="array" ref="M31">XLOOKUP($L$1,Custos!$A:$A,Custos!$B:$B)*L31</f>
        <v>0</v>
      </c>
      <c r="N31" s="1">
        <v>8.0</v>
      </c>
      <c r="O31" s="8">
        <f t="array" ref="O31">XLOOKUP($N$1,Custos!$A:$A,Custos!$B:$B)*N31</f>
        <v>160</v>
      </c>
      <c r="P31" s="1">
        <f t="shared" si="1"/>
        <v>48</v>
      </c>
      <c r="Q31" s="8">
        <f t="array" ref="Q31">XLOOKUP($P$1,Custos!$A:$A,Custos!$B:$B)*P31</f>
        <v>2.688</v>
      </c>
      <c r="R31" s="4"/>
      <c r="S31" s="8">
        <f t="array" ref="S31">XLOOKUP($R$1,Custos!$A:$A,Custos!$B:$B)*R31</f>
        <v>0</v>
      </c>
      <c r="T31" s="1">
        <v>47.0</v>
      </c>
      <c r="U31" s="8">
        <f t="array" ref="U31">XLOOKUP($T$1,Custos!$A:$A,Custos!$B:$B)*T31</f>
        <v>3.478</v>
      </c>
      <c r="V31" s="1">
        <v>12.0</v>
      </c>
      <c r="W31" s="8">
        <f t="array" ref="W31">XLOOKUP($V$1,Custos!$A:$A,Custos!$B:$B)*V31</f>
        <v>0.912</v>
      </c>
      <c r="X31" s="1">
        <f t="shared" si="2"/>
        <v>2</v>
      </c>
      <c r="Y31" s="8">
        <f t="array" ref="Y31">XLOOKUP($X$1,Custos!$A:$A,Custos!$B:$B)*X31</f>
        <v>0.5</v>
      </c>
      <c r="Z31" s="1">
        <v>2.0</v>
      </c>
      <c r="AA31" s="8">
        <f t="array" ref="AA31">XLOOKUP($Z$1,Custos!$A:$A,Custos!$B:$B)*Z31</f>
        <v>6</v>
      </c>
      <c r="AB31" s="1">
        <v>154.0</v>
      </c>
      <c r="AC31" s="8">
        <f t="array" ref="AC31">XLOOKUP($AB$1,Custos!$A:$A,Custos!$B:$B)*AB31</f>
        <v>616</v>
      </c>
      <c r="AD31" s="1">
        <f t="shared" si="3"/>
        <v>1.3</v>
      </c>
    </row>
    <row r="32">
      <c r="A32" s="10" t="s">
        <v>283</v>
      </c>
      <c r="B32" s="11" t="s">
        <v>254</v>
      </c>
      <c r="C32" s="4"/>
      <c r="D32" s="1">
        <v>5.0</v>
      </c>
      <c r="E32" s="10" t="s">
        <v>279</v>
      </c>
      <c r="F32" s="1">
        <v>450.0</v>
      </c>
      <c r="G32" s="8">
        <f t="array" ref="G32">XLOOKUP("branco_tx",Texturas!A:A,Texturas!F:F)*H32+M32+O32+Q32+S32+U32+W32+Y32+AA32+AC32</f>
        <v>875.258</v>
      </c>
      <c r="H32" s="4">
        <f t="array" ref="H32">XLOOKUP(A32,Pecas!A:A,Pecas!DN:DN)</f>
        <v>1.68</v>
      </c>
      <c r="I32" s="8">
        <f t="array" ref="I32">XLOOKUP("branco_tx",Custos!$A:$A,Custos!$B:$B)*H32</f>
        <v>420</v>
      </c>
      <c r="J32" s="4">
        <f t="array" ref="J32">XLOOKUP(A32,Pecas!A:A,Pecas!DO:DO)</f>
        <v>1.36</v>
      </c>
      <c r="K32" s="1">
        <v>4.0</v>
      </c>
      <c r="L32" s="4"/>
      <c r="M32" s="8">
        <f t="array" ref="M32">XLOOKUP($L$1,Custos!$A:$A,Custos!$B:$B)*L32</f>
        <v>0</v>
      </c>
      <c r="N32" s="1">
        <v>8.0</v>
      </c>
      <c r="O32" s="8">
        <f t="array" ref="O32">XLOOKUP($N$1,Custos!$A:$A,Custos!$B:$B)*N32</f>
        <v>160</v>
      </c>
      <c r="P32" s="1">
        <f t="shared" si="1"/>
        <v>48</v>
      </c>
      <c r="Q32" s="8">
        <f t="array" ref="Q32">XLOOKUP($P$1,Custos!$A:$A,Custos!$B:$B)*P32</f>
        <v>2.688</v>
      </c>
      <c r="R32" s="4"/>
      <c r="S32" s="8">
        <f t="array" ref="S32">XLOOKUP($R$1,Custos!$A:$A,Custos!$B:$B)*R32</f>
        <v>0</v>
      </c>
      <c r="T32" s="1">
        <v>47.0</v>
      </c>
      <c r="U32" s="8">
        <f t="array" ref="U32">XLOOKUP($T$1,Custos!$A:$A,Custos!$B:$B)*T32</f>
        <v>3.478</v>
      </c>
      <c r="V32" s="1">
        <v>12.0</v>
      </c>
      <c r="W32" s="8">
        <f t="array" ref="W32">XLOOKUP($V$1,Custos!$A:$A,Custos!$B:$B)*V32</f>
        <v>0.912</v>
      </c>
      <c r="X32" s="1">
        <f t="shared" si="2"/>
        <v>2</v>
      </c>
      <c r="Y32" s="8">
        <f t="array" ref="Y32">XLOOKUP($X$1,Custos!$A:$A,Custos!$B:$B)*X32</f>
        <v>0.5</v>
      </c>
      <c r="Z32" s="1">
        <v>2.0</v>
      </c>
      <c r="AA32" s="8">
        <f t="array" ref="AA32">XLOOKUP($Z$1,Custos!$A:$A,Custos!$B:$B)*Z32</f>
        <v>6</v>
      </c>
      <c r="AB32" s="1">
        <v>154.0</v>
      </c>
      <c r="AC32" s="8">
        <f t="array" ref="AC32">XLOOKUP($AB$1,Custos!$A:$A,Custos!$B:$B)*AB32</f>
        <v>616</v>
      </c>
      <c r="AD32" s="1">
        <f t="shared" si="3"/>
        <v>1.3</v>
      </c>
    </row>
    <row r="33">
      <c r="A33" s="10" t="s">
        <v>284</v>
      </c>
      <c r="B33" s="11" t="s">
        <v>240</v>
      </c>
      <c r="C33" s="4"/>
      <c r="D33" s="1">
        <v>1.0</v>
      </c>
      <c r="E33" s="10" t="s">
        <v>285</v>
      </c>
      <c r="F33" s="1">
        <v>800.0</v>
      </c>
      <c r="G33" s="8">
        <f t="array" ref="G33">XLOOKUP("branco_tx",Texturas!A:A,Texturas!F:F)*H33+M33+O33+Q33+S33+U33+W33+Y33+AA33+AC33</f>
        <v>255.262</v>
      </c>
      <c r="H33" s="4">
        <f t="array" ref="H33">XLOOKUP(A33,Pecas!A:A,Pecas!DN:DN)</f>
        <v>3.84</v>
      </c>
      <c r="I33" s="8">
        <f t="array" ref="I33">XLOOKUP("branco_tx",Custos!$A:$A,Custos!$B:$B)*H33</f>
        <v>960</v>
      </c>
      <c r="J33" s="4">
        <f t="array" ref="J33">XLOOKUP(A33,Pecas!A:A,Pecas!DO:DO)</f>
        <v>2.74</v>
      </c>
      <c r="K33" s="4"/>
      <c r="L33" s="4"/>
      <c r="M33" s="8">
        <f t="array" ref="M33">XLOOKUP($L$1,Custos!$A:$A,Custos!$B:$B)*L33</f>
        <v>0</v>
      </c>
      <c r="N33" s="4"/>
      <c r="O33" s="8">
        <f t="array" ref="O33">XLOOKUP($N$1,Custos!$A:$A,Custos!$B:$B)*N33</f>
        <v>0</v>
      </c>
      <c r="P33" s="1">
        <f t="shared" si="1"/>
        <v>0</v>
      </c>
      <c r="Q33" s="8">
        <f t="array" ref="Q33">XLOOKUP($P$1,Custos!$A:$A,Custos!$B:$B)*P33</f>
        <v>0</v>
      </c>
      <c r="R33" s="4"/>
      <c r="S33" s="8">
        <f t="array" ref="S33">XLOOKUP($R$1,Custos!$A:$A,Custos!$B:$B)*R33</f>
        <v>0</v>
      </c>
      <c r="T33" s="4"/>
      <c r="U33" s="8">
        <f t="array" ref="U33">XLOOKUP($T$1,Custos!$A:$A,Custos!$B:$B)*T33</f>
        <v>0</v>
      </c>
      <c r="V33" s="1">
        <v>22.0</v>
      </c>
      <c r="W33" s="8">
        <f t="array" ref="W33">XLOOKUP($V$1,Custos!$A:$A,Custos!$B:$B)*V33</f>
        <v>1.672</v>
      </c>
      <c r="X33" s="1">
        <f t="shared" si="2"/>
        <v>3</v>
      </c>
      <c r="Y33" s="8">
        <f t="array" ref="Y33">XLOOKUP($X$1,Custos!$A:$A,Custos!$B:$B)*X33</f>
        <v>0.75</v>
      </c>
      <c r="Z33" s="1">
        <v>3.0</v>
      </c>
      <c r="AA33" s="8">
        <f t="array" ref="AA33">XLOOKUP($Z$1,Custos!$A:$A,Custos!$B:$B)*Z33</f>
        <v>9</v>
      </c>
      <c r="AB33" s="1">
        <v>12.0</v>
      </c>
      <c r="AC33" s="8">
        <f t="array" ref="AC33">XLOOKUP($AB$1,Custos!$A:$A,Custos!$B:$B)*AB33</f>
        <v>48</v>
      </c>
      <c r="AD33" s="1">
        <f t="shared" si="3"/>
        <v>1.3</v>
      </c>
    </row>
    <row r="34">
      <c r="A34" s="10" t="s">
        <v>286</v>
      </c>
      <c r="B34" s="1" t="s">
        <v>243</v>
      </c>
      <c r="C34" s="4"/>
      <c r="D34" s="1">
        <v>2.0</v>
      </c>
      <c r="E34" s="10" t="s">
        <v>285</v>
      </c>
      <c r="F34" s="1">
        <v>800.0</v>
      </c>
      <c r="G34" s="8">
        <f t="array" ref="G34">XLOOKUP("branco_tx",Texturas!A:A,Texturas!F:F)*H34+M34+O34+Q34+S34+U34+W34+Y34+AA34+AC34</f>
        <v>255.262</v>
      </c>
      <c r="H34" s="4">
        <f t="array" ref="H34">XLOOKUP(A34,Pecas!A:A,Pecas!DN:DN)</f>
        <v>3.84</v>
      </c>
      <c r="I34" s="8">
        <f t="array" ref="I34">XLOOKUP("branco_tx",Custos!$A:$A,Custos!$B:$B)*H34</f>
        <v>960</v>
      </c>
      <c r="J34" s="4">
        <f t="array" ref="J34">XLOOKUP(A34,Pecas!A:A,Pecas!DO:DO)</f>
        <v>2.74</v>
      </c>
      <c r="K34" s="4"/>
      <c r="L34" s="4"/>
      <c r="M34" s="8">
        <f t="array" ref="M34">XLOOKUP($L$1,Custos!$A:$A,Custos!$B:$B)*L34</f>
        <v>0</v>
      </c>
      <c r="N34" s="4"/>
      <c r="O34" s="8">
        <f t="array" ref="O34">XLOOKUP($N$1,Custos!$A:$A,Custos!$B:$B)*N34</f>
        <v>0</v>
      </c>
      <c r="P34" s="1">
        <f t="shared" si="1"/>
        <v>0</v>
      </c>
      <c r="Q34" s="8">
        <f t="array" ref="Q34">XLOOKUP($P$1,Custos!$A:$A,Custos!$B:$B)*P34</f>
        <v>0</v>
      </c>
      <c r="R34" s="4"/>
      <c r="S34" s="8">
        <f t="array" ref="S34">XLOOKUP($R$1,Custos!$A:$A,Custos!$B:$B)*R34</f>
        <v>0</v>
      </c>
      <c r="T34" s="4"/>
      <c r="U34" s="8">
        <f t="array" ref="U34">XLOOKUP($T$1,Custos!$A:$A,Custos!$B:$B)*T34</f>
        <v>0</v>
      </c>
      <c r="V34" s="1">
        <v>22.0</v>
      </c>
      <c r="W34" s="8">
        <f t="array" ref="W34">XLOOKUP($V$1,Custos!$A:$A,Custos!$B:$B)*V34</f>
        <v>1.672</v>
      </c>
      <c r="X34" s="1">
        <f t="shared" si="2"/>
        <v>3</v>
      </c>
      <c r="Y34" s="8">
        <f t="array" ref="Y34">XLOOKUP($X$1,Custos!$A:$A,Custos!$B:$B)*X34</f>
        <v>0.75</v>
      </c>
      <c r="Z34" s="1">
        <v>3.0</v>
      </c>
      <c r="AA34" s="8">
        <f t="array" ref="AA34">XLOOKUP($Z$1,Custos!$A:$A,Custos!$B:$B)*Z34</f>
        <v>9</v>
      </c>
      <c r="AB34" s="1">
        <v>12.0</v>
      </c>
      <c r="AC34" s="8">
        <f t="array" ref="AC34">XLOOKUP($AB$1,Custos!$A:$A,Custos!$B:$B)*AB34</f>
        <v>48</v>
      </c>
      <c r="AD34" s="1">
        <f t="shared" si="3"/>
        <v>1.3</v>
      </c>
    </row>
    <row r="35">
      <c r="A35" s="10" t="s">
        <v>287</v>
      </c>
      <c r="B35" s="1" t="s">
        <v>248</v>
      </c>
      <c r="C35" s="4"/>
      <c r="D35" s="1">
        <v>3.0</v>
      </c>
      <c r="E35" s="10" t="s">
        <v>285</v>
      </c>
      <c r="F35" s="1">
        <v>800.0</v>
      </c>
      <c r="G35" s="8">
        <f t="array" ref="G35">XLOOKUP("branco_tx",Texturas!A:A,Texturas!F:F)*H35+M35+O35+Q35+S35+U35+W35+Y35+AA35+AC35</f>
        <v>255.262</v>
      </c>
      <c r="H35" s="4">
        <f t="array" ref="H35">XLOOKUP(A35,Pecas!A:A,Pecas!DN:DN)</f>
        <v>3.84</v>
      </c>
      <c r="I35" s="8">
        <f t="array" ref="I35">XLOOKUP("branco_tx",Custos!$A:$A,Custos!$B:$B)*H35</f>
        <v>960</v>
      </c>
      <c r="J35" s="4">
        <f t="array" ref="J35">XLOOKUP(A35,Pecas!A:A,Pecas!DO:DO)</f>
        <v>2.74</v>
      </c>
      <c r="K35" s="4"/>
      <c r="L35" s="4"/>
      <c r="M35" s="8">
        <f t="array" ref="M35">XLOOKUP($L$1,Custos!$A:$A,Custos!$B:$B)*L35</f>
        <v>0</v>
      </c>
      <c r="N35" s="4"/>
      <c r="O35" s="8">
        <f t="array" ref="O35">XLOOKUP($N$1,Custos!$A:$A,Custos!$B:$B)*N35</f>
        <v>0</v>
      </c>
      <c r="P35" s="1">
        <f t="shared" si="1"/>
        <v>0</v>
      </c>
      <c r="Q35" s="8">
        <f t="array" ref="Q35">XLOOKUP($P$1,Custos!$A:$A,Custos!$B:$B)*P35</f>
        <v>0</v>
      </c>
      <c r="R35" s="4"/>
      <c r="S35" s="8">
        <f t="array" ref="S35">XLOOKUP($R$1,Custos!$A:$A,Custos!$B:$B)*R35</f>
        <v>0</v>
      </c>
      <c r="T35" s="4"/>
      <c r="U35" s="8">
        <f t="array" ref="U35">XLOOKUP($T$1,Custos!$A:$A,Custos!$B:$B)*T35</f>
        <v>0</v>
      </c>
      <c r="V35" s="1">
        <v>22.0</v>
      </c>
      <c r="W35" s="8">
        <f t="array" ref="W35">XLOOKUP($V$1,Custos!$A:$A,Custos!$B:$B)*V35</f>
        <v>1.672</v>
      </c>
      <c r="X35" s="1">
        <f t="shared" si="2"/>
        <v>3</v>
      </c>
      <c r="Y35" s="8">
        <f t="array" ref="Y35">XLOOKUP($X$1,Custos!$A:$A,Custos!$B:$B)*X35</f>
        <v>0.75</v>
      </c>
      <c r="Z35" s="1">
        <v>3.0</v>
      </c>
      <c r="AA35" s="8">
        <f t="array" ref="AA35">XLOOKUP($Z$1,Custos!$A:$A,Custos!$B:$B)*Z35</f>
        <v>9</v>
      </c>
      <c r="AB35" s="1">
        <v>12.0</v>
      </c>
      <c r="AC35" s="8">
        <f t="array" ref="AC35">XLOOKUP($AB$1,Custos!$A:$A,Custos!$B:$B)*AB35</f>
        <v>48</v>
      </c>
      <c r="AD35" s="1">
        <f t="shared" si="3"/>
        <v>1.3</v>
      </c>
    </row>
    <row r="36">
      <c r="A36" s="10" t="s">
        <v>288</v>
      </c>
      <c r="B36" s="1" t="s">
        <v>251</v>
      </c>
      <c r="C36" s="4"/>
      <c r="D36" s="1">
        <v>4.0</v>
      </c>
      <c r="E36" s="10" t="s">
        <v>285</v>
      </c>
      <c r="F36" s="1">
        <v>800.0</v>
      </c>
      <c r="G36" s="8">
        <f t="array" ref="G36">XLOOKUP("branco_tx",Texturas!A:A,Texturas!F:F)*H36+M36+O36+Q36+S36+U36+W36+Y36+AA36+AC36</f>
        <v>255.262</v>
      </c>
      <c r="H36" s="4">
        <f t="array" ref="H36">XLOOKUP(A36,Pecas!A:A,Pecas!DN:DN)</f>
        <v>3.84</v>
      </c>
      <c r="I36" s="8">
        <f t="array" ref="I36">XLOOKUP("branco_tx",Custos!$A:$A,Custos!$B:$B)*H36</f>
        <v>960</v>
      </c>
      <c r="J36" s="4">
        <f t="array" ref="J36">XLOOKUP(A36,Pecas!A:A,Pecas!DO:DO)</f>
        <v>2.74</v>
      </c>
      <c r="K36" s="4"/>
      <c r="L36" s="4"/>
      <c r="M36" s="8">
        <f t="array" ref="M36">XLOOKUP($L$1,Custos!$A:$A,Custos!$B:$B)*L36</f>
        <v>0</v>
      </c>
      <c r="N36" s="4"/>
      <c r="O36" s="8">
        <f t="array" ref="O36">XLOOKUP($N$1,Custos!$A:$A,Custos!$B:$B)*N36</f>
        <v>0</v>
      </c>
      <c r="P36" s="1">
        <f t="shared" si="1"/>
        <v>0</v>
      </c>
      <c r="Q36" s="8">
        <f t="array" ref="Q36">XLOOKUP($P$1,Custos!$A:$A,Custos!$B:$B)*P36</f>
        <v>0</v>
      </c>
      <c r="R36" s="4"/>
      <c r="S36" s="8">
        <f t="array" ref="S36">XLOOKUP($R$1,Custos!$A:$A,Custos!$B:$B)*R36</f>
        <v>0</v>
      </c>
      <c r="T36" s="4"/>
      <c r="U36" s="8">
        <f t="array" ref="U36">XLOOKUP($T$1,Custos!$A:$A,Custos!$B:$B)*T36</f>
        <v>0</v>
      </c>
      <c r="V36" s="1">
        <v>22.0</v>
      </c>
      <c r="W36" s="8">
        <f t="array" ref="W36">XLOOKUP($V$1,Custos!$A:$A,Custos!$B:$B)*V36</f>
        <v>1.672</v>
      </c>
      <c r="X36" s="1">
        <f t="shared" si="2"/>
        <v>3</v>
      </c>
      <c r="Y36" s="8">
        <f t="array" ref="Y36">XLOOKUP($X$1,Custos!$A:$A,Custos!$B:$B)*X36</f>
        <v>0.75</v>
      </c>
      <c r="Z36" s="1">
        <v>3.0</v>
      </c>
      <c r="AA36" s="8">
        <f t="array" ref="AA36">XLOOKUP($Z$1,Custos!$A:$A,Custos!$B:$B)*Z36</f>
        <v>9</v>
      </c>
      <c r="AB36" s="1">
        <v>12.0</v>
      </c>
      <c r="AC36" s="8">
        <f t="array" ref="AC36">XLOOKUP($AB$1,Custos!$A:$A,Custos!$B:$B)*AB36</f>
        <v>48</v>
      </c>
      <c r="AD36" s="1">
        <f t="shared" si="3"/>
        <v>1.3</v>
      </c>
    </row>
    <row r="37">
      <c r="A37" s="10" t="s">
        <v>289</v>
      </c>
      <c r="B37" s="11" t="s">
        <v>254</v>
      </c>
      <c r="C37" s="4"/>
      <c r="D37" s="1">
        <v>5.0</v>
      </c>
      <c r="E37" s="10" t="s">
        <v>285</v>
      </c>
      <c r="F37" s="1">
        <v>800.0</v>
      </c>
      <c r="G37" s="8">
        <f t="array" ref="G37">XLOOKUP("branco_tx",Texturas!A:A,Texturas!F:F)*H37+M37+O37+Q37+S37+U37+W37+Y37+AA37+AC37</f>
        <v>255.262</v>
      </c>
      <c r="H37" s="4">
        <f t="array" ref="H37">XLOOKUP(A37,Pecas!A:A,Pecas!DN:DN)</f>
        <v>3.84</v>
      </c>
      <c r="I37" s="8">
        <f t="array" ref="I37">XLOOKUP("branco_tx",Custos!$A:$A,Custos!$B:$B)*H37</f>
        <v>960</v>
      </c>
      <c r="J37" s="4">
        <f t="array" ref="J37">XLOOKUP(A37,Pecas!A:A,Pecas!DO:DO)</f>
        <v>2.74</v>
      </c>
      <c r="K37" s="4"/>
      <c r="L37" s="4"/>
      <c r="M37" s="8">
        <f t="array" ref="M37">XLOOKUP($L$1,Custos!$A:$A,Custos!$B:$B)*L37</f>
        <v>0</v>
      </c>
      <c r="N37" s="4"/>
      <c r="O37" s="8">
        <f t="array" ref="O37">XLOOKUP($N$1,Custos!$A:$A,Custos!$B:$B)*N37</f>
        <v>0</v>
      </c>
      <c r="P37" s="1">
        <f t="shared" si="1"/>
        <v>0</v>
      </c>
      <c r="Q37" s="8">
        <f t="array" ref="Q37">XLOOKUP($P$1,Custos!$A:$A,Custos!$B:$B)*P37</f>
        <v>0</v>
      </c>
      <c r="R37" s="4"/>
      <c r="S37" s="8">
        <f t="array" ref="S37">XLOOKUP($R$1,Custos!$A:$A,Custos!$B:$B)*R37</f>
        <v>0</v>
      </c>
      <c r="T37" s="4"/>
      <c r="U37" s="8">
        <f t="array" ref="U37">XLOOKUP($T$1,Custos!$A:$A,Custos!$B:$B)*T37</f>
        <v>0</v>
      </c>
      <c r="V37" s="1">
        <v>22.0</v>
      </c>
      <c r="W37" s="8">
        <f t="array" ref="W37">XLOOKUP($V$1,Custos!$A:$A,Custos!$B:$B)*V37</f>
        <v>1.672</v>
      </c>
      <c r="X37" s="1">
        <f t="shared" si="2"/>
        <v>3</v>
      </c>
      <c r="Y37" s="8">
        <f t="array" ref="Y37">XLOOKUP($X$1,Custos!$A:$A,Custos!$B:$B)*X37</f>
        <v>0.75</v>
      </c>
      <c r="Z37" s="1">
        <v>3.0</v>
      </c>
      <c r="AA37" s="8">
        <f t="array" ref="AA37">XLOOKUP($Z$1,Custos!$A:$A,Custos!$B:$B)*Z37</f>
        <v>9</v>
      </c>
      <c r="AB37" s="1">
        <v>12.0</v>
      </c>
      <c r="AC37" s="8">
        <f t="array" ref="AC37">XLOOKUP($AB$1,Custos!$A:$A,Custos!$B:$B)*AB37</f>
        <v>48</v>
      </c>
      <c r="AD37" s="1">
        <f t="shared" si="3"/>
        <v>1.3</v>
      </c>
    </row>
    <row r="38">
      <c r="A38" s="10" t="s">
        <v>290</v>
      </c>
      <c r="B38" s="11" t="s">
        <v>240</v>
      </c>
      <c r="C38" s="4"/>
      <c r="D38" s="1">
        <v>1.0</v>
      </c>
      <c r="E38" s="10" t="s">
        <v>291</v>
      </c>
      <c r="F38" s="1">
        <v>600.0</v>
      </c>
      <c r="G38" s="8">
        <f t="array" ref="G38">XLOOKUP("branco_tx",Texturas!A:A,Texturas!F:F)*H38+M38+O38+Q38+S38+U38+W38+Y38+AA38+AC38</f>
        <v>337.44</v>
      </c>
      <c r="H38" s="4">
        <f t="array" ref="H38">XLOOKUP(A38,Pecas!A:A,Pecas!DN:DN)</f>
        <v>1.97</v>
      </c>
      <c r="I38" s="8">
        <f t="array" ref="I38">XLOOKUP("branco_tx",Custos!$A:$A,Custos!$B:$B)*H38</f>
        <v>492.5</v>
      </c>
      <c r="J38" s="4">
        <f t="array" ref="J38">XLOOKUP(A38,Pecas!A:A,Pecas!DO:DO)</f>
        <v>1.48</v>
      </c>
      <c r="K38" s="1">
        <v>2.0</v>
      </c>
      <c r="L38" s="1">
        <v>4.0</v>
      </c>
      <c r="M38" s="8">
        <f t="array" ref="M38">XLOOKUP($L$1,Custos!$A:$A,Custos!$B:$B)*L38</f>
        <v>20</v>
      </c>
      <c r="N38" s="4"/>
      <c r="O38" s="8">
        <f t="array" ref="O38">XLOOKUP($N$1,Custos!$A:$A,Custos!$B:$B)*N38</f>
        <v>0</v>
      </c>
      <c r="P38" s="1">
        <f t="shared" si="1"/>
        <v>8</v>
      </c>
      <c r="Q38" s="8">
        <f t="array" ref="Q38">XLOOKUP($P$1,Custos!$A:$A,Custos!$B:$B)*P38</f>
        <v>0.448</v>
      </c>
      <c r="R38" s="4"/>
      <c r="S38" s="8">
        <f t="array" ref="S38">XLOOKUP($R$1,Custos!$A:$A,Custos!$B:$B)*R38</f>
        <v>0</v>
      </c>
      <c r="T38" s="1">
        <v>15.0</v>
      </c>
      <c r="U38" s="8">
        <f t="array" ref="U38">XLOOKUP($T$1,Custos!$A:$A,Custos!$B:$B)*T38</f>
        <v>1.11</v>
      </c>
      <c r="V38" s="1">
        <v>12.0</v>
      </c>
      <c r="W38" s="8">
        <f t="array" ref="W38">XLOOKUP($V$1,Custos!$A:$A,Custos!$B:$B)*V38</f>
        <v>0.912</v>
      </c>
      <c r="X38" s="1">
        <f t="shared" si="2"/>
        <v>2</v>
      </c>
      <c r="Y38" s="8">
        <f t="array" ref="Y38">XLOOKUP($X$1,Custos!$A:$A,Custos!$B:$B)*X38</f>
        <v>0.5</v>
      </c>
      <c r="Z38" s="1">
        <v>2.0</v>
      </c>
      <c r="AA38" s="8">
        <f t="array" ref="AA38">XLOOKUP($Z$1,Custos!$A:$A,Custos!$B:$B)*Z38</f>
        <v>6</v>
      </c>
      <c r="AB38" s="1">
        <v>52.0</v>
      </c>
      <c r="AC38" s="8">
        <f t="array" ref="AC38">XLOOKUP($AB$1,Custos!$A:$A,Custos!$B:$B)*AB38</f>
        <v>208</v>
      </c>
      <c r="AD38" s="1">
        <f t="shared" si="3"/>
        <v>1.3</v>
      </c>
    </row>
    <row r="39">
      <c r="A39" s="10" t="s">
        <v>292</v>
      </c>
      <c r="B39" s="1" t="s">
        <v>243</v>
      </c>
      <c r="C39" s="4"/>
      <c r="D39" s="1">
        <v>2.0</v>
      </c>
      <c r="E39" s="10" t="s">
        <v>291</v>
      </c>
      <c r="F39" s="1">
        <v>600.0</v>
      </c>
      <c r="G39" s="8">
        <f t="array" ref="G39">XLOOKUP("branco_tx",Texturas!A:A,Texturas!F:F)*H39+M39+O39+Q39+S39+U39+W39+Y39+AA39+AC39</f>
        <v>337.44</v>
      </c>
      <c r="H39" s="4">
        <f t="array" ref="H39">XLOOKUP(A39,Pecas!A:A,Pecas!DN:DN)</f>
        <v>1.97</v>
      </c>
      <c r="I39" s="8">
        <f t="array" ref="I39">XLOOKUP("branco_tx",Custos!$A:$A,Custos!$B:$B)*H39</f>
        <v>492.5</v>
      </c>
      <c r="J39" s="4">
        <f t="array" ref="J39">XLOOKUP(A39,Pecas!A:A,Pecas!DO:DO)</f>
        <v>1.48</v>
      </c>
      <c r="K39" s="1">
        <v>2.0</v>
      </c>
      <c r="L39" s="1">
        <v>4.0</v>
      </c>
      <c r="M39" s="8">
        <f t="array" ref="M39">XLOOKUP($L$1,Custos!$A:$A,Custos!$B:$B)*L39</f>
        <v>20</v>
      </c>
      <c r="N39" s="4"/>
      <c r="O39" s="8">
        <f t="array" ref="O39">XLOOKUP($N$1,Custos!$A:$A,Custos!$B:$B)*N39</f>
        <v>0</v>
      </c>
      <c r="P39" s="1">
        <f t="shared" si="1"/>
        <v>8</v>
      </c>
      <c r="Q39" s="8">
        <f t="array" ref="Q39">XLOOKUP($P$1,Custos!$A:$A,Custos!$B:$B)*P39</f>
        <v>0.448</v>
      </c>
      <c r="R39" s="4"/>
      <c r="S39" s="8">
        <f t="array" ref="S39">XLOOKUP($R$1,Custos!$A:$A,Custos!$B:$B)*R39</f>
        <v>0</v>
      </c>
      <c r="T39" s="1">
        <v>15.0</v>
      </c>
      <c r="U39" s="8">
        <f t="array" ref="U39">XLOOKUP($T$1,Custos!$A:$A,Custos!$B:$B)*T39</f>
        <v>1.11</v>
      </c>
      <c r="V39" s="1">
        <v>12.0</v>
      </c>
      <c r="W39" s="8">
        <f t="array" ref="W39">XLOOKUP($V$1,Custos!$A:$A,Custos!$B:$B)*V39</f>
        <v>0.912</v>
      </c>
      <c r="X39" s="1">
        <f t="shared" si="2"/>
        <v>2</v>
      </c>
      <c r="Y39" s="8">
        <f t="array" ref="Y39">XLOOKUP($X$1,Custos!$A:$A,Custos!$B:$B)*X39</f>
        <v>0.5</v>
      </c>
      <c r="Z39" s="1">
        <v>2.0</v>
      </c>
      <c r="AA39" s="8">
        <f t="array" ref="AA39">XLOOKUP($Z$1,Custos!$A:$A,Custos!$B:$B)*Z39</f>
        <v>6</v>
      </c>
      <c r="AB39" s="1">
        <v>52.0</v>
      </c>
      <c r="AC39" s="8">
        <f t="array" ref="AC39">XLOOKUP($AB$1,Custos!$A:$A,Custos!$B:$B)*AB39</f>
        <v>208</v>
      </c>
      <c r="AD39" s="1">
        <f t="shared" si="3"/>
        <v>1.3</v>
      </c>
    </row>
    <row r="40">
      <c r="A40" s="10" t="s">
        <v>293</v>
      </c>
      <c r="B40" s="1" t="s">
        <v>248</v>
      </c>
      <c r="C40" s="4"/>
      <c r="D40" s="1">
        <v>3.0</v>
      </c>
      <c r="E40" s="10" t="s">
        <v>291</v>
      </c>
      <c r="F40" s="1">
        <v>600.0</v>
      </c>
      <c r="G40" s="8">
        <f t="array" ref="G40">XLOOKUP("branco_tx",Texturas!A:A,Texturas!F:F)*H40+M40+O40+Q40+S40+U40+W40+Y40+AA40+AC40</f>
        <v>337.44</v>
      </c>
      <c r="H40" s="4">
        <f t="array" ref="H40">XLOOKUP(A40,Pecas!A:A,Pecas!DN:DN)</f>
        <v>1.97</v>
      </c>
      <c r="I40" s="8">
        <f t="array" ref="I40">XLOOKUP("branco_tx",Custos!$A:$A,Custos!$B:$B)*H40</f>
        <v>492.5</v>
      </c>
      <c r="J40" s="4">
        <f t="array" ref="J40">XLOOKUP(A40,Pecas!A:A,Pecas!DO:DO)</f>
        <v>1.48</v>
      </c>
      <c r="K40" s="1">
        <v>2.0</v>
      </c>
      <c r="L40" s="1">
        <v>4.0</v>
      </c>
      <c r="M40" s="8">
        <f t="array" ref="M40">XLOOKUP($L$1,Custos!$A:$A,Custos!$B:$B)*L40</f>
        <v>20</v>
      </c>
      <c r="N40" s="4"/>
      <c r="O40" s="8">
        <f t="array" ref="O40">XLOOKUP($N$1,Custos!$A:$A,Custos!$B:$B)*N40</f>
        <v>0</v>
      </c>
      <c r="P40" s="1">
        <f t="shared" si="1"/>
        <v>8</v>
      </c>
      <c r="Q40" s="8">
        <f t="array" ref="Q40">XLOOKUP($P$1,Custos!$A:$A,Custos!$B:$B)*P40</f>
        <v>0.448</v>
      </c>
      <c r="R40" s="4"/>
      <c r="S40" s="8">
        <f t="array" ref="S40">XLOOKUP($R$1,Custos!$A:$A,Custos!$B:$B)*R40</f>
        <v>0</v>
      </c>
      <c r="T40" s="1">
        <v>15.0</v>
      </c>
      <c r="U40" s="8">
        <f t="array" ref="U40">XLOOKUP($T$1,Custos!$A:$A,Custos!$B:$B)*T40</f>
        <v>1.11</v>
      </c>
      <c r="V40" s="1">
        <v>12.0</v>
      </c>
      <c r="W40" s="8">
        <f t="array" ref="W40">XLOOKUP($V$1,Custos!$A:$A,Custos!$B:$B)*V40</f>
        <v>0.912</v>
      </c>
      <c r="X40" s="1">
        <f t="shared" si="2"/>
        <v>2</v>
      </c>
      <c r="Y40" s="8">
        <f t="array" ref="Y40">XLOOKUP($X$1,Custos!$A:$A,Custos!$B:$B)*X40</f>
        <v>0.5</v>
      </c>
      <c r="Z40" s="1">
        <v>2.0</v>
      </c>
      <c r="AA40" s="8">
        <f t="array" ref="AA40">XLOOKUP($Z$1,Custos!$A:$A,Custos!$B:$B)*Z40</f>
        <v>6</v>
      </c>
      <c r="AB40" s="1">
        <v>52.0</v>
      </c>
      <c r="AC40" s="8">
        <f t="array" ref="AC40">XLOOKUP($AB$1,Custos!$A:$A,Custos!$B:$B)*AB40</f>
        <v>208</v>
      </c>
      <c r="AD40" s="1">
        <f t="shared" si="3"/>
        <v>1.3</v>
      </c>
    </row>
    <row r="41">
      <c r="A41" s="10" t="s">
        <v>294</v>
      </c>
      <c r="B41" s="1" t="s">
        <v>251</v>
      </c>
      <c r="C41" s="4"/>
      <c r="D41" s="1">
        <v>4.0</v>
      </c>
      <c r="E41" s="10" t="s">
        <v>291</v>
      </c>
      <c r="F41" s="1">
        <v>600.0</v>
      </c>
      <c r="G41" s="8">
        <f t="array" ref="G41">XLOOKUP("branco_tx",Texturas!A:A,Texturas!F:F)*H41+M41+O41+Q41+S41+U41+W41+Y41+AA41+AC41</f>
        <v>337.44</v>
      </c>
      <c r="H41" s="4">
        <f t="array" ref="H41">XLOOKUP(A41,Pecas!A:A,Pecas!DN:DN)</f>
        <v>1.97</v>
      </c>
      <c r="I41" s="8">
        <f t="array" ref="I41">XLOOKUP("branco_tx",Custos!$A:$A,Custos!$B:$B)*H41</f>
        <v>492.5</v>
      </c>
      <c r="J41" s="4">
        <f t="array" ref="J41">XLOOKUP(A41,Pecas!A:A,Pecas!DO:DO)</f>
        <v>1.48</v>
      </c>
      <c r="K41" s="1">
        <v>2.0</v>
      </c>
      <c r="L41" s="1">
        <v>4.0</v>
      </c>
      <c r="M41" s="8">
        <f t="array" ref="M41">XLOOKUP($L$1,Custos!$A:$A,Custos!$B:$B)*L41</f>
        <v>20</v>
      </c>
      <c r="N41" s="4"/>
      <c r="O41" s="8">
        <f t="array" ref="O41">XLOOKUP($N$1,Custos!$A:$A,Custos!$B:$B)*N41</f>
        <v>0</v>
      </c>
      <c r="P41" s="1">
        <f t="shared" si="1"/>
        <v>8</v>
      </c>
      <c r="Q41" s="8">
        <f t="array" ref="Q41">XLOOKUP($P$1,Custos!$A:$A,Custos!$B:$B)*P41</f>
        <v>0.448</v>
      </c>
      <c r="R41" s="4"/>
      <c r="S41" s="8">
        <f t="array" ref="S41">XLOOKUP($R$1,Custos!$A:$A,Custos!$B:$B)*R41</f>
        <v>0</v>
      </c>
      <c r="T41" s="1">
        <v>15.0</v>
      </c>
      <c r="U41" s="8">
        <f t="array" ref="U41">XLOOKUP($T$1,Custos!$A:$A,Custos!$B:$B)*T41</f>
        <v>1.11</v>
      </c>
      <c r="V41" s="1">
        <v>12.0</v>
      </c>
      <c r="W41" s="8">
        <f t="array" ref="W41">XLOOKUP($V$1,Custos!$A:$A,Custos!$B:$B)*V41</f>
        <v>0.912</v>
      </c>
      <c r="X41" s="1">
        <f t="shared" si="2"/>
        <v>2</v>
      </c>
      <c r="Y41" s="8">
        <f t="array" ref="Y41">XLOOKUP($X$1,Custos!$A:$A,Custos!$B:$B)*X41</f>
        <v>0.5</v>
      </c>
      <c r="Z41" s="1">
        <v>2.0</v>
      </c>
      <c r="AA41" s="8">
        <f t="array" ref="AA41">XLOOKUP($Z$1,Custos!$A:$A,Custos!$B:$B)*Z41</f>
        <v>6</v>
      </c>
      <c r="AB41" s="1">
        <v>52.0</v>
      </c>
      <c r="AC41" s="8">
        <f t="array" ref="AC41">XLOOKUP($AB$1,Custos!$A:$A,Custos!$B:$B)*AB41</f>
        <v>208</v>
      </c>
      <c r="AD41" s="1">
        <f t="shared" si="3"/>
        <v>1.3</v>
      </c>
    </row>
    <row r="42">
      <c r="A42" s="10" t="s">
        <v>295</v>
      </c>
      <c r="B42" s="11" t="s">
        <v>254</v>
      </c>
      <c r="C42" s="4"/>
      <c r="D42" s="1">
        <v>5.0</v>
      </c>
      <c r="E42" s="10" t="s">
        <v>291</v>
      </c>
      <c r="F42" s="1">
        <v>600.0</v>
      </c>
      <c r="G42" s="8">
        <f t="array" ref="G42">XLOOKUP("branco_tx",Texturas!A:A,Texturas!F:F)*H42+M42+O42+Q42+S42+U42+W42+Y42+AA42+AC42</f>
        <v>337.44</v>
      </c>
      <c r="H42" s="4">
        <f t="array" ref="H42">XLOOKUP(A42,Pecas!A:A,Pecas!DN:DN)</f>
        <v>1.97</v>
      </c>
      <c r="I42" s="8">
        <f t="array" ref="I42">XLOOKUP("branco_tx",Custos!$A:$A,Custos!$B:$B)*H42</f>
        <v>492.5</v>
      </c>
      <c r="J42" s="4">
        <f t="array" ref="J42">XLOOKUP(A42,Pecas!A:A,Pecas!DO:DO)</f>
        <v>1.48</v>
      </c>
      <c r="K42" s="1">
        <v>2.0</v>
      </c>
      <c r="L42" s="1">
        <v>4.0</v>
      </c>
      <c r="M42" s="8">
        <f t="array" ref="M42">XLOOKUP($L$1,Custos!$A:$A,Custos!$B:$B)*L42</f>
        <v>20</v>
      </c>
      <c r="N42" s="4"/>
      <c r="O42" s="8">
        <f t="array" ref="O42">XLOOKUP($N$1,Custos!$A:$A,Custos!$B:$B)*N42</f>
        <v>0</v>
      </c>
      <c r="P42" s="1">
        <f t="shared" si="1"/>
        <v>8</v>
      </c>
      <c r="Q42" s="8">
        <f t="array" ref="Q42">XLOOKUP($P$1,Custos!$A:$A,Custos!$B:$B)*P42</f>
        <v>0.448</v>
      </c>
      <c r="R42" s="4"/>
      <c r="S42" s="8">
        <f t="array" ref="S42">XLOOKUP($R$1,Custos!$A:$A,Custos!$B:$B)*R42</f>
        <v>0</v>
      </c>
      <c r="T42" s="1">
        <v>15.0</v>
      </c>
      <c r="U42" s="8">
        <f t="array" ref="U42">XLOOKUP($T$1,Custos!$A:$A,Custos!$B:$B)*T42</f>
        <v>1.11</v>
      </c>
      <c r="V42" s="1">
        <v>12.0</v>
      </c>
      <c r="W42" s="8">
        <f t="array" ref="W42">XLOOKUP($V$1,Custos!$A:$A,Custos!$B:$B)*V42</f>
        <v>0.912</v>
      </c>
      <c r="X42" s="1">
        <f t="shared" si="2"/>
        <v>2</v>
      </c>
      <c r="Y42" s="8">
        <f t="array" ref="Y42">XLOOKUP($X$1,Custos!$A:$A,Custos!$B:$B)*X42</f>
        <v>0.5</v>
      </c>
      <c r="Z42" s="1">
        <v>2.0</v>
      </c>
      <c r="AA42" s="8">
        <f t="array" ref="AA42">XLOOKUP($Z$1,Custos!$A:$A,Custos!$B:$B)*Z42</f>
        <v>6</v>
      </c>
      <c r="AB42" s="1">
        <v>52.0</v>
      </c>
      <c r="AC42" s="8">
        <f t="array" ref="AC42">XLOOKUP($AB$1,Custos!$A:$A,Custos!$B:$B)*AB42</f>
        <v>208</v>
      </c>
      <c r="AD42" s="1">
        <f t="shared" si="3"/>
        <v>1.3</v>
      </c>
    </row>
    <row r="43">
      <c r="A43" s="10" t="s">
        <v>296</v>
      </c>
      <c r="B43" s="11" t="s">
        <v>240</v>
      </c>
      <c r="C43" s="4"/>
      <c r="D43" s="1">
        <v>1.0</v>
      </c>
      <c r="E43" s="10" t="s">
        <v>297</v>
      </c>
      <c r="F43" s="1">
        <v>600.0</v>
      </c>
      <c r="G43" s="8">
        <f t="array" ref="G43">XLOOKUP("branco_tx",Texturas!A:A,Texturas!F:F)*H43+M43+O43+Q43+S43+U43+W43+Y43+AA43+AC43</f>
        <v>353.44</v>
      </c>
      <c r="H43" s="4">
        <f t="array" ref="H43">XLOOKUP(A43,Pecas!A:A,Pecas!DN:DN)</f>
        <v>1.97</v>
      </c>
      <c r="I43" s="8">
        <f t="array" ref="I43">XLOOKUP("branco_tx",Custos!$A:$A,Custos!$B:$B)*H43</f>
        <v>492.5</v>
      </c>
      <c r="J43" s="4">
        <f t="array" ref="J43">XLOOKUP(A43,Pecas!A:A,Pecas!DO:DO)</f>
        <v>1.48</v>
      </c>
      <c r="K43" s="1">
        <v>2.0</v>
      </c>
      <c r="L43" s="1">
        <v>4.0</v>
      </c>
      <c r="M43" s="8">
        <f t="array" ref="M43">XLOOKUP($L$1,Custos!$A:$A,Custos!$B:$B)*L43</f>
        <v>20</v>
      </c>
      <c r="N43" s="4"/>
      <c r="O43" s="8">
        <f t="array" ref="O43">XLOOKUP($N$1,Custos!$A:$A,Custos!$B:$B)*N43</f>
        <v>0</v>
      </c>
      <c r="P43" s="1">
        <f t="shared" si="1"/>
        <v>8</v>
      </c>
      <c r="Q43" s="8">
        <f t="array" ref="Q43">XLOOKUP($P$1,Custos!$A:$A,Custos!$B:$B)*P43</f>
        <v>0.448</v>
      </c>
      <c r="R43" s="4"/>
      <c r="S43" s="8">
        <f t="array" ref="S43">XLOOKUP($R$1,Custos!$A:$A,Custos!$B:$B)*R43</f>
        <v>0</v>
      </c>
      <c r="T43" s="1">
        <v>15.0</v>
      </c>
      <c r="U43" s="8">
        <f t="array" ref="U43">XLOOKUP($T$1,Custos!$A:$A,Custos!$B:$B)*T43</f>
        <v>1.11</v>
      </c>
      <c r="V43" s="1">
        <v>12.0</v>
      </c>
      <c r="W43" s="8">
        <f t="array" ref="W43">XLOOKUP($V$1,Custos!$A:$A,Custos!$B:$B)*V43</f>
        <v>0.912</v>
      </c>
      <c r="X43" s="1">
        <f t="shared" si="2"/>
        <v>2</v>
      </c>
      <c r="Y43" s="8">
        <f t="array" ref="Y43">XLOOKUP($X$1,Custos!$A:$A,Custos!$B:$B)*X43</f>
        <v>0.5</v>
      </c>
      <c r="Z43" s="1">
        <v>2.0</v>
      </c>
      <c r="AA43" s="8">
        <f t="array" ref="AA43">XLOOKUP($Z$1,Custos!$A:$A,Custos!$B:$B)*Z43</f>
        <v>6</v>
      </c>
      <c r="AB43" s="1">
        <v>56.0</v>
      </c>
      <c r="AC43" s="8">
        <f t="array" ref="AC43">XLOOKUP($AB$1,Custos!$A:$A,Custos!$B:$B)*AB43</f>
        <v>224</v>
      </c>
      <c r="AD43" s="1">
        <f t="shared" si="3"/>
        <v>1.3</v>
      </c>
    </row>
    <row r="44">
      <c r="A44" s="10" t="s">
        <v>298</v>
      </c>
      <c r="B44" s="1" t="s">
        <v>243</v>
      </c>
      <c r="C44" s="4"/>
      <c r="D44" s="1">
        <v>2.0</v>
      </c>
      <c r="E44" s="10" t="s">
        <v>297</v>
      </c>
      <c r="F44" s="1">
        <v>600.0</v>
      </c>
      <c r="G44" s="8">
        <f t="array" ref="G44">XLOOKUP("branco_tx",Texturas!A:A,Texturas!F:F)*H44+M44+O44+Q44+S44+U44+W44+Y44+AA44+AC44</f>
        <v>353.44</v>
      </c>
      <c r="H44" s="4">
        <f t="array" ref="H44">XLOOKUP(A44,Pecas!A:A,Pecas!DN:DN)</f>
        <v>1.97</v>
      </c>
      <c r="I44" s="8">
        <f t="array" ref="I44">XLOOKUP("branco_tx",Custos!$A:$A,Custos!$B:$B)*H44</f>
        <v>492.5</v>
      </c>
      <c r="J44" s="4">
        <f t="array" ref="J44">XLOOKUP(A44,Pecas!A:A,Pecas!DO:DO)</f>
        <v>1.48</v>
      </c>
      <c r="K44" s="1">
        <v>2.0</v>
      </c>
      <c r="L44" s="1">
        <v>4.0</v>
      </c>
      <c r="M44" s="8">
        <f t="array" ref="M44">XLOOKUP($L$1,Custos!$A:$A,Custos!$B:$B)*L44</f>
        <v>20</v>
      </c>
      <c r="N44" s="4"/>
      <c r="O44" s="8">
        <f t="array" ref="O44">XLOOKUP($N$1,Custos!$A:$A,Custos!$B:$B)*N44</f>
        <v>0</v>
      </c>
      <c r="P44" s="1">
        <f t="shared" si="1"/>
        <v>8</v>
      </c>
      <c r="Q44" s="8">
        <f t="array" ref="Q44">XLOOKUP($P$1,Custos!$A:$A,Custos!$B:$B)*P44</f>
        <v>0.448</v>
      </c>
      <c r="R44" s="4"/>
      <c r="S44" s="8">
        <f t="array" ref="S44">XLOOKUP($R$1,Custos!$A:$A,Custos!$B:$B)*R44</f>
        <v>0</v>
      </c>
      <c r="T44" s="1">
        <v>15.0</v>
      </c>
      <c r="U44" s="8">
        <f t="array" ref="U44">XLOOKUP($T$1,Custos!$A:$A,Custos!$B:$B)*T44</f>
        <v>1.11</v>
      </c>
      <c r="V44" s="1">
        <v>12.0</v>
      </c>
      <c r="W44" s="8">
        <f t="array" ref="W44">XLOOKUP($V$1,Custos!$A:$A,Custos!$B:$B)*V44</f>
        <v>0.912</v>
      </c>
      <c r="X44" s="1">
        <f t="shared" si="2"/>
        <v>2</v>
      </c>
      <c r="Y44" s="8">
        <f t="array" ref="Y44">XLOOKUP($X$1,Custos!$A:$A,Custos!$B:$B)*X44</f>
        <v>0.5</v>
      </c>
      <c r="Z44" s="1">
        <v>2.0</v>
      </c>
      <c r="AA44" s="8">
        <f t="array" ref="AA44">XLOOKUP($Z$1,Custos!$A:$A,Custos!$B:$B)*Z44</f>
        <v>6</v>
      </c>
      <c r="AB44" s="1">
        <v>56.0</v>
      </c>
      <c r="AC44" s="8">
        <f t="array" ref="AC44">XLOOKUP($AB$1,Custos!$A:$A,Custos!$B:$B)*AB44</f>
        <v>224</v>
      </c>
      <c r="AD44" s="1">
        <f t="shared" si="3"/>
        <v>1.3</v>
      </c>
    </row>
    <row r="45">
      <c r="A45" s="10" t="s">
        <v>299</v>
      </c>
      <c r="B45" s="1" t="s">
        <v>248</v>
      </c>
      <c r="C45" s="4"/>
      <c r="D45" s="1">
        <v>3.0</v>
      </c>
      <c r="E45" s="10" t="s">
        <v>297</v>
      </c>
      <c r="F45" s="1">
        <v>600.0</v>
      </c>
      <c r="G45" s="8">
        <f t="array" ref="G45">XLOOKUP("branco_tx",Texturas!A:A,Texturas!F:F)*H45+M45+O45+Q45+S45+U45+W45+Y45+AA45+AC45</f>
        <v>353.44</v>
      </c>
      <c r="H45" s="4">
        <f t="array" ref="H45">XLOOKUP(A45,Pecas!A:A,Pecas!DN:DN)</f>
        <v>1.97</v>
      </c>
      <c r="I45" s="8">
        <f t="array" ref="I45">XLOOKUP("branco_tx",Custos!$A:$A,Custos!$B:$B)*H45</f>
        <v>492.5</v>
      </c>
      <c r="J45" s="4">
        <f t="array" ref="J45">XLOOKUP(A45,Pecas!A:A,Pecas!DO:DO)</f>
        <v>1.48</v>
      </c>
      <c r="K45" s="1">
        <v>2.0</v>
      </c>
      <c r="L45" s="1">
        <v>4.0</v>
      </c>
      <c r="M45" s="8">
        <f t="array" ref="M45">XLOOKUP($L$1,Custos!$A:$A,Custos!$B:$B)*L45</f>
        <v>20</v>
      </c>
      <c r="N45" s="4"/>
      <c r="O45" s="8">
        <f t="array" ref="O45">XLOOKUP($N$1,Custos!$A:$A,Custos!$B:$B)*N45</f>
        <v>0</v>
      </c>
      <c r="P45" s="1">
        <f t="shared" si="1"/>
        <v>8</v>
      </c>
      <c r="Q45" s="8">
        <f t="array" ref="Q45">XLOOKUP($P$1,Custos!$A:$A,Custos!$B:$B)*P45</f>
        <v>0.448</v>
      </c>
      <c r="R45" s="4"/>
      <c r="S45" s="8">
        <f t="array" ref="S45">XLOOKUP($R$1,Custos!$A:$A,Custos!$B:$B)*R45</f>
        <v>0</v>
      </c>
      <c r="T45" s="1">
        <v>15.0</v>
      </c>
      <c r="U45" s="8">
        <f t="array" ref="U45">XLOOKUP($T$1,Custos!$A:$A,Custos!$B:$B)*T45</f>
        <v>1.11</v>
      </c>
      <c r="V45" s="1">
        <v>12.0</v>
      </c>
      <c r="W45" s="8">
        <f t="array" ref="W45">XLOOKUP($V$1,Custos!$A:$A,Custos!$B:$B)*V45</f>
        <v>0.912</v>
      </c>
      <c r="X45" s="1">
        <f t="shared" si="2"/>
        <v>2</v>
      </c>
      <c r="Y45" s="8">
        <f t="array" ref="Y45">XLOOKUP($X$1,Custos!$A:$A,Custos!$B:$B)*X45</f>
        <v>0.5</v>
      </c>
      <c r="Z45" s="1">
        <v>2.0</v>
      </c>
      <c r="AA45" s="8">
        <f t="array" ref="AA45">XLOOKUP($Z$1,Custos!$A:$A,Custos!$B:$B)*Z45</f>
        <v>6</v>
      </c>
      <c r="AB45" s="1">
        <v>56.0</v>
      </c>
      <c r="AC45" s="8">
        <f t="array" ref="AC45">XLOOKUP($AB$1,Custos!$A:$A,Custos!$B:$B)*AB45</f>
        <v>224</v>
      </c>
      <c r="AD45" s="1">
        <f t="shared" si="3"/>
        <v>1.3</v>
      </c>
    </row>
    <row r="46">
      <c r="A46" s="10" t="s">
        <v>300</v>
      </c>
      <c r="B46" s="1" t="s">
        <v>251</v>
      </c>
      <c r="C46" s="4"/>
      <c r="D46" s="1">
        <v>4.0</v>
      </c>
      <c r="E46" s="10" t="s">
        <v>297</v>
      </c>
      <c r="F46" s="1">
        <v>600.0</v>
      </c>
      <c r="G46" s="8">
        <f t="array" ref="G46">XLOOKUP("branco_tx",Texturas!A:A,Texturas!F:F)*H46+M46+O46+Q46+S46+U46+W46+Y46+AA46+AC46</f>
        <v>353.44</v>
      </c>
      <c r="H46" s="4">
        <f t="array" ref="H46">XLOOKUP(A46,Pecas!A:A,Pecas!DN:DN)</f>
        <v>1.97</v>
      </c>
      <c r="I46" s="8">
        <f t="array" ref="I46">XLOOKUP("branco_tx",Custos!$A:$A,Custos!$B:$B)*H46</f>
        <v>492.5</v>
      </c>
      <c r="J46" s="4">
        <f t="array" ref="J46">XLOOKUP(A46,Pecas!A:A,Pecas!DO:DO)</f>
        <v>1.48</v>
      </c>
      <c r="K46" s="1">
        <v>2.0</v>
      </c>
      <c r="L46" s="1">
        <v>4.0</v>
      </c>
      <c r="M46" s="8">
        <f t="array" ref="M46">XLOOKUP($L$1,Custos!$A:$A,Custos!$B:$B)*L46</f>
        <v>20</v>
      </c>
      <c r="N46" s="4"/>
      <c r="O46" s="8">
        <f t="array" ref="O46">XLOOKUP($N$1,Custos!$A:$A,Custos!$B:$B)*N46</f>
        <v>0</v>
      </c>
      <c r="P46" s="1">
        <f t="shared" si="1"/>
        <v>8</v>
      </c>
      <c r="Q46" s="8">
        <f t="array" ref="Q46">XLOOKUP($P$1,Custos!$A:$A,Custos!$B:$B)*P46</f>
        <v>0.448</v>
      </c>
      <c r="R46" s="4"/>
      <c r="S46" s="8">
        <f t="array" ref="S46">XLOOKUP($R$1,Custos!$A:$A,Custos!$B:$B)*R46</f>
        <v>0</v>
      </c>
      <c r="T46" s="1">
        <v>15.0</v>
      </c>
      <c r="U46" s="8">
        <f t="array" ref="U46">XLOOKUP($T$1,Custos!$A:$A,Custos!$B:$B)*T46</f>
        <v>1.11</v>
      </c>
      <c r="V46" s="1">
        <v>12.0</v>
      </c>
      <c r="W46" s="8">
        <f t="array" ref="W46">XLOOKUP($V$1,Custos!$A:$A,Custos!$B:$B)*V46</f>
        <v>0.912</v>
      </c>
      <c r="X46" s="1">
        <f t="shared" si="2"/>
        <v>2</v>
      </c>
      <c r="Y46" s="8">
        <f t="array" ref="Y46">XLOOKUP($X$1,Custos!$A:$A,Custos!$B:$B)*X46</f>
        <v>0.5</v>
      </c>
      <c r="Z46" s="1">
        <v>2.0</v>
      </c>
      <c r="AA46" s="8">
        <f t="array" ref="AA46">XLOOKUP($Z$1,Custos!$A:$A,Custos!$B:$B)*Z46</f>
        <v>6</v>
      </c>
      <c r="AB46" s="1">
        <v>56.0</v>
      </c>
      <c r="AC46" s="8">
        <f t="array" ref="AC46">XLOOKUP($AB$1,Custos!$A:$A,Custos!$B:$B)*AB46</f>
        <v>224</v>
      </c>
      <c r="AD46" s="1">
        <f t="shared" si="3"/>
        <v>1.3</v>
      </c>
    </row>
    <row r="47">
      <c r="A47" s="10" t="s">
        <v>301</v>
      </c>
      <c r="B47" s="11" t="s">
        <v>254</v>
      </c>
      <c r="C47" s="1" t="s">
        <v>7</v>
      </c>
      <c r="D47" s="1">
        <v>5.0</v>
      </c>
      <c r="E47" s="10" t="s">
        <v>297</v>
      </c>
      <c r="F47" s="1">
        <v>600.0</v>
      </c>
      <c r="G47" s="8">
        <f t="array" ref="G47">XLOOKUP("branco_tx",Texturas!A:A,Texturas!F:F)*H47+M47+O47+Q47+S47+U47+W47+Y47+AA47+AC47</f>
        <v>353.44</v>
      </c>
      <c r="H47" s="4">
        <f t="array" ref="H47">XLOOKUP(A47,Pecas!A:A,Pecas!DN:DN)</f>
        <v>1.97</v>
      </c>
      <c r="I47" s="8">
        <f t="array" ref="I47">XLOOKUP("branco_tx",Custos!$A:$A,Custos!$B:$B)*H47</f>
        <v>492.5</v>
      </c>
      <c r="J47" s="4">
        <f t="array" ref="J47">XLOOKUP(A47,Pecas!A:A,Pecas!DO:DO)</f>
        <v>1.48</v>
      </c>
      <c r="K47" s="1">
        <v>2.0</v>
      </c>
      <c r="L47" s="1">
        <v>4.0</v>
      </c>
      <c r="M47" s="8">
        <f t="array" ref="M47">XLOOKUP($L$1,Custos!$A:$A,Custos!$B:$B)*L47</f>
        <v>20</v>
      </c>
      <c r="N47" s="4"/>
      <c r="O47" s="8">
        <f t="array" ref="O47">XLOOKUP($N$1,Custos!$A:$A,Custos!$B:$B)*N47</f>
        <v>0</v>
      </c>
      <c r="P47" s="1">
        <f t="shared" si="1"/>
        <v>8</v>
      </c>
      <c r="Q47" s="8">
        <f t="array" ref="Q47">XLOOKUP($P$1,Custos!$A:$A,Custos!$B:$B)*P47</f>
        <v>0.448</v>
      </c>
      <c r="R47" s="4"/>
      <c r="S47" s="8">
        <f t="array" ref="S47">XLOOKUP($R$1,Custos!$A:$A,Custos!$B:$B)*R47</f>
        <v>0</v>
      </c>
      <c r="T47" s="1">
        <v>15.0</v>
      </c>
      <c r="U47" s="8">
        <f t="array" ref="U47">XLOOKUP($T$1,Custos!$A:$A,Custos!$B:$B)*T47</f>
        <v>1.11</v>
      </c>
      <c r="V47" s="1">
        <v>12.0</v>
      </c>
      <c r="W47" s="8">
        <f t="array" ref="W47">XLOOKUP($V$1,Custos!$A:$A,Custos!$B:$B)*V47</f>
        <v>0.912</v>
      </c>
      <c r="X47" s="1">
        <f t="shared" si="2"/>
        <v>2</v>
      </c>
      <c r="Y47" s="8">
        <f t="array" ref="Y47">XLOOKUP($X$1,Custos!$A:$A,Custos!$B:$B)*X47</f>
        <v>0.5</v>
      </c>
      <c r="Z47" s="1">
        <v>2.0</v>
      </c>
      <c r="AA47" s="8">
        <f t="array" ref="AA47">XLOOKUP($Z$1,Custos!$A:$A,Custos!$B:$B)*Z47</f>
        <v>6</v>
      </c>
      <c r="AB47" s="1">
        <v>56.0</v>
      </c>
      <c r="AC47" s="8">
        <f t="array" ref="AC47">XLOOKUP($AB$1,Custos!$A:$A,Custos!$B:$B)*AB47</f>
        <v>224</v>
      </c>
      <c r="AD47" s="1">
        <f t="shared" si="3"/>
        <v>1.3</v>
      </c>
    </row>
    <row r="48">
      <c r="B48" s="4"/>
      <c r="C48" s="4"/>
      <c r="D48" s="4"/>
      <c r="F48" s="4"/>
      <c r="G48" s="8"/>
      <c r="H48" s="4"/>
      <c r="I48" s="4"/>
      <c r="J48" s="4"/>
      <c r="K48" s="4"/>
      <c r="L48" s="4"/>
      <c r="M48" s="8"/>
      <c r="N48" s="4"/>
      <c r="O48" s="8"/>
      <c r="P48" s="4"/>
      <c r="Q48" s="8"/>
      <c r="R48" s="4"/>
      <c r="S48" s="8"/>
      <c r="T48" s="4"/>
      <c r="U48" s="8"/>
      <c r="V48" s="4"/>
      <c r="W48" s="8"/>
      <c r="X48" s="4"/>
      <c r="Y48" s="8"/>
      <c r="Z48" s="4"/>
      <c r="AA48" s="2"/>
      <c r="AB48" s="4"/>
      <c r="AC48" s="8"/>
      <c r="AD48" s="4"/>
    </row>
    <row r="49">
      <c r="B49" s="4"/>
      <c r="C49" s="4"/>
      <c r="D49" s="4"/>
      <c r="F49" s="4"/>
      <c r="G49" s="8"/>
      <c r="H49" s="4"/>
      <c r="I49" s="4"/>
      <c r="J49" s="4"/>
      <c r="K49" s="4"/>
      <c r="L49" s="4"/>
      <c r="M49" s="8"/>
      <c r="N49" s="4"/>
      <c r="O49" s="8"/>
      <c r="P49" s="4"/>
      <c r="Q49" s="8"/>
      <c r="R49" s="4"/>
      <c r="S49" s="8"/>
      <c r="T49" s="4"/>
      <c r="U49" s="8"/>
      <c r="V49" s="4"/>
      <c r="W49" s="8"/>
      <c r="X49" s="4"/>
      <c r="Y49" s="8"/>
      <c r="Z49" s="4"/>
      <c r="AA49" s="2"/>
      <c r="AB49" s="4"/>
      <c r="AC49" s="8"/>
      <c r="AD49" s="4"/>
    </row>
    <row r="50">
      <c r="B50" s="4"/>
      <c r="C50" s="4"/>
      <c r="D50" s="4"/>
      <c r="F50" s="4"/>
      <c r="G50" s="8"/>
      <c r="H50" s="4"/>
      <c r="I50" s="4"/>
      <c r="J50" s="4"/>
      <c r="K50" s="4"/>
      <c r="L50" s="4"/>
      <c r="M50" s="8"/>
      <c r="N50" s="4"/>
      <c r="O50" s="8"/>
      <c r="P50" s="4"/>
      <c r="Q50" s="8"/>
      <c r="R50" s="4"/>
      <c r="S50" s="8"/>
      <c r="T50" s="4"/>
      <c r="U50" s="8"/>
      <c r="V50" s="4"/>
      <c r="W50" s="8"/>
      <c r="X50" s="4"/>
      <c r="Y50" s="8"/>
      <c r="Z50" s="4"/>
      <c r="AA50" s="2"/>
      <c r="AB50" s="4"/>
      <c r="AC50" s="8"/>
      <c r="AD50" s="4"/>
    </row>
    <row r="51">
      <c r="B51" s="4"/>
      <c r="C51" s="4"/>
      <c r="D51" s="4"/>
      <c r="F51" s="4"/>
      <c r="G51" s="8"/>
      <c r="H51" s="4"/>
      <c r="I51" s="4"/>
      <c r="J51" s="4"/>
      <c r="K51" s="4"/>
      <c r="L51" s="4"/>
      <c r="M51" s="8"/>
      <c r="N51" s="4"/>
      <c r="O51" s="8"/>
      <c r="P51" s="4"/>
      <c r="Q51" s="8"/>
      <c r="R51" s="4"/>
      <c r="S51" s="8"/>
      <c r="T51" s="4"/>
      <c r="U51" s="8"/>
      <c r="V51" s="4"/>
      <c r="W51" s="8"/>
      <c r="X51" s="4"/>
      <c r="Y51" s="8"/>
      <c r="Z51" s="4"/>
      <c r="AA51" s="2"/>
      <c r="AB51" s="4"/>
      <c r="AC51" s="8"/>
      <c r="AD51" s="4"/>
    </row>
    <row r="52">
      <c r="B52" s="4"/>
      <c r="C52" s="4"/>
      <c r="D52" s="4"/>
      <c r="F52" s="4"/>
      <c r="G52" s="8"/>
      <c r="H52" s="4"/>
      <c r="I52" s="4"/>
      <c r="J52" s="4"/>
      <c r="K52" s="4"/>
      <c r="L52" s="4"/>
      <c r="M52" s="8"/>
      <c r="N52" s="4"/>
      <c r="O52" s="8"/>
      <c r="P52" s="4"/>
      <c r="Q52" s="8"/>
      <c r="R52" s="4"/>
      <c r="S52" s="8"/>
      <c r="T52" s="4"/>
      <c r="U52" s="8"/>
      <c r="V52" s="4"/>
      <c r="W52" s="8"/>
      <c r="X52" s="4"/>
      <c r="Y52" s="8"/>
      <c r="Z52" s="4"/>
      <c r="AA52" s="2"/>
      <c r="AB52" s="4"/>
      <c r="AC52" s="8"/>
      <c r="AD52" s="4"/>
    </row>
    <row r="53">
      <c r="B53" s="4"/>
      <c r="C53" s="4"/>
      <c r="D53" s="4"/>
      <c r="F53" s="4"/>
      <c r="G53" s="8"/>
      <c r="H53" s="4"/>
      <c r="I53" s="4"/>
      <c r="J53" s="4"/>
      <c r="K53" s="4"/>
      <c r="L53" s="4"/>
      <c r="M53" s="8"/>
      <c r="N53" s="4"/>
      <c r="O53" s="8"/>
      <c r="P53" s="4"/>
      <c r="Q53" s="8"/>
      <c r="R53" s="4"/>
      <c r="S53" s="8"/>
      <c r="T53" s="4"/>
      <c r="U53" s="8"/>
      <c r="V53" s="4"/>
      <c r="W53" s="8"/>
      <c r="X53" s="4"/>
      <c r="Y53" s="8"/>
      <c r="Z53" s="4"/>
      <c r="AA53" s="2"/>
      <c r="AB53" s="4"/>
      <c r="AC53" s="8"/>
      <c r="AD53" s="4"/>
    </row>
    <row r="54">
      <c r="B54" s="4"/>
      <c r="C54" s="4"/>
      <c r="D54" s="4"/>
      <c r="F54" s="4"/>
      <c r="G54" s="8"/>
      <c r="H54" s="4"/>
      <c r="I54" s="4"/>
      <c r="J54" s="4"/>
      <c r="K54" s="4"/>
      <c r="L54" s="4"/>
      <c r="M54" s="8"/>
      <c r="N54" s="4"/>
      <c r="O54" s="8"/>
      <c r="P54" s="4"/>
      <c r="Q54" s="8"/>
      <c r="R54" s="4"/>
      <c r="S54" s="8"/>
      <c r="T54" s="4"/>
      <c r="U54" s="8"/>
      <c r="V54" s="4"/>
      <c r="W54" s="8"/>
      <c r="X54" s="4"/>
      <c r="Y54" s="8"/>
      <c r="Z54" s="4"/>
      <c r="AA54" s="2"/>
      <c r="AB54" s="4"/>
      <c r="AC54" s="8"/>
      <c r="AD54" s="4"/>
    </row>
    <row r="55">
      <c r="B55" s="4"/>
      <c r="C55" s="4"/>
      <c r="D55" s="4"/>
      <c r="F55" s="4"/>
      <c r="G55" s="8"/>
      <c r="H55" s="4"/>
      <c r="I55" s="4"/>
      <c r="J55" s="4"/>
      <c r="K55" s="4"/>
      <c r="L55" s="4"/>
      <c r="M55" s="8"/>
      <c r="N55" s="4"/>
      <c r="O55" s="8"/>
      <c r="P55" s="4"/>
      <c r="Q55" s="8"/>
      <c r="R55" s="4"/>
      <c r="S55" s="8"/>
      <c r="T55" s="4"/>
      <c r="U55" s="8"/>
      <c r="V55" s="4"/>
      <c r="W55" s="8"/>
      <c r="X55" s="4"/>
      <c r="Y55" s="8"/>
      <c r="Z55" s="4"/>
      <c r="AA55" s="2"/>
      <c r="AB55" s="4"/>
      <c r="AC55" s="8"/>
      <c r="AD55" s="4"/>
    </row>
    <row r="56">
      <c r="B56" s="4"/>
      <c r="C56" s="4"/>
      <c r="D56" s="4"/>
      <c r="F56" s="4"/>
      <c r="G56" s="8"/>
      <c r="H56" s="4"/>
      <c r="I56" s="4"/>
      <c r="J56" s="4"/>
      <c r="K56" s="4"/>
      <c r="L56" s="4"/>
      <c r="M56" s="8"/>
      <c r="N56" s="4"/>
      <c r="O56" s="8"/>
      <c r="P56" s="4"/>
      <c r="Q56" s="8"/>
      <c r="R56" s="4"/>
      <c r="S56" s="8"/>
      <c r="T56" s="4"/>
      <c r="U56" s="8"/>
      <c r="V56" s="4"/>
      <c r="W56" s="8"/>
      <c r="X56" s="4"/>
      <c r="Y56" s="8"/>
      <c r="Z56" s="4"/>
      <c r="AA56" s="2"/>
      <c r="AB56" s="4"/>
      <c r="AC56" s="8"/>
      <c r="AD56" s="4"/>
    </row>
    <row r="57">
      <c r="B57" s="4"/>
      <c r="C57" s="4"/>
      <c r="D57" s="4"/>
      <c r="F57" s="4"/>
      <c r="G57" s="8"/>
      <c r="H57" s="4"/>
      <c r="I57" s="4"/>
      <c r="J57" s="4"/>
      <c r="K57" s="4"/>
      <c r="L57" s="4"/>
      <c r="M57" s="8"/>
      <c r="N57" s="4"/>
      <c r="O57" s="8"/>
      <c r="P57" s="4"/>
      <c r="Q57" s="8"/>
      <c r="R57" s="4"/>
      <c r="S57" s="8"/>
      <c r="T57" s="4"/>
      <c r="U57" s="8"/>
      <c r="V57" s="4"/>
      <c r="W57" s="8"/>
      <c r="X57" s="4"/>
      <c r="Y57" s="8"/>
      <c r="Z57" s="4"/>
      <c r="AA57" s="2"/>
      <c r="AB57" s="4"/>
      <c r="AC57" s="8"/>
      <c r="AD57" s="4"/>
    </row>
    <row r="58">
      <c r="B58" s="4"/>
      <c r="C58" s="4"/>
      <c r="D58" s="4"/>
      <c r="F58" s="4"/>
      <c r="G58" s="8"/>
      <c r="H58" s="4"/>
      <c r="I58" s="4"/>
      <c r="J58" s="4"/>
      <c r="K58" s="4"/>
      <c r="L58" s="4"/>
      <c r="M58" s="8"/>
      <c r="N58" s="4"/>
      <c r="O58" s="8"/>
      <c r="P58" s="4"/>
      <c r="Q58" s="8"/>
      <c r="R58" s="4"/>
      <c r="S58" s="8"/>
      <c r="T58" s="4"/>
      <c r="U58" s="8"/>
      <c r="V58" s="4"/>
      <c r="W58" s="8"/>
      <c r="X58" s="4"/>
      <c r="Y58" s="8"/>
      <c r="Z58" s="4"/>
      <c r="AA58" s="2"/>
      <c r="AB58" s="4"/>
      <c r="AC58" s="8"/>
      <c r="AD58" s="4"/>
    </row>
    <row r="59">
      <c r="B59" s="4"/>
      <c r="C59" s="4"/>
      <c r="D59" s="4"/>
      <c r="F59" s="4"/>
      <c r="G59" s="8"/>
      <c r="H59" s="4"/>
      <c r="I59" s="4"/>
      <c r="J59" s="4"/>
      <c r="K59" s="4"/>
      <c r="L59" s="4"/>
      <c r="M59" s="8"/>
      <c r="N59" s="4"/>
      <c r="O59" s="8"/>
      <c r="P59" s="4"/>
      <c r="Q59" s="8"/>
      <c r="R59" s="4"/>
      <c r="S59" s="8"/>
      <c r="T59" s="4"/>
      <c r="U59" s="8"/>
      <c r="V59" s="4"/>
      <c r="W59" s="8"/>
      <c r="X59" s="4"/>
      <c r="Y59" s="8"/>
      <c r="Z59" s="4"/>
      <c r="AA59" s="2"/>
      <c r="AB59" s="4"/>
      <c r="AC59" s="8"/>
      <c r="AD59" s="4"/>
    </row>
    <row r="60">
      <c r="B60" s="4"/>
      <c r="C60" s="4"/>
      <c r="D60" s="4"/>
      <c r="F60" s="4"/>
      <c r="G60" s="8"/>
      <c r="H60" s="4"/>
      <c r="I60" s="4"/>
      <c r="J60" s="4"/>
      <c r="K60" s="4"/>
      <c r="L60" s="4"/>
      <c r="M60" s="8"/>
      <c r="N60" s="4"/>
      <c r="O60" s="8"/>
      <c r="P60" s="4"/>
      <c r="Q60" s="8"/>
      <c r="R60" s="4"/>
      <c r="S60" s="8"/>
      <c r="T60" s="4"/>
      <c r="U60" s="8"/>
      <c r="V60" s="4"/>
      <c r="W60" s="8"/>
      <c r="X60" s="4"/>
      <c r="Y60" s="8"/>
      <c r="Z60" s="4"/>
      <c r="AA60" s="2"/>
      <c r="AB60" s="4"/>
      <c r="AC60" s="8"/>
      <c r="AD60" s="4"/>
    </row>
    <row r="61">
      <c r="B61" s="4"/>
      <c r="C61" s="4"/>
      <c r="D61" s="4"/>
      <c r="F61" s="4"/>
      <c r="G61" s="8"/>
      <c r="H61" s="4"/>
      <c r="I61" s="4"/>
      <c r="J61" s="4"/>
      <c r="K61" s="4"/>
      <c r="L61" s="4"/>
      <c r="M61" s="8"/>
      <c r="N61" s="4"/>
      <c r="O61" s="8"/>
      <c r="P61" s="4"/>
      <c r="Q61" s="8"/>
      <c r="R61" s="4"/>
      <c r="S61" s="8"/>
      <c r="T61" s="4"/>
      <c r="U61" s="8"/>
      <c r="V61" s="4"/>
      <c r="W61" s="8"/>
      <c r="X61" s="4"/>
      <c r="Y61" s="8"/>
      <c r="Z61" s="4"/>
      <c r="AA61" s="2"/>
      <c r="AB61" s="4"/>
      <c r="AC61" s="8"/>
      <c r="AD61" s="4"/>
    </row>
    <row r="62">
      <c r="B62" s="4"/>
      <c r="C62" s="4"/>
      <c r="D62" s="4"/>
      <c r="F62" s="4"/>
      <c r="G62" s="8"/>
      <c r="H62" s="4"/>
      <c r="I62" s="4"/>
      <c r="J62" s="4"/>
      <c r="K62" s="4"/>
      <c r="L62" s="4"/>
      <c r="M62" s="8"/>
      <c r="N62" s="4"/>
      <c r="O62" s="8"/>
      <c r="P62" s="4"/>
      <c r="Q62" s="8"/>
      <c r="R62" s="4"/>
      <c r="S62" s="8"/>
      <c r="T62" s="4"/>
      <c r="U62" s="8"/>
      <c r="V62" s="4"/>
      <c r="W62" s="8"/>
      <c r="X62" s="4"/>
      <c r="Y62" s="8"/>
      <c r="Z62" s="4"/>
      <c r="AA62" s="2"/>
      <c r="AB62" s="4"/>
      <c r="AC62" s="8"/>
      <c r="AD62" s="4"/>
    </row>
    <row r="63">
      <c r="B63" s="4"/>
      <c r="C63" s="4"/>
      <c r="D63" s="4"/>
      <c r="F63" s="4"/>
      <c r="G63" s="8"/>
      <c r="H63" s="4"/>
      <c r="I63" s="4"/>
      <c r="J63" s="4"/>
      <c r="K63" s="4"/>
      <c r="L63" s="4"/>
      <c r="M63" s="8"/>
      <c r="N63" s="4"/>
      <c r="O63" s="8"/>
      <c r="P63" s="4"/>
      <c r="Q63" s="8"/>
      <c r="R63" s="4"/>
      <c r="S63" s="8"/>
      <c r="T63" s="4"/>
      <c r="U63" s="8"/>
      <c r="V63" s="4"/>
      <c r="W63" s="8"/>
      <c r="X63" s="4"/>
      <c r="Y63" s="8"/>
      <c r="Z63" s="4"/>
      <c r="AA63" s="2"/>
      <c r="AB63" s="4"/>
      <c r="AC63" s="8"/>
      <c r="AD63" s="4"/>
    </row>
    <row r="64">
      <c r="B64" s="4"/>
      <c r="C64" s="4"/>
      <c r="D64" s="4"/>
      <c r="F64" s="4"/>
      <c r="G64" s="8"/>
      <c r="H64" s="4"/>
      <c r="I64" s="4"/>
      <c r="J64" s="4"/>
      <c r="K64" s="4"/>
      <c r="L64" s="4"/>
      <c r="M64" s="8"/>
      <c r="N64" s="4"/>
      <c r="O64" s="8"/>
      <c r="P64" s="4"/>
      <c r="Q64" s="8"/>
      <c r="R64" s="4"/>
      <c r="S64" s="8"/>
      <c r="T64" s="4"/>
      <c r="U64" s="8"/>
      <c r="V64" s="4"/>
      <c r="W64" s="8"/>
      <c r="X64" s="4"/>
      <c r="Y64" s="8"/>
      <c r="Z64" s="4"/>
      <c r="AA64" s="2"/>
      <c r="AB64" s="4"/>
      <c r="AC64" s="8"/>
      <c r="AD64" s="4"/>
    </row>
    <row r="65">
      <c r="B65" s="4"/>
      <c r="C65" s="4"/>
      <c r="D65" s="4"/>
      <c r="F65" s="4"/>
      <c r="G65" s="8"/>
      <c r="H65" s="4"/>
      <c r="I65" s="4"/>
      <c r="J65" s="4"/>
      <c r="K65" s="4"/>
      <c r="L65" s="4"/>
      <c r="M65" s="8"/>
      <c r="N65" s="4"/>
      <c r="O65" s="8"/>
      <c r="P65" s="4"/>
      <c r="Q65" s="8"/>
      <c r="R65" s="4"/>
      <c r="S65" s="8"/>
      <c r="T65" s="4"/>
      <c r="U65" s="8"/>
      <c r="V65" s="4"/>
      <c r="W65" s="8"/>
      <c r="X65" s="4"/>
      <c r="Y65" s="8"/>
      <c r="Z65" s="4"/>
      <c r="AA65" s="2"/>
      <c r="AB65" s="4"/>
      <c r="AC65" s="8"/>
      <c r="AD65" s="4"/>
    </row>
    <row r="66">
      <c r="B66" s="4"/>
      <c r="C66" s="4"/>
      <c r="D66" s="4"/>
      <c r="F66" s="4"/>
      <c r="G66" s="8"/>
      <c r="H66" s="4"/>
      <c r="I66" s="4"/>
      <c r="J66" s="4"/>
      <c r="K66" s="4"/>
      <c r="L66" s="4"/>
      <c r="M66" s="8"/>
      <c r="N66" s="4"/>
      <c r="O66" s="8"/>
      <c r="P66" s="4"/>
      <c r="Q66" s="8"/>
      <c r="R66" s="4"/>
      <c r="S66" s="8"/>
      <c r="T66" s="4"/>
      <c r="U66" s="8"/>
      <c r="V66" s="4"/>
      <c r="W66" s="8"/>
      <c r="X66" s="4"/>
      <c r="Y66" s="8"/>
      <c r="Z66" s="4"/>
      <c r="AA66" s="2"/>
      <c r="AB66" s="4"/>
      <c r="AC66" s="8"/>
      <c r="AD66" s="4"/>
    </row>
    <row r="67">
      <c r="B67" s="4"/>
      <c r="C67" s="4"/>
      <c r="D67" s="4"/>
      <c r="F67" s="4"/>
      <c r="G67" s="8"/>
      <c r="H67" s="4"/>
      <c r="I67" s="4"/>
      <c r="J67" s="4"/>
      <c r="K67" s="4"/>
      <c r="L67" s="4"/>
      <c r="M67" s="8"/>
      <c r="N67" s="4"/>
      <c r="O67" s="8"/>
      <c r="P67" s="4"/>
      <c r="Q67" s="8"/>
      <c r="R67" s="4"/>
      <c r="S67" s="8"/>
      <c r="T67" s="4"/>
      <c r="U67" s="8"/>
      <c r="V67" s="4"/>
      <c r="W67" s="8"/>
      <c r="X67" s="4"/>
      <c r="Y67" s="8"/>
      <c r="Z67" s="4"/>
      <c r="AA67" s="2"/>
      <c r="AB67" s="4"/>
      <c r="AC67" s="8"/>
      <c r="AD67" s="4"/>
    </row>
    <row r="68">
      <c r="B68" s="4"/>
      <c r="C68" s="4"/>
      <c r="D68" s="4"/>
      <c r="F68" s="4"/>
      <c r="G68" s="8"/>
      <c r="H68" s="4"/>
      <c r="I68" s="4"/>
      <c r="J68" s="4"/>
      <c r="K68" s="4"/>
      <c r="L68" s="4"/>
      <c r="M68" s="8"/>
      <c r="N68" s="4"/>
      <c r="O68" s="8"/>
      <c r="P68" s="4"/>
      <c r="Q68" s="8"/>
      <c r="R68" s="4"/>
      <c r="S68" s="8"/>
      <c r="T68" s="4"/>
      <c r="U68" s="8"/>
      <c r="V68" s="4"/>
      <c r="W68" s="8"/>
      <c r="X68" s="4"/>
      <c r="Y68" s="8"/>
      <c r="Z68" s="4"/>
      <c r="AA68" s="2"/>
      <c r="AB68" s="4"/>
      <c r="AC68" s="8"/>
      <c r="AD68" s="4"/>
    </row>
    <row r="69">
      <c r="B69" s="4"/>
      <c r="C69" s="4"/>
      <c r="D69" s="4"/>
      <c r="F69" s="4"/>
      <c r="G69" s="8"/>
      <c r="H69" s="4"/>
      <c r="I69" s="4"/>
      <c r="J69" s="4"/>
      <c r="K69" s="4"/>
      <c r="L69" s="4"/>
      <c r="M69" s="8"/>
      <c r="N69" s="4"/>
      <c r="O69" s="8"/>
      <c r="P69" s="4"/>
      <c r="Q69" s="8"/>
      <c r="R69" s="4"/>
      <c r="S69" s="8"/>
      <c r="T69" s="4"/>
      <c r="U69" s="8"/>
      <c r="V69" s="4"/>
      <c r="W69" s="8"/>
      <c r="X69" s="4"/>
      <c r="Y69" s="8"/>
      <c r="Z69" s="4"/>
      <c r="AA69" s="2"/>
      <c r="AB69" s="4"/>
      <c r="AC69" s="8"/>
      <c r="AD69" s="4"/>
    </row>
    <row r="70">
      <c r="B70" s="4"/>
      <c r="C70" s="4"/>
      <c r="D70" s="4"/>
      <c r="F70" s="4"/>
      <c r="G70" s="8"/>
      <c r="H70" s="4"/>
      <c r="I70" s="4"/>
      <c r="J70" s="4"/>
      <c r="K70" s="4"/>
      <c r="L70" s="4"/>
      <c r="M70" s="8"/>
      <c r="N70" s="4"/>
      <c r="O70" s="8"/>
      <c r="P70" s="4"/>
      <c r="Q70" s="8"/>
      <c r="R70" s="4"/>
      <c r="S70" s="8"/>
      <c r="T70" s="4"/>
      <c r="U70" s="8"/>
      <c r="V70" s="4"/>
      <c r="W70" s="8"/>
      <c r="X70" s="4"/>
      <c r="Y70" s="8"/>
      <c r="Z70" s="4"/>
      <c r="AA70" s="2"/>
      <c r="AB70" s="4"/>
      <c r="AC70" s="8"/>
      <c r="AD70" s="4"/>
    </row>
    <row r="71">
      <c r="B71" s="4"/>
      <c r="C71" s="4"/>
      <c r="D71" s="4"/>
      <c r="F71" s="4"/>
      <c r="G71" s="8"/>
      <c r="H71" s="4"/>
      <c r="I71" s="4"/>
      <c r="J71" s="4"/>
      <c r="K71" s="4"/>
      <c r="L71" s="4"/>
      <c r="M71" s="8"/>
      <c r="N71" s="4"/>
      <c r="O71" s="8"/>
      <c r="P71" s="4"/>
      <c r="Q71" s="8"/>
      <c r="R71" s="4"/>
      <c r="S71" s="8"/>
      <c r="T71" s="4"/>
      <c r="U71" s="8"/>
      <c r="V71" s="4"/>
      <c r="W71" s="8"/>
      <c r="X71" s="4"/>
      <c r="Y71" s="8"/>
      <c r="Z71" s="4"/>
      <c r="AA71" s="2"/>
      <c r="AB71" s="4"/>
      <c r="AC71" s="8"/>
      <c r="AD71" s="4"/>
    </row>
    <row r="72">
      <c r="B72" s="4"/>
      <c r="C72" s="4"/>
      <c r="D72" s="4"/>
      <c r="F72" s="4"/>
      <c r="G72" s="8"/>
      <c r="H72" s="4"/>
      <c r="I72" s="4"/>
      <c r="J72" s="4"/>
      <c r="K72" s="4"/>
      <c r="L72" s="4"/>
      <c r="M72" s="8"/>
      <c r="N72" s="4"/>
      <c r="O72" s="8"/>
      <c r="P72" s="4"/>
      <c r="Q72" s="8"/>
      <c r="R72" s="4"/>
      <c r="S72" s="8"/>
      <c r="T72" s="4"/>
      <c r="U72" s="8"/>
      <c r="V72" s="4"/>
      <c r="W72" s="8"/>
      <c r="X72" s="4"/>
      <c r="Y72" s="8"/>
      <c r="Z72" s="4"/>
      <c r="AA72" s="2"/>
      <c r="AB72" s="4"/>
      <c r="AC72" s="8"/>
      <c r="AD72" s="4"/>
    </row>
    <row r="73">
      <c r="B73" s="4"/>
      <c r="C73" s="4"/>
      <c r="D73" s="4"/>
      <c r="F73" s="4"/>
      <c r="G73" s="8"/>
      <c r="H73" s="4"/>
      <c r="I73" s="4"/>
      <c r="J73" s="4"/>
      <c r="K73" s="4"/>
      <c r="L73" s="4"/>
      <c r="M73" s="8"/>
      <c r="N73" s="4"/>
      <c r="O73" s="8"/>
      <c r="P73" s="4"/>
      <c r="Q73" s="8"/>
      <c r="R73" s="4"/>
      <c r="S73" s="8"/>
      <c r="T73" s="4"/>
      <c r="U73" s="8"/>
      <c r="V73" s="4"/>
      <c r="W73" s="8"/>
      <c r="X73" s="4"/>
      <c r="Y73" s="8"/>
      <c r="Z73" s="4"/>
      <c r="AA73" s="2"/>
      <c r="AB73" s="4"/>
      <c r="AC73" s="8"/>
      <c r="AD73" s="4"/>
    </row>
    <row r="74">
      <c r="B74" s="4"/>
      <c r="C74" s="4"/>
      <c r="D74" s="4"/>
      <c r="F74" s="4"/>
      <c r="G74" s="8"/>
      <c r="H74" s="4"/>
      <c r="I74" s="4"/>
      <c r="J74" s="4"/>
      <c r="K74" s="4"/>
      <c r="L74" s="4"/>
      <c r="M74" s="8"/>
      <c r="N74" s="4"/>
      <c r="O74" s="8"/>
      <c r="P74" s="4"/>
      <c r="Q74" s="8"/>
      <c r="R74" s="4"/>
      <c r="S74" s="8"/>
      <c r="T74" s="4"/>
      <c r="U74" s="8"/>
      <c r="V74" s="4"/>
      <c r="W74" s="8"/>
      <c r="X74" s="4"/>
      <c r="Y74" s="8"/>
      <c r="Z74" s="4"/>
      <c r="AA74" s="2"/>
      <c r="AB74" s="4"/>
      <c r="AC74" s="8"/>
      <c r="AD74" s="4"/>
    </row>
    <row r="75">
      <c r="B75" s="4"/>
      <c r="C75" s="4"/>
      <c r="D75" s="4"/>
      <c r="F75" s="4"/>
      <c r="G75" s="8"/>
      <c r="H75" s="4"/>
      <c r="I75" s="4"/>
      <c r="J75" s="4"/>
      <c r="K75" s="4"/>
      <c r="L75" s="4"/>
      <c r="M75" s="8"/>
      <c r="N75" s="4"/>
      <c r="O75" s="8"/>
      <c r="P75" s="4"/>
      <c r="Q75" s="8"/>
      <c r="R75" s="4"/>
      <c r="S75" s="8"/>
      <c r="T75" s="4"/>
      <c r="U75" s="8"/>
      <c r="V75" s="4"/>
      <c r="W75" s="8"/>
      <c r="X75" s="4"/>
      <c r="Y75" s="8"/>
      <c r="Z75" s="4"/>
      <c r="AA75" s="2"/>
      <c r="AB75" s="4"/>
      <c r="AC75" s="8"/>
      <c r="AD75" s="4"/>
    </row>
    <row r="76">
      <c r="B76" s="4"/>
      <c r="C76" s="4"/>
      <c r="D76" s="4"/>
      <c r="F76" s="4"/>
      <c r="G76" s="8"/>
      <c r="H76" s="4"/>
      <c r="I76" s="4"/>
      <c r="J76" s="4"/>
      <c r="K76" s="4"/>
      <c r="L76" s="4"/>
      <c r="M76" s="8"/>
      <c r="N76" s="4"/>
      <c r="O76" s="8"/>
      <c r="P76" s="4"/>
      <c r="Q76" s="8"/>
      <c r="R76" s="4"/>
      <c r="S76" s="8"/>
      <c r="T76" s="4"/>
      <c r="U76" s="8"/>
      <c r="V76" s="4"/>
      <c r="W76" s="8"/>
      <c r="X76" s="4"/>
      <c r="Y76" s="8"/>
      <c r="Z76" s="4"/>
      <c r="AA76" s="2"/>
      <c r="AB76" s="4"/>
      <c r="AC76" s="8"/>
      <c r="AD76" s="4"/>
    </row>
    <row r="77">
      <c r="B77" s="4"/>
      <c r="C77" s="4"/>
      <c r="D77" s="4"/>
      <c r="F77" s="4"/>
      <c r="G77" s="8"/>
      <c r="H77" s="4"/>
      <c r="I77" s="4"/>
      <c r="J77" s="4"/>
      <c r="K77" s="4"/>
      <c r="L77" s="4"/>
      <c r="M77" s="8"/>
      <c r="N77" s="4"/>
      <c r="O77" s="8"/>
      <c r="P77" s="4"/>
      <c r="Q77" s="8"/>
      <c r="R77" s="4"/>
      <c r="S77" s="8"/>
      <c r="T77" s="4"/>
      <c r="U77" s="8"/>
      <c r="V77" s="4"/>
      <c r="W77" s="8"/>
      <c r="X77" s="4"/>
      <c r="Y77" s="8"/>
      <c r="Z77" s="4"/>
      <c r="AA77" s="2"/>
      <c r="AB77" s="4"/>
      <c r="AC77" s="8"/>
      <c r="AD77" s="4"/>
    </row>
    <row r="78">
      <c r="B78" s="4"/>
      <c r="C78" s="4"/>
      <c r="D78" s="4"/>
      <c r="F78" s="4"/>
      <c r="G78" s="8"/>
      <c r="H78" s="4"/>
      <c r="I78" s="4"/>
      <c r="J78" s="4"/>
      <c r="K78" s="4"/>
      <c r="L78" s="4"/>
      <c r="M78" s="8"/>
      <c r="N78" s="4"/>
      <c r="O78" s="8"/>
      <c r="P78" s="4"/>
      <c r="Q78" s="8"/>
      <c r="R78" s="4"/>
      <c r="S78" s="8"/>
      <c r="T78" s="4"/>
      <c r="U78" s="8"/>
      <c r="V78" s="4"/>
      <c r="W78" s="8"/>
      <c r="X78" s="4"/>
      <c r="Y78" s="8"/>
      <c r="Z78" s="4"/>
      <c r="AA78" s="2"/>
      <c r="AB78" s="4"/>
      <c r="AC78" s="8"/>
      <c r="AD78" s="4"/>
    </row>
    <row r="79">
      <c r="B79" s="4"/>
      <c r="C79" s="4"/>
      <c r="D79" s="4"/>
      <c r="F79" s="4"/>
      <c r="G79" s="8"/>
      <c r="H79" s="4"/>
      <c r="I79" s="4"/>
      <c r="J79" s="4"/>
      <c r="K79" s="4"/>
      <c r="L79" s="4"/>
      <c r="M79" s="8"/>
      <c r="N79" s="4"/>
      <c r="O79" s="8"/>
      <c r="P79" s="4"/>
      <c r="Q79" s="8"/>
      <c r="R79" s="4"/>
      <c r="S79" s="8"/>
      <c r="T79" s="4"/>
      <c r="U79" s="8"/>
      <c r="V79" s="4"/>
      <c r="W79" s="8"/>
      <c r="X79" s="4"/>
      <c r="Y79" s="8"/>
      <c r="Z79" s="4"/>
      <c r="AA79" s="2"/>
      <c r="AB79" s="4"/>
      <c r="AC79" s="8"/>
      <c r="AD79" s="4"/>
    </row>
    <row r="80">
      <c r="B80" s="4"/>
      <c r="C80" s="4"/>
      <c r="D80" s="4"/>
      <c r="F80" s="4"/>
      <c r="G80" s="8"/>
      <c r="H80" s="4"/>
      <c r="I80" s="4"/>
      <c r="J80" s="4"/>
      <c r="K80" s="4"/>
      <c r="L80" s="4"/>
      <c r="M80" s="8"/>
      <c r="N80" s="4"/>
      <c r="O80" s="8"/>
      <c r="P80" s="4"/>
      <c r="Q80" s="8"/>
      <c r="R80" s="4"/>
      <c r="S80" s="8"/>
      <c r="T80" s="4"/>
      <c r="U80" s="8"/>
      <c r="V80" s="4"/>
      <c r="W80" s="8"/>
      <c r="X80" s="4"/>
      <c r="Y80" s="8"/>
      <c r="Z80" s="4"/>
      <c r="AA80" s="2"/>
      <c r="AB80" s="4"/>
      <c r="AC80" s="8"/>
      <c r="AD80" s="4"/>
    </row>
    <row r="81">
      <c r="B81" s="4"/>
      <c r="C81" s="4"/>
      <c r="D81" s="4"/>
      <c r="F81" s="4"/>
      <c r="G81" s="8"/>
      <c r="H81" s="4"/>
      <c r="I81" s="4"/>
      <c r="J81" s="4"/>
      <c r="K81" s="4"/>
      <c r="L81" s="4"/>
      <c r="M81" s="8"/>
      <c r="N81" s="4"/>
      <c r="O81" s="8"/>
      <c r="P81" s="4"/>
      <c r="Q81" s="8"/>
      <c r="R81" s="4"/>
      <c r="S81" s="8"/>
      <c r="T81" s="4"/>
      <c r="U81" s="8"/>
      <c r="V81" s="4"/>
      <c r="W81" s="8"/>
      <c r="X81" s="4"/>
      <c r="Y81" s="8"/>
      <c r="Z81" s="4"/>
      <c r="AA81" s="2"/>
      <c r="AB81" s="4"/>
      <c r="AC81" s="8"/>
      <c r="AD81" s="4"/>
    </row>
    <row r="82">
      <c r="B82" s="4"/>
      <c r="C82" s="4"/>
      <c r="D82" s="4"/>
      <c r="F82" s="4"/>
      <c r="G82" s="8"/>
      <c r="H82" s="4"/>
      <c r="I82" s="4"/>
      <c r="J82" s="4"/>
      <c r="K82" s="4"/>
      <c r="L82" s="4"/>
      <c r="M82" s="8"/>
      <c r="N82" s="4"/>
      <c r="O82" s="8"/>
      <c r="P82" s="4"/>
      <c r="Q82" s="8"/>
      <c r="R82" s="4"/>
      <c r="S82" s="8"/>
      <c r="T82" s="4"/>
      <c r="U82" s="8"/>
      <c r="V82" s="4"/>
      <c r="W82" s="8"/>
      <c r="X82" s="4"/>
      <c r="Y82" s="8"/>
      <c r="Z82" s="4"/>
      <c r="AA82" s="2"/>
      <c r="AB82" s="4"/>
      <c r="AC82" s="8"/>
      <c r="AD82" s="4"/>
    </row>
    <row r="83">
      <c r="B83" s="4"/>
      <c r="C83" s="4"/>
      <c r="D83" s="4"/>
      <c r="F83" s="4"/>
      <c r="G83" s="8"/>
      <c r="H83" s="4"/>
      <c r="I83" s="4"/>
      <c r="J83" s="4"/>
      <c r="K83" s="4"/>
      <c r="L83" s="4"/>
      <c r="M83" s="8"/>
      <c r="N83" s="4"/>
      <c r="O83" s="8"/>
      <c r="P83" s="4"/>
      <c r="Q83" s="8"/>
      <c r="R83" s="4"/>
      <c r="S83" s="8"/>
      <c r="T83" s="4"/>
      <c r="U83" s="8"/>
      <c r="V83" s="4"/>
      <c r="W83" s="8"/>
      <c r="X83" s="4"/>
      <c r="Y83" s="8"/>
      <c r="Z83" s="4"/>
      <c r="AA83" s="2"/>
      <c r="AB83" s="4"/>
      <c r="AC83" s="8"/>
      <c r="AD83" s="4"/>
    </row>
    <row r="84">
      <c r="B84" s="4"/>
      <c r="C84" s="4"/>
      <c r="D84" s="4"/>
      <c r="F84" s="4"/>
      <c r="G84" s="8"/>
      <c r="H84" s="4"/>
      <c r="I84" s="4"/>
      <c r="J84" s="4"/>
      <c r="K84" s="4"/>
      <c r="L84" s="4"/>
      <c r="M84" s="8"/>
      <c r="N84" s="4"/>
      <c r="O84" s="8"/>
      <c r="P84" s="4"/>
      <c r="Q84" s="8"/>
      <c r="R84" s="4"/>
      <c r="S84" s="8"/>
      <c r="T84" s="4"/>
      <c r="U84" s="8"/>
      <c r="V84" s="4"/>
      <c r="W84" s="8"/>
      <c r="X84" s="4"/>
      <c r="Y84" s="8"/>
      <c r="Z84" s="4"/>
      <c r="AA84" s="2"/>
      <c r="AB84" s="4"/>
      <c r="AC84" s="8"/>
      <c r="AD84" s="4"/>
    </row>
    <row r="85">
      <c r="B85" s="4"/>
      <c r="C85" s="4"/>
      <c r="D85" s="4"/>
      <c r="F85" s="4"/>
      <c r="G85" s="8"/>
      <c r="H85" s="4"/>
      <c r="I85" s="4"/>
      <c r="J85" s="4"/>
      <c r="K85" s="4"/>
      <c r="L85" s="4"/>
      <c r="M85" s="8"/>
      <c r="N85" s="4"/>
      <c r="O85" s="8"/>
      <c r="P85" s="4"/>
      <c r="Q85" s="8"/>
      <c r="R85" s="4"/>
      <c r="S85" s="8"/>
      <c r="T85" s="4"/>
      <c r="U85" s="8"/>
      <c r="V85" s="4"/>
      <c r="W85" s="8"/>
      <c r="X85" s="4"/>
      <c r="Y85" s="8"/>
      <c r="Z85" s="4"/>
      <c r="AA85" s="2"/>
      <c r="AB85" s="4"/>
      <c r="AC85" s="8"/>
      <c r="AD85" s="4"/>
    </row>
    <row r="86">
      <c r="B86" s="4"/>
      <c r="C86" s="4"/>
      <c r="D86" s="4"/>
      <c r="F86" s="4"/>
      <c r="G86" s="8"/>
      <c r="H86" s="4"/>
      <c r="I86" s="4"/>
      <c r="J86" s="4"/>
      <c r="K86" s="4"/>
      <c r="L86" s="4"/>
      <c r="M86" s="8"/>
      <c r="N86" s="4"/>
      <c r="O86" s="8"/>
      <c r="P86" s="4"/>
      <c r="Q86" s="8"/>
      <c r="R86" s="4"/>
      <c r="S86" s="8"/>
      <c r="T86" s="4"/>
      <c r="U86" s="8"/>
      <c r="V86" s="4"/>
      <c r="W86" s="8"/>
      <c r="X86" s="4"/>
      <c r="Y86" s="8"/>
      <c r="Z86" s="4"/>
      <c r="AA86" s="2"/>
      <c r="AB86" s="4"/>
      <c r="AC86" s="8"/>
      <c r="AD86" s="4"/>
    </row>
    <row r="87">
      <c r="B87" s="4"/>
      <c r="C87" s="4"/>
      <c r="D87" s="4"/>
      <c r="F87" s="4"/>
      <c r="G87" s="8"/>
      <c r="H87" s="4"/>
      <c r="I87" s="4"/>
      <c r="J87" s="4"/>
      <c r="K87" s="4"/>
      <c r="L87" s="4"/>
      <c r="M87" s="8"/>
      <c r="N87" s="4"/>
      <c r="O87" s="8"/>
      <c r="P87" s="4"/>
      <c r="Q87" s="8"/>
      <c r="R87" s="4"/>
      <c r="S87" s="8"/>
      <c r="T87" s="4"/>
      <c r="U87" s="8"/>
      <c r="V87" s="4"/>
      <c r="W87" s="8"/>
      <c r="X87" s="4"/>
      <c r="Y87" s="8"/>
      <c r="Z87" s="4"/>
      <c r="AA87" s="2"/>
      <c r="AB87" s="4"/>
      <c r="AC87" s="8"/>
      <c r="AD87" s="4"/>
    </row>
    <row r="88">
      <c r="B88" s="4"/>
      <c r="C88" s="4"/>
      <c r="D88" s="4"/>
      <c r="F88" s="4"/>
      <c r="G88" s="8"/>
      <c r="H88" s="4"/>
      <c r="I88" s="4"/>
      <c r="J88" s="4"/>
      <c r="K88" s="4"/>
      <c r="L88" s="4"/>
      <c r="M88" s="8"/>
      <c r="N88" s="4"/>
      <c r="O88" s="8"/>
      <c r="P88" s="4"/>
      <c r="Q88" s="8"/>
      <c r="R88" s="4"/>
      <c r="S88" s="8"/>
      <c r="T88" s="4"/>
      <c r="U88" s="8"/>
      <c r="V88" s="4"/>
      <c r="W88" s="8"/>
      <c r="X88" s="4"/>
      <c r="Y88" s="8"/>
      <c r="Z88" s="4"/>
      <c r="AA88" s="2"/>
      <c r="AB88" s="4"/>
      <c r="AC88" s="8"/>
      <c r="AD88" s="4"/>
    </row>
    <row r="89">
      <c r="B89" s="4"/>
      <c r="C89" s="4"/>
      <c r="D89" s="4"/>
      <c r="F89" s="4"/>
      <c r="G89" s="8"/>
      <c r="H89" s="4"/>
      <c r="I89" s="4"/>
      <c r="J89" s="4"/>
      <c r="K89" s="4"/>
      <c r="L89" s="4"/>
      <c r="M89" s="8"/>
      <c r="N89" s="4"/>
      <c r="O89" s="8"/>
      <c r="P89" s="4"/>
      <c r="Q89" s="8"/>
      <c r="R89" s="4"/>
      <c r="S89" s="8"/>
      <c r="T89" s="4"/>
      <c r="U89" s="8"/>
      <c r="V89" s="4"/>
      <c r="W89" s="8"/>
      <c r="X89" s="4"/>
      <c r="Y89" s="8"/>
      <c r="Z89" s="4"/>
      <c r="AA89" s="2"/>
      <c r="AB89" s="4"/>
      <c r="AC89" s="8"/>
      <c r="AD89" s="4"/>
    </row>
    <row r="90">
      <c r="B90" s="4"/>
      <c r="C90" s="4"/>
      <c r="D90" s="4"/>
      <c r="F90" s="4"/>
      <c r="G90" s="8"/>
      <c r="H90" s="4"/>
      <c r="I90" s="4"/>
      <c r="J90" s="4"/>
      <c r="K90" s="4"/>
      <c r="L90" s="4"/>
      <c r="M90" s="8"/>
      <c r="N90" s="4"/>
      <c r="O90" s="8"/>
      <c r="P90" s="4"/>
      <c r="Q90" s="8"/>
      <c r="R90" s="4"/>
      <c r="S90" s="8"/>
      <c r="T90" s="4"/>
      <c r="U90" s="8"/>
      <c r="V90" s="4"/>
      <c r="W90" s="8"/>
      <c r="X90" s="4"/>
      <c r="Y90" s="8"/>
      <c r="Z90" s="4"/>
      <c r="AA90" s="2"/>
      <c r="AB90" s="4"/>
      <c r="AC90" s="8"/>
      <c r="AD90" s="4"/>
    </row>
    <row r="91">
      <c r="B91" s="4"/>
      <c r="C91" s="4"/>
      <c r="D91" s="4"/>
      <c r="F91" s="4"/>
      <c r="G91" s="8"/>
      <c r="H91" s="4"/>
      <c r="I91" s="4"/>
      <c r="J91" s="4"/>
      <c r="K91" s="4"/>
      <c r="L91" s="4"/>
      <c r="M91" s="8"/>
      <c r="N91" s="4"/>
      <c r="O91" s="8"/>
      <c r="P91" s="4"/>
      <c r="Q91" s="8"/>
      <c r="R91" s="4"/>
      <c r="S91" s="8"/>
      <c r="T91" s="4"/>
      <c r="U91" s="8"/>
      <c r="V91" s="4"/>
      <c r="W91" s="8"/>
      <c r="X91" s="4"/>
      <c r="Y91" s="8"/>
      <c r="Z91" s="4"/>
      <c r="AA91" s="2"/>
      <c r="AB91" s="4"/>
      <c r="AC91" s="8"/>
      <c r="AD91" s="4"/>
    </row>
    <row r="92">
      <c r="B92" s="4"/>
      <c r="C92" s="4"/>
      <c r="D92" s="4"/>
      <c r="F92" s="4"/>
      <c r="G92" s="8"/>
      <c r="H92" s="4"/>
      <c r="I92" s="4"/>
      <c r="J92" s="4"/>
      <c r="K92" s="4"/>
      <c r="L92" s="4"/>
      <c r="M92" s="8"/>
      <c r="N92" s="4"/>
      <c r="O92" s="8"/>
      <c r="P92" s="4"/>
      <c r="Q92" s="8"/>
      <c r="R92" s="4"/>
      <c r="S92" s="8"/>
      <c r="T92" s="4"/>
      <c r="U92" s="8"/>
      <c r="V92" s="4"/>
      <c r="W92" s="8"/>
      <c r="X92" s="4"/>
      <c r="Y92" s="8"/>
      <c r="Z92" s="4"/>
      <c r="AA92" s="2"/>
      <c r="AB92" s="4"/>
      <c r="AC92" s="8"/>
      <c r="AD92" s="4"/>
    </row>
    <row r="93">
      <c r="B93" s="4"/>
      <c r="C93" s="4"/>
      <c r="D93" s="4"/>
      <c r="F93" s="4"/>
      <c r="G93" s="8"/>
      <c r="H93" s="4"/>
      <c r="I93" s="4"/>
      <c r="J93" s="4"/>
      <c r="K93" s="4"/>
      <c r="L93" s="4"/>
      <c r="M93" s="8"/>
      <c r="N93" s="4"/>
      <c r="O93" s="8"/>
      <c r="P93" s="4"/>
      <c r="Q93" s="8"/>
      <c r="R93" s="4"/>
      <c r="S93" s="8"/>
      <c r="T93" s="4"/>
      <c r="U93" s="8"/>
      <c r="V93" s="4"/>
      <c r="W93" s="8"/>
      <c r="X93" s="4"/>
      <c r="Y93" s="8"/>
      <c r="Z93" s="4"/>
      <c r="AA93" s="2"/>
      <c r="AB93" s="4"/>
      <c r="AC93" s="8"/>
      <c r="AD93" s="4"/>
    </row>
    <row r="94">
      <c r="B94" s="4"/>
      <c r="C94" s="4"/>
      <c r="D94" s="4"/>
      <c r="F94" s="4"/>
      <c r="G94" s="8"/>
      <c r="H94" s="4"/>
      <c r="I94" s="4"/>
      <c r="J94" s="4"/>
      <c r="K94" s="4"/>
      <c r="L94" s="4"/>
      <c r="M94" s="8"/>
      <c r="N94" s="4"/>
      <c r="O94" s="8"/>
      <c r="P94" s="4"/>
      <c r="Q94" s="8"/>
      <c r="R94" s="4"/>
      <c r="S94" s="8"/>
      <c r="T94" s="4"/>
      <c r="U94" s="8"/>
      <c r="V94" s="4"/>
      <c r="W94" s="8"/>
      <c r="X94" s="4"/>
      <c r="Y94" s="8"/>
      <c r="Z94" s="4"/>
      <c r="AA94" s="2"/>
      <c r="AB94" s="4"/>
      <c r="AC94" s="8"/>
      <c r="AD94" s="4"/>
    </row>
    <row r="95">
      <c r="B95" s="4"/>
      <c r="C95" s="4"/>
      <c r="D95" s="4"/>
      <c r="F95" s="4"/>
      <c r="G95" s="8"/>
      <c r="H95" s="4"/>
      <c r="I95" s="4"/>
      <c r="J95" s="4"/>
      <c r="K95" s="4"/>
      <c r="L95" s="4"/>
      <c r="M95" s="8"/>
      <c r="N95" s="4"/>
      <c r="O95" s="8"/>
      <c r="P95" s="4"/>
      <c r="Q95" s="8"/>
      <c r="R95" s="4"/>
      <c r="S95" s="8"/>
      <c r="T95" s="4"/>
      <c r="U95" s="8"/>
      <c r="V95" s="4"/>
      <c r="W95" s="8"/>
      <c r="X95" s="4"/>
      <c r="Y95" s="8"/>
      <c r="Z95" s="4"/>
      <c r="AA95" s="2"/>
      <c r="AB95" s="4"/>
      <c r="AC95" s="8"/>
      <c r="AD95" s="4"/>
    </row>
    <row r="96">
      <c r="B96" s="4"/>
      <c r="C96" s="4"/>
      <c r="D96" s="4"/>
      <c r="F96" s="4"/>
      <c r="G96" s="8"/>
      <c r="H96" s="4"/>
      <c r="I96" s="4"/>
      <c r="J96" s="4"/>
      <c r="K96" s="4"/>
      <c r="L96" s="4"/>
      <c r="M96" s="8"/>
      <c r="N96" s="4"/>
      <c r="O96" s="8"/>
      <c r="P96" s="4"/>
      <c r="Q96" s="8"/>
      <c r="R96" s="4"/>
      <c r="S96" s="8"/>
      <c r="T96" s="4"/>
      <c r="U96" s="8"/>
      <c r="V96" s="4"/>
      <c r="W96" s="8"/>
      <c r="X96" s="4"/>
      <c r="Y96" s="8"/>
      <c r="Z96" s="4"/>
      <c r="AA96" s="2"/>
      <c r="AB96" s="4"/>
      <c r="AC96" s="8"/>
      <c r="AD96" s="4"/>
    </row>
    <row r="97">
      <c r="B97" s="4"/>
      <c r="C97" s="4"/>
      <c r="D97" s="4"/>
      <c r="F97" s="4"/>
      <c r="G97" s="8"/>
      <c r="H97" s="4"/>
      <c r="I97" s="4"/>
      <c r="J97" s="4"/>
      <c r="K97" s="4"/>
      <c r="L97" s="4"/>
      <c r="M97" s="8"/>
      <c r="N97" s="4"/>
      <c r="O97" s="8"/>
      <c r="P97" s="4"/>
      <c r="Q97" s="8"/>
      <c r="R97" s="4"/>
      <c r="S97" s="8"/>
      <c r="T97" s="4"/>
      <c r="U97" s="8"/>
      <c r="V97" s="4"/>
      <c r="W97" s="8"/>
      <c r="X97" s="4"/>
      <c r="Y97" s="8"/>
      <c r="Z97" s="4"/>
      <c r="AA97" s="2"/>
      <c r="AB97" s="4"/>
      <c r="AC97" s="8"/>
      <c r="AD97" s="4"/>
    </row>
    <row r="98">
      <c r="B98" s="4"/>
      <c r="C98" s="4"/>
      <c r="D98" s="4"/>
      <c r="F98" s="4"/>
      <c r="G98" s="8"/>
      <c r="H98" s="4"/>
      <c r="I98" s="4"/>
      <c r="J98" s="4"/>
      <c r="K98" s="4"/>
      <c r="L98" s="4"/>
      <c r="M98" s="8"/>
      <c r="N98" s="4"/>
      <c r="O98" s="8"/>
      <c r="P98" s="4"/>
      <c r="Q98" s="8"/>
      <c r="R98" s="4"/>
      <c r="S98" s="8"/>
      <c r="T98" s="4"/>
      <c r="U98" s="8"/>
      <c r="V98" s="4"/>
      <c r="W98" s="8"/>
      <c r="X98" s="4"/>
      <c r="Y98" s="8"/>
      <c r="Z98" s="4"/>
      <c r="AA98" s="2"/>
      <c r="AB98" s="4"/>
      <c r="AC98" s="8"/>
      <c r="AD98" s="4"/>
    </row>
    <row r="99">
      <c r="B99" s="4"/>
      <c r="C99" s="4"/>
      <c r="D99" s="4"/>
      <c r="F99" s="4"/>
      <c r="G99" s="8"/>
      <c r="H99" s="4"/>
      <c r="I99" s="4"/>
      <c r="J99" s="4"/>
      <c r="K99" s="4"/>
      <c r="L99" s="4"/>
      <c r="M99" s="8"/>
      <c r="N99" s="4"/>
      <c r="O99" s="8"/>
      <c r="P99" s="4"/>
      <c r="Q99" s="8"/>
      <c r="R99" s="4"/>
      <c r="S99" s="8"/>
      <c r="T99" s="4"/>
      <c r="U99" s="8"/>
      <c r="V99" s="4"/>
      <c r="W99" s="8"/>
      <c r="X99" s="4"/>
      <c r="Y99" s="8"/>
      <c r="Z99" s="4"/>
      <c r="AA99" s="2"/>
      <c r="AB99" s="4"/>
      <c r="AC99" s="8"/>
      <c r="AD99" s="4"/>
    </row>
    <row r="100">
      <c r="B100" s="4"/>
      <c r="C100" s="4"/>
      <c r="D100" s="4"/>
      <c r="F100" s="4"/>
      <c r="G100" s="8"/>
      <c r="H100" s="4"/>
      <c r="I100" s="4"/>
      <c r="J100" s="4"/>
      <c r="K100" s="4"/>
      <c r="L100" s="4"/>
      <c r="M100" s="8"/>
      <c r="N100" s="4"/>
      <c r="O100" s="8"/>
      <c r="P100" s="4"/>
      <c r="Q100" s="8"/>
      <c r="R100" s="4"/>
      <c r="S100" s="8"/>
      <c r="T100" s="4"/>
      <c r="U100" s="8"/>
      <c r="V100" s="4"/>
      <c r="W100" s="8"/>
      <c r="X100" s="4"/>
      <c r="Y100" s="8"/>
      <c r="Z100" s="4"/>
      <c r="AA100" s="2"/>
      <c r="AB100" s="4"/>
      <c r="AC100" s="8"/>
      <c r="AD100" s="4"/>
    </row>
    <row r="101">
      <c r="B101" s="4"/>
      <c r="C101" s="4"/>
      <c r="D101" s="4"/>
      <c r="F101" s="4"/>
      <c r="G101" s="8"/>
      <c r="H101" s="4"/>
      <c r="I101" s="4"/>
      <c r="J101" s="4"/>
      <c r="K101" s="4"/>
      <c r="L101" s="4"/>
      <c r="M101" s="8"/>
      <c r="N101" s="4"/>
      <c r="O101" s="8"/>
      <c r="P101" s="4"/>
      <c r="Q101" s="8"/>
      <c r="R101" s="4"/>
      <c r="S101" s="8"/>
      <c r="T101" s="4"/>
      <c r="U101" s="8"/>
      <c r="V101" s="4"/>
      <c r="W101" s="8"/>
      <c r="X101" s="4"/>
      <c r="Y101" s="8"/>
      <c r="Z101" s="4"/>
      <c r="AA101" s="2"/>
      <c r="AB101" s="4"/>
      <c r="AC101" s="8"/>
      <c r="AD101" s="4"/>
    </row>
    <row r="102">
      <c r="B102" s="4"/>
      <c r="C102" s="4"/>
      <c r="D102" s="4"/>
      <c r="F102" s="4"/>
      <c r="G102" s="8"/>
      <c r="H102" s="4"/>
      <c r="I102" s="4"/>
      <c r="J102" s="4"/>
      <c r="K102" s="4"/>
      <c r="L102" s="4"/>
      <c r="M102" s="8"/>
      <c r="N102" s="4"/>
      <c r="O102" s="8"/>
      <c r="P102" s="4"/>
      <c r="Q102" s="8"/>
      <c r="R102" s="4"/>
      <c r="S102" s="8"/>
      <c r="T102" s="4"/>
      <c r="U102" s="8"/>
      <c r="V102" s="4"/>
      <c r="W102" s="8"/>
      <c r="X102" s="4"/>
      <c r="Y102" s="8"/>
      <c r="Z102" s="4"/>
      <c r="AA102" s="2"/>
      <c r="AB102" s="4"/>
      <c r="AC102" s="8"/>
      <c r="AD102" s="4"/>
    </row>
    <row r="103">
      <c r="B103" s="4"/>
      <c r="C103" s="4"/>
      <c r="D103" s="4"/>
      <c r="F103" s="4"/>
      <c r="G103" s="8"/>
      <c r="H103" s="4"/>
      <c r="I103" s="4"/>
      <c r="J103" s="4"/>
      <c r="K103" s="4"/>
      <c r="L103" s="4"/>
      <c r="M103" s="8"/>
      <c r="N103" s="4"/>
      <c r="O103" s="8"/>
      <c r="P103" s="4"/>
      <c r="Q103" s="8"/>
      <c r="R103" s="4"/>
      <c r="S103" s="8"/>
      <c r="T103" s="4"/>
      <c r="U103" s="8"/>
      <c r="V103" s="4"/>
      <c r="W103" s="8"/>
      <c r="X103" s="4"/>
      <c r="Y103" s="8"/>
      <c r="Z103" s="4"/>
      <c r="AA103" s="2"/>
      <c r="AB103" s="4"/>
      <c r="AC103" s="8"/>
      <c r="AD103" s="4"/>
    </row>
    <row r="104">
      <c r="B104" s="4"/>
      <c r="C104" s="4"/>
      <c r="D104" s="4"/>
      <c r="F104" s="4"/>
      <c r="G104" s="8"/>
      <c r="H104" s="4"/>
      <c r="I104" s="4"/>
      <c r="J104" s="4"/>
      <c r="K104" s="4"/>
      <c r="L104" s="4"/>
      <c r="M104" s="8"/>
      <c r="N104" s="4"/>
      <c r="O104" s="8"/>
      <c r="P104" s="4"/>
      <c r="Q104" s="8"/>
      <c r="R104" s="4"/>
      <c r="S104" s="8"/>
      <c r="T104" s="4"/>
      <c r="U104" s="8"/>
      <c r="V104" s="4"/>
      <c r="W104" s="8"/>
      <c r="X104" s="4"/>
      <c r="Y104" s="8"/>
      <c r="Z104" s="4"/>
      <c r="AA104" s="2"/>
      <c r="AB104" s="4"/>
      <c r="AC104" s="8"/>
      <c r="AD104" s="4"/>
    </row>
    <row r="105">
      <c r="B105" s="4"/>
      <c r="C105" s="4"/>
      <c r="D105" s="4"/>
      <c r="F105" s="4"/>
      <c r="G105" s="8"/>
      <c r="H105" s="4"/>
      <c r="I105" s="4"/>
      <c r="J105" s="4"/>
      <c r="K105" s="4"/>
      <c r="L105" s="4"/>
      <c r="M105" s="8"/>
      <c r="N105" s="4"/>
      <c r="O105" s="8"/>
      <c r="P105" s="4"/>
      <c r="Q105" s="8"/>
      <c r="R105" s="4"/>
      <c r="S105" s="8"/>
      <c r="T105" s="4"/>
      <c r="U105" s="8"/>
      <c r="V105" s="4"/>
      <c r="W105" s="8"/>
      <c r="X105" s="4"/>
      <c r="Y105" s="8"/>
      <c r="Z105" s="4"/>
      <c r="AA105" s="2"/>
      <c r="AB105" s="4"/>
      <c r="AC105" s="8"/>
      <c r="AD105" s="4"/>
    </row>
    <row r="106">
      <c r="B106" s="4"/>
      <c r="C106" s="4"/>
      <c r="D106" s="4"/>
      <c r="F106" s="4"/>
      <c r="G106" s="8"/>
      <c r="H106" s="4"/>
      <c r="I106" s="4"/>
      <c r="J106" s="4"/>
      <c r="K106" s="4"/>
      <c r="L106" s="4"/>
      <c r="M106" s="8"/>
      <c r="N106" s="4"/>
      <c r="O106" s="8"/>
      <c r="P106" s="4"/>
      <c r="Q106" s="8"/>
      <c r="R106" s="4"/>
      <c r="S106" s="8"/>
      <c r="T106" s="4"/>
      <c r="U106" s="8"/>
      <c r="V106" s="4"/>
      <c r="W106" s="8"/>
      <c r="X106" s="4"/>
      <c r="Y106" s="8"/>
      <c r="Z106" s="4"/>
      <c r="AA106" s="2"/>
      <c r="AB106" s="4"/>
      <c r="AC106" s="8"/>
      <c r="AD106" s="4"/>
    </row>
    <row r="107">
      <c r="B107" s="4"/>
      <c r="C107" s="4"/>
      <c r="D107" s="4"/>
      <c r="F107" s="4"/>
      <c r="G107" s="8"/>
      <c r="H107" s="4"/>
      <c r="I107" s="4"/>
      <c r="J107" s="4"/>
      <c r="K107" s="4"/>
      <c r="L107" s="4"/>
      <c r="M107" s="8"/>
      <c r="N107" s="4"/>
      <c r="O107" s="8"/>
      <c r="P107" s="4"/>
      <c r="Q107" s="8"/>
      <c r="R107" s="4"/>
      <c r="S107" s="8"/>
      <c r="T107" s="4"/>
      <c r="U107" s="8"/>
      <c r="V107" s="4"/>
      <c r="W107" s="8"/>
      <c r="X107" s="4"/>
      <c r="Y107" s="8"/>
      <c r="Z107" s="4"/>
      <c r="AA107" s="2"/>
      <c r="AB107" s="4"/>
      <c r="AC107" s="8"/>
      <c r="AD107" s="4"/>
    </row>
    <row r="108">
      <c r="B108" s="4"/>
      <c r="C108" s="4"/>
      <c r="D108" s="4"/>
      <c r="F108" s="4"/>
      <c r="G108" s="8"/>
      <c r="H108" s="4"/>
      <c r="I108" s="4"/>
      <c r="J108" s="4"/>
      <c r="K108" s="4"/>
      <c r="L108" s="4"/>
      <c r="M108" s="8"/>
      <c r="N108" s="4"/>
      <c r="O108" s="8"/>
      <c r="P108" s="4"/>
      <c r="Q108" s="8"/>
      <c r="R108" s="4"/>
      <c r="S108" s="8"/>
      <c r="T108" s="4"/>
      <c r="U108" s="8"/>
      <c r="V108" s="4"/>
      <c r="W108" s="8"/>
      <c r="X108" s="4"/>
      <c r="Y108" s="8"/>
      <c r="Z108" s="4"/>
      <c r="AA108" s="2"/>
      <c r="AB108" s="4"/>
      <c r="AC108" s="8"/>
      <c r="AD108" s="4"/>
    </row>
    <row r="109">
      <c r="B109" s="4"/>
      <c r="C109" s="4"/>
      <c r="D109" s="4"/>
      <c r="F109" s="4"/>
      <c r="G109" s="8"/>
      <c r="H109" s="4"/>
      <c r="I109" s="4"/>
      <c r="J109" s="4"/>
      <c r="K109" s="4"/>
      <c r="L109" s="4"/>
      <c r="M109" s="8"/>
      <c r="N109" s="4"/>
      <c r="O109" s="8"/>
      <c r="P109" s="4"/>
      <c r="Q109" s="8"/>
      <c r="R109" s="4"/>
      <c r="S109" s="8"/>
      <c r="T109" s="4"/>
      <c r="U109" s="8"/>
      <c r="V109" s="4"/>
      <c r="W109" s="8"/>
      <c r="X109" s="4"/>
      <c r="Y109" s="8"/>
      <c r="Z109" s="4"/>
      <c r="AA109" s="2"/>
      <c r="AB109" s="4"/>
      <c r="AC109" s="8"/>
      <c r="AD109" s="4"/>
    </row>
    <row r="110">
      <c r="B110" s="4"/>
      <c r="C110" s="4"/>
      <c r="D110" s="4"/>
      <c r="F110" s="4"/>
      <c r="G110" s="8"/>
      <c r="H110" s="4"/>
      <c r="I110" s="4"/>
      <c r="J110" s="4"/>
      <c r="K110" s="4"/>
      <c r="L110" s="4"/>
      <c r="M110" s="8"/>
      <c r="N110" s="4"/>
      <c r="O110" s="8"/>
      <c r="P110" s="4"/>
      <c r="Q110" s="8"/>
      <c r="R110" s="4"/>
      <c r="S110" s="8"/>
      <c r="T110" s="4"/>
      <c r="U110" s="8"/>
      <c r="V110" s="4"/>
      <c r="W110" s="8"/>
      <c r="X110" s="4"/>
      <c r="Y110" s="8"/>
      <c r="Z110" s="4"/>
      <c r="AA110" s="2"/>
      <c r="AB110" s="4"/>
      <c r="AC110" s="8"/>
      <c r="AD110" s="4"/>
    </row>
    <row r="111">
      <c r="B111" s="4"/>
      <c r="C111" s="4"/>
      <c r="D111" s="4"/>
      <c r="F111" s="4"/>
      <c r="G111" s="8"/>
      <c r="H111" s="4"/>
      <c r="I111" s="4"/>
      <c r="J111" s="4"/>
      <c r="K111" s="4"/>
      <c r="L111" s="4"/>
      <c r="M111" s="8"/>
      <c r="N111" s="4"/>
      <c r="O111" s="8"/>
      <c r="P111" s="4"/>
      <c r="Q111" s="8"/>
      <c r="R111" s="4"/>
      <c r="S111" s="8"/>
      <c r="T111" s="4"/>
      <c r="U111" s="8"/>
      <c r="V111" s="4"/>
      <c r="W111" s="8"/>
      <c r="X111" s="4"/>
      <c r="Y111" s="8"/>
      <c r="Z111" s="4"/>
      <c r="AA111" s="2"/>
      <c r="AB111" s="4"/>
      <c r="AC111" s="8"/>
      <c r="AD111" s="4"/>
    </row>
    <row r="112">
      <c r="B112" s="4"/>
      <c r="C112" s="4"/>
      <c r="D112" s="4"/>
      <c r="F112" s="4"/>
      <c r="G112" s="8"/>
      <c r="H112" s="4"/>
      <c r="I112" s="4"/>
      <c r="J112" s="4"/>
      <c r="K112" s="4"/>
      <c r="L112" s="4"/>
      <c r="M112" s="8"/>
      <c r="N112" s="4"/>
      <c r="O112" s="8"/>
      <c r="P112" s="4"/>
      <c r="Q112" s="8"/>
      <c r="R112" s="4"/>
      <c r="S112" s="8"/>
      <c r="T112" s="4"/>
      <c r="U112" s="8"/>
      <c r="V112" s="4"/>
      <c r="W112" s="8"/>
      <c r="X112" s="4"/>
      <c r="Y112" s="8"/>
      <c r="Z112" s="4"/>
      <c r="AA112" s="2"/>
      <c r="AB112" s="4"/>
      <c r="AC112" s="8"/>
      <c r="AD112" s="4"/>
    </row>
    <row r="113">
      <c r="B113" s="4"/>
      <c r="C113" s="4"/>
      <c r="D113" s="4"/>
      <c r="F113" s="4"/>
      <c r="G113" s="8"/>
      <c r="H113" s="4"/>
      <c r="I113" s="4"/>
      <c r="J113" s="4"/>
      <c r="K113" s="4"/>
      <c r="L113" s="4"/>
      <c r="M113" s="8"/>
      <c r="N113" s="4"/>
      <c r="O113" s="8"/>
      <c r="P113" s="4"/>
      <c r="Q113" s="8"/>
      <c r="R113" s="4"/>
      <c r="S113" s="8"/>
      <c r="T113" s="4"/>
      <c r="U113" s="8"/>
      <c r="V113" s="4"/>
      <c r="W113" s="8"/>
      <c r="X113" s="4"/>
      <c r="Y113" s="8"/>
      <c r="Z113" s="4"/>
      <c r="AA113" s="2"/>
      <c r="AB113" s="4"/>
      <c r="AC113" s="8"/>
      <c r="AD113" s="4"/>
    </row>
    <row r="114">
      <c r="B114" s="4"/>
      <c r="C114" s="4"/>
      <c r="D114" s="4"/>
      <c r="F114" s="4"/>
      <c r="G114" s="8"/>
      <c r="H114" s="4"/>
      <c r="I114" s="4"/>
      <c r="J114" s="4"/>
      <c r="K114" s="4"/>
      <c r="L114" s="4"/>
      <c r="M114" s="8"/>
      <c r="N114" s="4"/>
      <c r="O114" s="8"/>
      <c r="P114" s="4"/>
      <c r="Q114" s="8"/>
      <c r="R114" s="4"/>
      <c r="S114" s="8"/>
      <c r="T114" s="4"/>
      <c r="U114" s="8"/>
      <c r="V114" s="4"/>
      <c r="W114" s="8"/>
      <c r="X114" s="4"/>
      <c r="Y114" s="8"/>
      <c r="Z114" s="4"/>
      <c r="AA114" s="2"/>
      <c r="AB114" s="4"/>
      <c r="AC114" s="8"/>
      <c r="AD114" s="4"/>
    </row>
    <row r="115">
      <c r="B115" s="4"/>
      <c r="C115" s="4"/>
      <c r="D115" s="4"/>
      <c r="F115" s="4"/>
      <c r="G115" s="8"/>
      <c r="H115" s="4"/>
      <c r="I115" s="4"/>
      <c r="J115" s="4"/>
      <c r="K115" s="4"/>
      <c r="L115" s="4"/>
      <c r="M115" s="8"/>
      <c r="N115" s="4"/>
      <c r="O115" s="8"/>
      <c r="P115" s="4"/>
      <c r="Q115" s="8"/>
      <c r="R115" s="4"/>
      <c r="S115" s="8"/>
      <c r="T115" s="4"/>
      <c r="U115" s="8"/>
      <c r="V115" s="4"/>
      <c r="W115" s="8"/>
      <c r="X115" s="4"/>
      <c r="Y115" s="8"/>
      <c r="Z115" s="4"/>
      <c r="AA115" s="2"/>
      <c r="AB115" s="4"/>
      <c r="AC115" s="8"/>
      <c r="AD115" s="4"/>
    </row>
    <row r="116">
      <c r="B116" s="4"/>
      <c r="C116" s="4"/>
      <c r="D116" s="4"/>
      <c r="F116" s="4"/>
      <c r="G116" s="8"/>
      <c r="H116" s="4"/>
      <c r="I116" s="4"/>
      <c r="J116" s="4"/>
      <c r="K116" s="4"/>
      <c r="L116" s="4"/>
      <c r="M116" s="8"/>
      <c r="N116" s="4"/>
      <c r="O116" s="8"/>
      <c r="P116" s="4"/>
      <c r="Q116" s="8"/>
      <c r="R116" s="4"/>
      <c r="S116" s="8"/>
      <c r="T116" s="4"/>
      <c r="U116" s="8"/>
      <c r="V116" s="4"/>
      <c r="W116" s="8"/>
      <c r="X116" s="4"/>
      <c r="Y116" s="8"/>
      <c r="Z116" s="4"/>
      <c r="AA116" s="2"/>
      <c r="AB116" s="4"/>
      <c r="AC116" s="8"/>
      <c r="AD116" s="4"/>
    </row>
    <row r="117">
      <c r="B117" s="4"/>
      <c r="C117" s="4"/>
      <c r="D117" s="4"/>
      <c r="F117" s="4"/>
      <c r="G117" s="8"/>
      <c r="H117" s="4"/>
      <c r="I117" s="4"/>
      <c r="J117" s="4"/>
      <c r="K117" s="4"/>
      <c r="L117" s="4"/>
      <c r="M117" s="8"/>
      <c r="N117" s="4"/>
      <c r="O117" s="8"/>
      <c r="P117" s="4"/>
      <c r="Q117" s="8"/>
      <c r="R117" s="4"/>
      <c r="S117" s="8"/>
      <c r="T117" s="4"/>
      <c r="U117" s="8"/>
      <c r="V117" s="4"/>
      <c r="W117" s="8"/>
      <c r="X117" s="4"/>
      <c r="Y117" s="8"/>
      <c r="Z117" s="4"/>
      <c r="AA117" s="2"/>
      <c r="AB117" s="4"/>
      <c r="AC117" s="8"/>
      <c r="AD117" s="4"/>
    </row>
    <row r="118">
      <c r="B118" s="4"/>
      <c r="C118" s="4"/>
      <c r="D118" s="4"/>
      <c r="F118" s="4"/>
      <c r="G118" s="8"/>
      <c r="H118" s="4"/>
      <c r="I118" s="4"/>
      <c r="J118" s="4"/>
      <c r="K118" s="4"/>
      <c r="L118" s="4"/>
      <c r="M118" s="8"/>
      <c r="N118" s="4"/>
      <c r="O118" s="8"/>
      <c r="P118" s="4"/>
      <c r="Q118" s="8"/>
      <c r="R118" s="4"/>
      <c r="S118" s="8"/>
      <c r="T118" s="4"/>
      <c r="U118" s="8"/>
      <c r="V118" s="4"/>
      <c r="W118" s="8"/>
      <c r="X118" s="4"/>
      <c r="Y118" s="8"/>
      <c r="Z118" s="4"/>
      <c r="AA118" s="2"/>
      <c r="AB118" s="4"/>
      <c r="AC118" s="8"/>
      <c r="AD118" s="4"/>
    </row>
    <row r="119">
      <c r="B119" s="4"/>
      <c r="C119" s="4"/>
      <c r="D119" s="4"/>
      <c r="F119" s="4"/>
      <c r="G119" s="8"/>
      <c r="H119" s="4"/>
      <c r="I119" s="4"/>
      <c r="J119" s="4"/>
      <c r="K119" s="4"/>
      <c r="L119" s="4"/>
      <c r="M119" s="8"/>
      <c r="N119" s="4"/>
      <c r="O119" s="8"/>
      <c r="P119" s="4"/>
      <c r="Q119" s="8"/>
      <c r="R119" s="4"/>
      <c r="S119" s="8"/>
      <c r="T119" s="4"/>
      <c r="U119" s="8"/>
      <c r="V119" s="4"/>
      <c r="W119" s="8"/>
      <c r="X119" s="4"/>
      <c r="Y119" s="8"/>
      <c r="Z119" s="4"/>
      <c r="AA119" s="2"/>
      <c r="AB119" s="4"/>
      <c r="AC119" s="8"/>
      <c r="AD119" s="4"/>
    </row>
    <row r="120">
      <c r="B120" s="4"/>
      <c r="C120" s="4"/>
      <c r="D120" s="4"/>
      <c r="F120" s="4"/>
      <c r="G120" s="8"/>
      <c r="H120" s="4"/>
      <c r="I120" s="4"/>
      <c r="J120" s="4"/>
      <c r="K120" s="4"/>
      <c r="L120" s="4"/>
      <c r="M120" s="8"/>
      <c r="N120" s="4"/>
      <c r="O120" s="8"/>
      <c r="P120" s="4"/>
      <c r="Q120" s="8"/>
      <c r="R120" s="4"/>
      <c r="S120" s="8"/>
      <c r="T120" s="4"/>
      <c r="U120" s="8"/>
      <c r="V120" s="4"/>
      <c r="W120" s="8"/>
      <c r="X120" s="4"/>
      <c r="Y120" s="8"/>
      <c r="Z120" s="4"/>
      <c r="AA120" s="2"/>
      <c r="AB120" s="4"/>
      <c r="AC120" s="8"/>
      <c r="AD120" s="4"/>
    </row>
    <row r="121">
      <c r="B121" s="4"/>
      <c r="C121" s="4"/>
      <c r="D121" s="4"/>
      <c r="F121" s="4"/>
      <c r="G121" s="8"/>
      <c r="H121" s="4"/>
      <c r="I121" s="4"/>
      <c r="J121" s="4"/>
      <c r="K121" s="4"/>
      <c r="L121" s="4"/>
      <c r="M121" s="8"/>
      <c r="N121" s="4"/>
      <c r="O121" s="8"/>
      <c r="P121" s="4"/>
      <c r="Q121" s="8"/>
      <c r="R121" s="4"/>
      <c r="S121" s="8"/>
      <c r="T121" s="4"/>
      <c r="U121" s="8"/>
      <c r="V121" s="4"/>
      <c r="W121" s="8"/>
      <c r="X121" s="4"/>
      <c r="Y121" s="8"/>
      <c r="Z121" s="4"/>
      <c r="AA121" s="2"/>
      <c r="AB121" s="4"/>
      <c r="AC121" s="8"/>
      <c r="AD121" s="4"/>
    </row>
    <row r="122">
      <c r="B122" s="4"/>
      <c r="C122" s="4"/>
      <c r="D122" s="4"/>
      <c r="F122" s="4"/>
      <c r="G122" s="8"/>
      <c r="H122" s="4"/>
      <c r="I122" s="4"/>
      <c r="J122" s="4"/>
      <c r="K122" s="4"/>
      <c r="L122" s="4"/>
      <c r="M122" s="8"/>
      <c r="N122" s="4"/>
      <c r="O122" s="8"/>
      <c r="P122" s="4"/>
      <c r="Q122" s="8"/>
      <c r="R122" s="4"/>
      <c r="S122" s="8"/>
      <c r="T122" s="4"/>
      <c r="U122" s="8"/>
      <c r="V122" s="4"/>
      <c r="W122" s="8"/>
      <c r="X122" s="4"/>
      <c r="Y122" s="8"/>
      <c r="Z122" s="4"/>
      <c r="AA122" s="2"/>
      <c r="AB122" s="4"/>
      <c r="AC122" s="8"/>
      <c r="AD122" s="4"/>
    </row>
    <row r="123">
      <c r="B123" s="4"/>
      <c r="C123" s="4"/>
      <c r="D123" s="4"/>
      <c r="F123" s="4"/>
      <c r="G123" s="8"/>
      <c r="H123" s="4"/>
      <c r="I123" s="4"/>
      <c r="J123" s="4"/>
      <c r="K123" s="4"/>
      <c r="L123" s="4"/>
      <c r="M123" s="8"/>
      <c r="N123" s="4"/>
      <c r="O123" s="8"/>
      <c r="P123" s="4"/>
      <c r="Q123" s="8"/>
      <c r="R123" s="4"/>
      <c r="S123" s="8"/>
      <c r="T123" s="4"/>
      <c r="U123" s="8"/>
      <c r="V123" s="4"/>
      <c r="W123" s="8"/>
      <c r="X123" s="4"/>
      <c r="Y123" s="8"/>
      <c r="Z123" s="4"/>
      <c r="AA123" s="2"/>
      <c r="AB123" s="4"/>
      <c r="AC123" s="8"/>
      <c r="AD123" s="4"/>
    </row>
    <row r="124">
      <c r="B124" s="4"/>
      <c r="C124" s="4"/>
      <c r="D124" s="4"/>
      <c r="F124" s="4"/>
      <c r="G124" s="8"/>
      <c r="H124" s="4"/>
      <c r="I124" s="4"/>
      <c r="J124" s="4"/>
      <c r="K124" s="4"/>
      <c r="L124" s="4"/>
      <c r="M124" s="8"/>
      <c r="N124" s="4"/>
      <c r="O124" s="8"/>
      <c r="P124" s="4"/>
      <c r="Q124" s="8"/>
      <c r="R124" s="4"/>
      <c r="S124" s="8"/>
      <c r="T124" s="4"/>
      <c r="U124" s="8"/>
      <c r="V124" s="4"/>
      <c r="W124" s="8"/>
      <c r="X124" s="4"/>
      <c r="Y124" s="8"/>
      <c r="Z124" s="4"/>
      <c r="AA124" s="2"/>
      <c r="AB124" s="4"/>
      <c r="AC124" s="8"/>
      <c r="AD124" s="4"/>
    </row>
    <row r="125">
      <c r="B125" s="4"/>
      <c r="C125" s="4"/>
      <c r="D125" s="4"/>
      <c r="F125" s="4"/>
      <c r="G125" s="8"/>
      <c r="H125" s="4"/>
      <c r="I125" s="4"/>
      <c r="J125" s="4"/>
      <c r="K125" s="4"/>
      <c r="L125" s="4"/>
      <c r="M125" s="8"/>
      <c r="N125" s="4"/>
      <c r="O125" s="8"/>
      <c r="P125" s="4"/>
      <c r="Q125" s="8"/>
      <c r="R125" s="4"/>
      <c r="S125" s="8"/>
      <c r="T125" s="4"/>
      <c r="U125" s="8"/>
      <c r="V125" s="4"/>
      <c r="W125" s="8"/>
      <c r="X125" s="4"/>
      <c r="Y125" s="8"/>
      <c r="Z125" s="4"/>
      <c r="AA125" s="2"/>
      <c r="AB125" s="4"/>
      <c r="AC125" s="8"/>
      <c r="AD125" s="4"/>
    </row>
    <row r="126">
      <c r="B126" s="4"/>
      <c r="C126" s="4"/>
      <c r="D126" s="4"/>
      <c r="F126" s="4"/>
      <c r="G126" s="8"/>
      <c r="H126" s="4"/>
      <c r="I126" s="4"/>
      <c r="J126" s="4"/>
      <c r="K126" s="4"/>
      <c r="L126" s="4"/>
      <c r="M126" s="8"/>
      <c r="N126" s="4"/>
      <c r="O126" s="8"/>
      <c r="P126" s="4"/>
      <c r="Q126" s="8"/>
      <c r="R126" s="4"/>
      <c r="S126" s="8"/>
      <c r="T126" s="4"/>
      <c r="U126" s="8"/>
      <c r="V126" s="4"/>
      <c r="W126" s="8"/>
      <c r="X126" s="4"/>
      <c r="Y126" s="8"/>
      <c r="Z126" s="4"/>
      <c r="AA126" s="2"/>
      <c r="AB126" s="4"/>
      <c r="AC126" s="8"/>
      <c r="AD126" s="4"/>
    </row>
    <row r="127">
      <c r="B127" s="4"/>
      <c r="C127" s="4"/>
      <c r="D127" s="4"/>
      <c r="F127" s="4"/>
      <c r="G127" s="8"/>
      <c r="H127" s="4"/>
      <c r="I127" s="4"/>
      <c r="J127" s="4"/>
      <c r="K127" s="4"/>
      <c r="L127" s="4"/>
      <c r="M127" s="8"/>
      <c r="N127" s="4"/>
      <c r="O127" s="8"/>
      <c r="P127" s="4"/>
      <c r="Q127" s="8"/>
      <c r="R127" s="4"/>
      <c r="S127" s="8"/>
      <c r="T127" s="4"/>
      <c r="U127" s="8"/>
      <c r="V127" s="4"/>
      <c r="W127" s="8"/>
      <c r="X127" s="4"/>
      <c r="Y127" s="8"/>
      <c r="Z127" s="4"/>
      <c r="AA127" s="2"/>
      <c r="AB127" s="4"/>
      <c r="AC127" s="8"/>
      <c r="AD127" s="4"/>
    </row>
    <row r="128">
      <c r="B128" s="4"/>
      <c r="C128" s="4"/>
      <c r="D128" s="4"/>
      <c r="F128" s="4"/>
      <c r="G128" s="8"/>
      <c r="H128" s="4"/>
      <c r="I128" s="4"/>
      <c r="J128" s="4"/>
      <c r="K128" s="4"/>
      <c r="L128" s="4"/>
      <c r="M128" s="8"/>
      <c r="N128" s="4"/>
      <c r="O128" s="8"/>
      <c r="P128" s="4"/>
      <c r="Q128" s="8"/>
      <c r="R128" s="4"/>
      <c r="S128" s="8"/>
      <c r="T128" s="4"/>
      <c r="U128" s="8"/>
      <c r="V128" s="4"/>
      <c r="W128" s="8"/>
      <c r="X128" s="4"/>
      <c r="Y128" s="8"/>
      <c r="Z128" s="4"/>
      <c r="AA128" s="2"/>
      <c r="AB128" s="4"/>
      <c r="AC128" s="8"/>
      <c r="AD128" s="4"/>
    </row>
    <row r="129">
      <c r="B129" s="4"/>
      <c r="C129" s="4"/>
      <c r="D129" s="4"/>
      <c r="F129" s="4"/>
      <c r="G129" s="8"/>
      <c r="H129" s="4"/>
      <c r="I129" s="4"/>
      <c r="J129" s="4"/>
      <c r="K129" s="4"/>
      <c r="L129" s="4"/>
      <c r="M129" s="8"/>
      <c r="N129" s="4"/>
      <c r="O129" s="8"/>
      <c r="P129" s="4"/>
      <c r="Q129" s="8"/>
      <c r="R129" s="4"/>
      <c r="S129" s="8"/>
      <c r="T129" s="4"/>
      <c r="U129" s="8"/>
      <c r="V129" s="4"/>
      <c r="W129" s="8"/>
      <c r="X129" s="4"/>
      <c r="Y129" s="8"/>
      <c r="Z129" s="4"/>
      <c r="AA129" s="2"/>
      <c r="AB129" s="4"/>
      <c r="AC129" s="8"/>
      <c r="AD129" s="4"/>
    </row>
    <row r="130">
      <c r="B130" s="4"/>
      <c r="C130" s="4"/>
      <c r="D130" s="4"/>
      <c r="F130" s="4"/>
      <c r="G130" s="8"/>
      <c r="H130" s="4"/>
      <c r="I130" s="4"/>
      <c r="J130" s="4"/>
      <c r="K130" s="4"/>
      <c r="L130" s="4"/>
      <c r="M130" s="8"/>
      <c r="N130" s="4"/>
      <c r="O130" s="8"/>
      <c r="P130" s="4"/>
      <c r="Q130" s="8"/>
      <c r="R130" s="4"/>
      <c r="S130" s="8"/>
      <c r="T130" s="4"/>
      <c r="U130" s="8"/>
      <c r="V130" s="4"/>
      <c r="W130" s="8"/>
      <c r="X130" s="4"/>
      <c r="Y130" s="8"/>
      <c r="Z130" s="4"/>
      <c r="AA130" s="2"/>
      <c r="AB130" s="4"/>
      <c r="AC130" s="8"/>
      <c r="AD130" s="4"/>
    </row>
    <row r="131">
      <c r="B131" s="4"/>
      <c r="C131" s="4"/>
      <c r="D131" s="4"/>
      <c r="F131" s="4"/>
      <c r="G131" s="8"/>
      <c r="H131" s="4"/>
      <c r="I131" s="4"/>
      <c r="J131" s="4"/>
      <c r="K131" s="4"/>
      <c r="L131" s="4"/>
      <c r="M131" s="8"/>
      <c r="N131" s="4"/>
      <c r="O131" s="8"/>
      <c r="P131" s="4"/>
      <c r="Q131" s="8"/>
      <c r="R131" s="4"/>
      <c r="S131" s="8"/>
      <c r="T131" s="4"/>
      <c r="U131" s="8"/>
      <c r="V131" s="4"/>
      <c r="W131" s="8"/>
      <c r="X131" s="4"/>
      <c r="Y131" s="8"/>
      <c r="Z131" s="4"/>
      <c r="AA131" s="2"/>
      <c r="AB131" s="4"/>
      <c r="AC131" s="8"/>
      <c r="AD131" s="4"/>
    </row>
    <row r="132">
      <c r="B132" s="4"/>
      <c r="C132" s="4"/>
      <c r="D132" s="4"/>
      <c r="F132" s="4"/>
      <c r="G132" s="8"/>
      <c r="H132" s="4"/>
      <c r="I132" s="4"/>
      <c r="J132" s="4"/>
      <c r="K132" s="4"/>
      <c r="L132" s="4"/>
      <c r="M132" s="8"/>
      <c r="N132" s="4"/>
      <c r="O132" s="8"/>
      <c r="P132" s="4"/>
      <c r="Q132" s="8"/>
      <c r="R132" s="4"/>
      <c r="S132" s="8"/>
      <c r="T132" s="4"/>
      <c r="U132" s="8"/>
      <c r="V132" s="4"/>
      <c r="W132" s="8"/>
      <c r="X132" s="4"/>
      <c r="Y132" s="8"/>
      <c r="Z132" s="4"/>
      <c r="AA132" s="2"/>
      <c r="AB132" s="4"/>
      <c r="AC132" s="8"/>
      <c r="AD132" s="4"/>
    </row>
    <row r="133">
      <c r="B133" s="4"/>
      <c r="C133" s="4"/>
      <c r="D133" s="4"/>
      <c r="F133" s="4"/>
      <c r="G133" s="8"/>
      <c r="H133" s="4"/>
      <c r="I133" s="4"/>
      <c r="J133" s="4"/>
      <c r="K133" s="4"/>
      <c r="L133" s="4"/>
      <c r="M133" s="8"/>
      <c r="N133" s="4"/>
      <c r="O133" s="8"/>
      <c r="P133" s="4"/>
      <c r="Q133" s="8"/>
      <c r="R133" s="4"/>
      <c r="S133" s="8"/>
      <c r="T133" s="4"/>
      <c r="U133" s="8"/>
      <c r="V133" s="4"/>
      <c r="W133" s="8"/>
      <c r="X133" s="4"/>
      <c r="Y133" s="8"/>
      <c r="Z133" s="4"/>
      <c r="AA133" s="2"/>
      <c r="AB133" s="4"/>
      <c r="AC133" s="8"/>
      <c r="AD133" s="4"/>
    </row>
    <row r="134">
      <c r="B134" s="4"/>
      <c r="C134" s="4"/>
      <c r="D134" s="4"/>
      <c r="F134" s="4"/>
      <c r="G134" s="8"/>
      <c r="H134" s="4"/>
      <c r="I134" s="4"/>
      <c r="J134" s="4"/>
      <c r="K134" s="4"/>
      <c r="L134" s="4"/>
      <c r="M134" s="8"/>
      <c r="N134" s="4"/>
      <c r="O134" s="8"/>
      <c r="P134" s="4"/>
      <c r="Q134" s="8"/>
      <c r="R134" s="4"/>
      <c r="S134" s="8"/>
      <c r="T134" s="4"/>
      <c r="U134" s="8"/>
      <c r="V134" s="4"/>
      <c r="W134" s="8"/>
      <c r="X134" s="4"/>
      <c r="Y134" s="8"/>
      <c r="Z134" s="4"/>
      <c r="AA134" s="2"/>
      <c r="AB134" s="4"/>
      <c r="AC134" s="8"/>
      <c r="AD134" s="4"/>
    </row>
    <row r="135">
      <c r="B135" s="4"/>
      <c r="C135" s="4"/>
      <c r="D135" s="4"/>
      <c r="F135" s="4"/>
      <c r="G135" s="8"/>
      <c r="H135" s="4"/>
      <c r="I135" s="4"/>
      <c r="J135" s="4"/>
      <c r="K135" s="4"/>
      <c r="L135" s="4"/>
      <c r="M135" s="8"/>
      <c r="N135" s="4"/>
      <c r="O135" s="8"/>
      <c r="P135" s="4"/>
      <c r="Q135" s="8"/>
      <c r="R135" s="4"/>
      <c r="S135" s="8"/>
      <c r="T135" s="4"/>
      <c r="U135" s="8"/>
      <c r="V135" s="4"/>
      <c r="W135" s="8"/>
      <c r="X135" s="4"/>
      <c r="Y135" s="8"/>
      <c r="Z135" s="4"/>
      <c r="AA135" s="2"/>
      <c r="AB135" s="4"/>
      <c r="AC135" s="8"/>
      <c r="AD135" s="4"/>
    </row>
    <row r="136">
      <c r="B136" s="4"/>
      <c r="C136" s="4"/>
      <c r="D136" s="4"/>
      <c r="F136" s="4"/>
      <c r="G136" s="8"/>
      <c r="H136" s="4"/>
      <c r="I136" s="4"/>
      <c r="J136" s="4"/>
      <c r="K136" s="4"/>
      <c r="L136" s="4"/>
      <c r="M136" s="8"/>
      <c r="N136" s="4"/>
      <c r="O136" s="8"/>
      <c r="P136" s="4"/>
      <c r="Q136" s="8"/>
      <c r="R136" s="4"/>
      <c r="S136" s="8"/>
      <c r="T136" s="4"/>
      <c r="U136" s="8"/>
      <c r="V136" s="4"/>
      <c r="W136" s="8"/>
      <c r="X136" s="4"/>
      <c r="Y136" s="8"/>
      <c r="Z136" s="4"/>
      <c r="AA136" s="2"/>
      <c r="AB136" s="4"/>
      <c r="AC136" s="8"/>
      <c r="AD136" s="4"/>
    </row>
    <row r="137">
      <c r="B137" s="4"/>
      <c r="C137" s="4"/>
      <c r="D137" s="4"/>
      <c r="F137" s="4"/>
      <c r="G137" s="8"/>
      <c r="H137" s="4"/>
      <c r="I137" s="4"/>
      <c r="J137" s="4"/>
      <c r="K137" s="4"/>
      <c r="L137" s="4"/>
      <c r="M137" s="8"/>
      <c r="N137" s="4"/>
      <c r="O137" s="8"/>
      <c r="P137" s="4"/>
      <c r="Q137" s="8"/>
      <c r="R137" s="4"/>
      <c r="S137" s="8"/>
      <c r="T137" s="4"/>
      <c r="U137" s="8"/>
      <c r="V137" s="4"/>
      <c r="W137" s="8"/>
      <c r="X137" s="4"/>
      <c r="Y137" s="8"/>
      <c r="Z137" s="4"/>
      <c r="AA137" s="2"/>
      <c r="AB137" s="4"/>
      <c r="AC137" s="8"/>
      <c r="AD137" s="4"/>
    </row>
    <row r="138">
      <c r="B138" s="4"/>
      <c r="C138" s="4"/>
      <c r="D138" s="4"/>
      <c r="F138" s="4"/>
      <c r="G138" s="8"/>
      <c r="H138" s="4"/>
      <c r="I138" s="4"/>
      <c r="J138" s="4"/>
      <c r="K138" s="4"/>
      <c r="L138" s="4"/>
      <c r="M138" s="8"/>
      <c r="N138" s="4"/>
      <c r="O138" s="8"/>
      <c r="P138" s="4"/>
      <c r="Q138" s="8"/>
      <c r="R138" s="4"/>
      <c r="S138" s="8"/>
      <c r="T138" s="4"/>
      <c r="U138" s="8"/>
      <c r="V138" s="4"/>
      <c r="W138" s="8"/>
      <c r="X138" s="4"/>
      <c r="Y138" s="8"/>
      <c r="Z138" s="4"/>
      <c r="AA138" s="2"/>
      <c r="AB138" s="4"/>
      <c r="AC138" s="8"/>
      <c r="AD138" s="4"/>
    </row>
    <row r="139">
      <c r="B139" s="4"/>
      <c r="C139" s="4"/>
      <c r="D139" s="4"/>
      <c r="F139" s="4"/>
      <c r="G139" s="8"/>
      <c r="H139" s="4"/>
      <c r="I139" s="4"/>
      <c r="J139" s="4"/>
      <c r="K139" s="4"/>
      <c r="L139" s="4"/>
      <c r="M139" s="8"/>
      <c r="N139" s="4"/>
      <c r="O139" s="8"/>
      <c r="P139" s="4"/>
      <c r="Q139" s="8"/>
      <c r="R139" s="4"/>
      <c r="S139" s="8"/>
      <c r="T139" s="4"/>
      <c r="U139" s="8"/>
      <c r="V139" s="4"/>
      <c r="W139" s="8"/>
      <c r="X139" s="4"/>
      <c r="Y139" s="8"/>
      <c r="Z139" s="4"/>
      <c r="AA139" s="2"/>
      <c r="AB139" s="4"/>
      <c r="AC139" s="8"/>
      <c r="AD139" s="4"/>
    </row>
    <row r="140">
      <c r="B140" s="4"/>
      <c r="C140" s="4"/>
      <c r="D140" s="4"/>
      <c r="F140" s="4"/>
      <c r="G140" s="8"/>
      <c r="H140" s="4"/>
      <c r="I140" s="4"/>
      <c r="J140" s="4"/>
      <c r="K140" s="4"/>
      <c r="L140" s="4"/>
      <c r="M140" s="8"/>
      <c r="N140" s="4"/>
      <c r="O140" s="8"/>
      <c r="P140" s="4"/>
      <c r="Q140" s="8"/>
      <c r="R140" s="4"/>
      <c r="S140" s="8"/>
      <c r="T140" s="4"/>
      <c r="U140" s="8"/>
      <c r="V140" s="4"/>
      <c r="W140" s="8"/>
      <c r="X140" s="4"/>
      <c r="Y140" s="8"/>
      <c r="Z140" s="4"/>
      <c r="AA140" s="2"/>
      <c r="AB140" s="4"/>
      <c r="AC140" s="8"/>
      <c r="AD140" s="4"/>
    </row>
    <row r="141">
      <c r="B141" s="4"/>
      <c r="C141" s="4"/>
      <c r="D141" s="4"/>
      <c r="F141" s="4"/>
      <c r="G141" s="8"/>
      <c r="H141" s="4"/>
      <c r="I141" s="4"/>
      <c r="J141" s="4"/>
      <c r="K141" s="4"/>
      <c r="L141" s="4"/>
      <c r="M141" s="8"/>
      <c r="N141" s="4"/>
      <c r="O141" s="8"/>
      <c r="P141" s="4"/>
      <c r="Q141" s="8"/>
      <c r="R141" s="4"/>
      <c r="S141" s="8"/>
      <c r="T141" s="4"/>
      <c r="U141" s="8"/>
      <c r="V141" s="4"/>
      <c r="W141" s="8"/>
      <c r="X141" s="4"/>
      <c r="Y141" s="8"/>
      <c r="Z141" s="4"/>
      <c r="AA141" s="2"/>
      <c r="AB141" s="4"/>
      <c r="AC141" s="8"/>
      <c r="AD141" s="4"/>
    </row>
    <row r="142">
      <c r="B142" s="4"/>
      <c r="C142" s="4"/>
      <c r="D142" s="4"/>
      <c r="F142" s="4"/>
      <c r="G142" s="8"/>
      <c r="H142" s="4"/>
      <c r="I142" s="4"/>
      <c r="J142" s="4"/>
      <c r="K142" s="4"/>
      <c r="L142" s="4"/>
      <c r="M142" s="8"/>
      <c r="N142" s="4"/>
      <c r="O142" s="8"/>
      <c r="P142" s="4"/>
      <c r="Q142" s="8"/>
      <c r="R142" s="4"/>
      <c r="S142" s="8"/>
      <c r="T142" s="4"/>
      <c r="U142" s="8"/>
      <c r="V142" s="4"/>
      <c r="W142" s="8"/>
      <c r="X142" s="4"/>
      <c r="Y142" s="8"/>
      <c r="Z142" s="4"/>
      <c r="AA142" s="2"/>
      <c r="AB142" s="4"/>
      <c r="AC142" s="8"/>
      <c r="AD142" s="4"/>
    </row>
    <row r="143">
      <c r="B143" s="4"/>
      <c r="C143" s="4"/>
      <c r="D143" s="4"/>
      <c r="F143" s="4"/>
      <c r="G143" s="8"/>
      <c r="H143" s="4"/>
      <c r="I143" s="4"/>
      <c r="J143" s="4"/>
      <c r="K143" s="4"/>
      <c r="L143" s="4"/>
      <c r="M143" s="8"/>
      <c r="N143" s="4"/>
      <c r="O143" s="8"/>
      <c r="P143" s="4"/>
      <c r="Q143" s="8"/>
      <c r="R143" s="4"/>
      <c r="S143" s="8"/>
      <c r="T143" s="4"/>
      <c r="U143" s="8"/>
      <c r="V143" s="4"/>
      <c r="W143" s="8"/>
      <c r="X143" s="4"/>
      <c r="Y143" s="8"/>
      <c r="Z143" s="4"/>
      <c r="AA143" s="2"/>
      <c r="AB143" s="4"/>
      <c r="AC143" s="8"/>
      <c r="AD143" s="4"/>
    </row>
    <row r="144">
      <c r="B144" s="4"/>
      <c r="C144" s="4"/>
      <c r="D144" s="4"/>
      <c r="F144" s="4"/>
      <c r="G144" s="8"/>
      <c r="H144" s="4"/>
      <c r="I144" s="4"/>
      <c r="J144" s="4"/>
      <c r="K144" s="4"/>
      <c r="L144" s="4"/>
      <c r="M144" s="8"/>
      <c r="N144" s="4"/>
      <c r="O144" s="8"/>
      <c r="P144" s="4"/>
      <c r="Q144" s="8"/>
      <c r="R144" s="4"/>
      <c r="S144" s="8"/>
      <c r="T144" s="4"/>
      <c r="U144" s="8"/>
      <c r="V144" s="4"/>
      <c r="W144" s="8"/>
      <c r="X144" s="4"/>
      <c r="Y144" s="8"/>
      <c r="Z144" s="4"/>
      <c r="AA144" s="2"/>
      <c r="AB144" s="4"/>
      <c r="AC144" s="8"/>
      <c r="AD144" s="4"/>
    </row>
    <row r="145">
      <c r="B145" s="4"/>
      <c r="C145" s="4"/>
      <c r="D145" s="4"/>
      <c r="F145" s="4"/>
      <c r="G145" s="8"/>
      <c r="H145" s="4"/>
      <c r="I145" s="4"/>
      <c r="J145" s="4"/>
      <c r="K145" s="4"/>
      <c r="L145" s="4"/>
      <c r="M145" s="8"/>
      <c r="N145" s="4"/>
      <c r="O145" s="8"/>
      <c r="P145" s="4"/>
      <c r="Q145" s="8"/>
      <c r="R145" s="4"/>
      <c r="S145" s="8"/>
      <c r="T145" s="4"/>
      <c r="U145" s="8"/>
      <c r="V145" s="4"/>
      <c r="W145" s="8"/>
      <c r="X145" s="4"/>
      <c r="Y145" s="8"/>
      <c r="Z145" s="4"/>
      <c r="AA145" s="2"/>
      <c r="AB145" s="4"/>
      <c r="AC145" s="8"/>
      <c r="AD145" s="4"/>
    </row>
    <row r="146">
      <c r="B146" s="4"/>
      <c r="C146" s="4"/>
      <c r="D146" s="4"/>
      <c r="F146" s="4"/>
      <c r="G146" s="8"/>
      <c r="H146" s="4"/>
      <c r="I146" s="4"/>
      <c r="J146" s="4"/>
      <c r="K146" s="4"/>
      <c r="L146" s="4"/>
      <c r="M146" s="8"/>
      <c r="N146" s="4"/>
      <c r="O146" s="8"/>
      <c r="P146" s="4"/>
      <c r="Q146" s="8"/>
      <c r="R146" s="4"/>
      <c r="S146" s="8"/>
      <c r="T146" s="4"/>
      <c r="U146" s="8"/>
      <c r="V146" s="4"/>
      <c r="W146" s="8"/>
      <c r="X146" s="4"/>
      <c r="Y146" s="8"/>
      <c r="Z146" s="4"/>
      <c r="AA146" s="2"/>
      <c r="AB146" s="4"/>
      <c r="AC146" s="8"/>
      <c r="AD146" s="4"/>
    </row>
    <row r="147">
      <c r="B147" s="4"/>
      <c r="C147" s="4"/>
      <c r="D147" s="4"/>
      <c r="F147" s="4"/>
      <c r="G147" s="8"/>
      <c r="H147" s="4"/>
      <c r="I147" s="4"/>
      <c r="J147" s="4"/>
      <c r="K147" s="4"/>
      <c r="L147" s="4"/>
      <c r="M147" s="8"/>
      <c r="N147" s="4"/>
      <c r="O147" s="8"/>
      <c r="P147" s="4"/>
      <c r="Q147" s="8"/>
      <c r="R147" s="4"/>
      <c r="S147" s="8"/>
      <c r="T147" s="4"/>
      <c r="U147" s="8"/>
      <c r="V147" s="4"/>
      <c r="W147" s="8"/>
      <c r="X147" s="4"/>
      <c r="Y147" s="8"/>
      <c r="Z147" s="4"/>
      <c r="AA147" s="2"/>
      <c r="AB147" s="4"/>
      <c r="AC147" s="8"/>
      <c r="AD147" s="4"/>
    </row>
    <row r="148">
      <c r="B148" s="4"/>
      <c r="C148" s="4"/>
      <c r="D148" s="4"/>
      <c r="F148" s="4"/>
      <c r="G148" s="8"/>
      <c r="H148" s="4"/>
      <c r="I148" s="4"/>
      <c r="J148" s="4"/>
      <c r="K148" s="4"/>
      <c r="L148" s="4"/>
      <c r="M148" s="8"/>
      <c r="N148" s="4"/>
      <c r="O148" s="8"/>
      <c r="P148" s="4"/>
      <c r="Q148" s="8"/>
      <c r="R148" s="4"/>
      <c r="S148" s="8"/>
      <c r="T148" s="4"/>
      <c r="U148" s="8"/>
      <c r="V148" s="4"/>
      <c r="W148" s="8"/>
      <c r="X148" s="4"/>
      <c r="Y148" s="8"/>
      <c r="Z148" s="4"/>
      <c r="AA148" s="2"/>
      <c r="AB148" s="4"/>
      <c r="AC148" s="8"/>
      <c r="AD148" s="4"/>
    </row>
    <row r="149">
      <c r="B149" s="4"/>
      <c r="C149" s="4"/>
      <c r="D149" s="4"/>
      <c r="F149" s="4"/>
      <c r="G149" s="8"/>
      <c r="H149" s="4"/>
      <c r="I149" s="4"/>
      <c r="J149" s="4"/>
      <c r="K149" s="4"/>
      <c r="L149" s="4"/>
      <c r="M149" s="8"/>
      <c r="N149" s="4"/>
      <c r="O149" s="8"/>
      <c r="P149" s="4"/>
      <c r="Q149" s="8"/>
      <c r="R149" s="4"/>
      <c r="S149" s="8"/>
      <c r="T149" s="4"/>
      <c r="U149" s="8"/>
      <c r="V149" s="4"/>
      <c r="W149" s="8"/>
      <c r="X149" s="4"/>
      <c r="Y149" s="8"/>
      <c r="Z149" s="4"/>
      <c r="AA149" s="2"/>
      <c r="AB149" s="4"/>
      <c r="AC149" s="8"/>
      <c r="AD149" s="4"/>
    </row>
    <row r="150">
      <c r="B150" s="4"/>
      <c r="C150" s="4"/>
      <c r="D150" s="4"/>
      <c r="F150" s="4"/>
      <c r="G150" s="8"/>
      <c r="H150" s="4"/>
      <c r="I150" s="4"/>
      <c r="J150" s="4"/>
      <c r="K150" s="4"/>
      <c r="L150" s="4"/>
      <c r="M150" s="8"/>
      <c r="N150" s="4"/>
      <c r="O150" s="8"/>
      <c r="P150" s="4"/>
      <c r="Q150" s="8"/>
      <c r="R150" s="4"/>
      <c r="S150" s="8"/>
      <c r="T150" s="4"/>
      <c r="U150" s="8"/>
      <c r="V150" s="4"/>
      <c r="W150" s="8"/>
      <c r="X150" s="4"/>
      <c r="Y150" s="8"/>
      <c r="Z150" s="4"/>
      <c r="AA150" s="2"/>
      <c r="AB150" s="4"/>
      <c r="AC150" s="8"/>
      <c r="AD150" s="4"/>
    </row>
    <row r="151">
      <c r="B151" s="4"/>
      <c r="C151" s="4"/>
      <c r="D151" s="4"/>
      <c r="F151" s="4"/>
      <c r="G151" s="8"/>
      <c r="H151" s="4"/>
      <c r="I151" s="4"/>
      <c r="J151" s="4"/>
      <c r="K151" s="4"/>
      <c r="L151" s="4"/>
      <c r="M151" s="8"/>
      <c r="N151" s="4"/>
      <c r="O151" s="8"/>
      <c r="P151" s="4"/>
      <c r="Q151" s="8"/>
      <c r="R151" s="4"/>
      <c r="S151" s="8"/>
      <c r="T151" s="4"/>
      <c r="U151" s="8"/>
      <c r="V151" s="4"/>
      <c r="W151" s="8"/>
      <c r="X151" s="4"/>
      <c r="Y151" s="8"/>
      <c r="Z151" s="4"/>
      <c r="AA151" s="2"/>
      <c r="AB151" s="4"/>
      <c r="AC151" s="8"/>
      <c r="AD151" s="4"/>
    </row>
    <row r="152">
      <c r="B152" s="4"/>
      <c r="C152" s="4"/>
      <c r="D152" s="4"/>
      <c r="F152" s="4"/>
      <c r="G152" s="8"/>
      <c r="H152" s="4"/>
      <c r="I152" s="4"/>
      <c r="J152" s="4"/>
      <c r="K152" s="4"/>
      <c r="L152" s="4"/>
      <c r="M152" s="8"/>
      <c r="N152" s="4"/>
      <c r="O152" s="8"/>
      <c r="P152" s="4"/>
      <c r="Q152" s="8"/>
      <c r="R152" s="4"/>
      <c r="S152" s="8"/>
      <c r="T152" s="4"/>
      <c r="U152" s="8"/>
      <c r="V152" s="4"/>
      <c r="W152" s="8"/>
      <c r="X152" s="4"/>
      <c r="Y152" s="8"/>
      <c r="Z152" s="4"/>
      <c r="AA152" s="2"/>
      <c r="AB152" s="4"/>
      <c r="AC152" s="8"/>
      <c r="AD152" s="4"/>
    </row>
    <row r="153">
      <c r="B153" s="4"/>
      <c r="C153" s="4"/>
      <c r="D153" s="4"/>
      <c r="F153" s="4"/>
      <c r="G153" s="8"/>
      <c r="H153" s="4"/>
      <c r="I153" s="4"/>
      <c r="J153" s="4"/>
      <c r="K153" s="4"/>
      <c r="L153" s="4"/>
      <c r="M153" s="8"/>
      <c r="N153" s="4"/>
      <c r="O153" s="8"/>
      <c r="P153" s="4"/>
      <c r="Q153" s="8"/>
      <c r="R153" s="4"/>
      <c r="S153" s="8"/>
      <c r="T153" s="4"/>
      <c r="U153" s="8"/>
      <c r="V153" s="4"/>
      <c r="W153" s="8"/>
      <c r="X153" s="4"/>
      <c r="Y153" s="8"/>
      <c r="Z153" s="4"/>
      <c r="AA153" s="2"/>
      <c r="AB153" s="4"/>
      <c r="AC153" s="8"/>
      <c r="AD153" s="4"/>
    </row>
    <row r="154">
      <c r="B154" s="4"/>
      <c r="C154" s="4"/>
      <c r="D154" s="4"/>
      <c r="F154" s="4"/>
      <c r="G154" s="8"/>
      <c r="H154" s="4"/>
      <c r="I154" s="4"/>
      <c r="J154" s="4"/>
      <c r="K154" s="4"/>
      <c r="L154" s="4"/>
      <c r="M154" s="8"/>
      <c r="N154" s="4"/>
      <c r="O154" s="8"/>
      <c r="P154" s="4"/>
      <c r="Q154" s="8"/>
      <c r="R154" s="4"/>
      <c r="S154" s="8"/>
      <c r="T154" s="4"/>
      <c r="U154" s="8"/>
      <c r="V154" s="4"/>
      <c r="W154" s="8"/>
      <c r="X154" s="4"/>
      <c r="Y154" s="8"/>
      <c r="Z154" s="4"/>
      <c r="AA154" s="2"/>
      <c r="AB154" s="4"/>
      <c r="AC154" s="8"/>
      <c r="AD154" s="4"/>
    </row>
    <row r="155">
      <c r="B155" s="4"/>
      <c r="C155" s="4"/>
      <c r="D155" s="4"/>
      <c r="F155" s="4"/>
      <c r="G155" s="8"/>
      <c r="H155" s="4"/>
      <c r="I155" s="4"/>
      <c r="J155" s="4"/>
      <c r="K155" s="4"/>
      <c r="L155" s="4"/>
      <c r="M155" s="8"/>
      <c r="N155" s="4"/>
      <c r="O155" s="8"/>
      <c r="P155" s="4"/>
      <c r="Q155" s="8"/>
      <c r="R155" s="4"/>
      <c r="S155" s="8"/>
      <c r="T155" s="4"/>
      <c r="U155" s="8"/>
      <c r="V155" s="4"/>
      <c r="W155" s="8"/>
      <c r="X155" s="4"/>
      <c r="Y155" s="8"/>
      <c r="Z155" s="4"/>
      <c r="AA155" s="2"/>
      <c r="AB155" s="4"/>
      <c r="AC155" s="8"/>
      <c r="AD155" s="4"/>
    </row>
    <row r="156">
      <c r="B156" s="4"/>
      <c r="C156" s="4"/>
      <c r="D156" s="4"/>
      <c r="F156" s="4"/>
      <c r="G156" s="8"/>
      <c r="H156" s="4"/>
      <c r="I156" s="4"/>
      <c r="J156" s="4"/>
      <c r="K156" s="4"/>
      <c r="L156" s="4"/>
      <c r="M156" s="8"/>
      <c r="N156" s="4"/>
      <c r="O156" s="8"/>
      <c r="P156" s="4"/>
      <c r="Q156" s="8"/>
      <c r="R156" s="4"/>
      <c r="S156" s="8"/>
      <c r="T156" s="4"/>
      <c r="U156" s="8"/>
      <c r="V156" s="4"/>
      <c r="W156" s="8"/>
      <c r="X156" s="4"/>
      <c r="Y156" s="8"/>
      <c r="Z156" s="4"/>
      <c r="AA156" s="2"/>
      <c r="AB156" s="4"/>
      <c r="AC156" s="8"/>
      <c r="AD156" s="4"/>
    </row>
    <row r="157">
      <c r="B157" s="4"/>
      <c r="C157" s="4"/>
      <c r="D157" s="4"/>
      <c r="F157" s="4"/>
      <c r="G157" s="8"/>
      <c r="H157" s="4"/>
      <c r="I157" s="4"/>
      <c r="J157" s="4"/>
      <c r="K157" s="4"/>
      <c r="L157" s="4"/>
      <c r="M157" s="8"/>
      <c r="N157" s="4"/>
      <c r="O157" s="8"/>
      <c r="P157" s="4"/>
      <c r="Q157" s="8"/>
      <c r="R157" s="4"/>
      <c r="S157" s="8"/>
      <c r="T157" s="4"/>
      <c r="U157" s="8"/>
      <c r="V157" s="4"/>
      <c r="W157" s="8"/>
      <c r="X157" s="4"/>
      <c r="Y157" s="8"/>
      <c r="Z157" s="4"/>
      <c r="AA157" s="2"/>
      <c r="AB157" s="4"/>
      <c r="AC157" s="8"/>
      <c r="AD157" s="4"/>
    </row>
    <row r="158">
      <c r="B158" s="4"/>
      <c r="C158" s="4"/>
      <c r="D158" s="4"/>
      <c r="F158" s="4"/>
      <c r="G158" s="8"/>
      <c r="H158" s="4"/>
      <c r="I158" s="4"/>
      <c r="J158" s="4"/>
      <c r="K158" s="4"/>
      <c r="L158" s="4"/>
      <c r="M158" s="8"/>
      <c r="N158" s="4"/>
      <c r="O158" s="8"/>
      <c r="P158" s="4"/>
      <c r="Q158" s="8"/>
      <c r="R158" s="4"/>
      <c r="S158" s="8"/>
      <c r="T158" s="4"/>
      <c r="U158" s="8"/>
      <c r="V158" s="4"/>
      <c r="W158" s="8"/>
      <c r="X158" s="4"/>
      <c r="Y158" s="8"/>
      <c r="Z158" s="4"/>
      <c r="AA158" s="2"/>
      <c r="AB158" s="4"/>
      <c r="AC158" s="8"/>
      <c r="AD158" s="4"/>
    </row>
    <row r="159">
      <c r="B159" s="4"/>
      <c r="C159" s="4"/>
      <c r="D159" s="4"/>
      <c r="F159" s="4"/>
      <c r="G159" s="8"/>
      <c r="H159" s="4"/>
      <c r="I159" s="4"/>
      <c r="J159" s="4"/>
      <c r="K159" s="4"/>
      <c r="L159" s="4"/>
      <c r="M159" s="8"/>
      <c r="N159" s="4"/>
      <c r="O159" s="8"/>
      <c r="P159" s="4"/>
      <c r="Q159" s="8"/>
      <c r="R159" s="4"/>
      <c r="S159" s="8"/>
      <c r="T159" s="4"/>
      <c r="U159" s="8"/>
      <c r="V159" s="4"/>
      <c r="W159" s="8"/>
      <c r="X159" s="4"/>
      <c r="Y159" s="8"/>
      <c r="Z159" s="4"/>
      <c r="AA159" s="2"/>
      <c r="AB159" s="4"/>
      <c r="AC159" s="8"/>
      <c r="AD159" s="4"/>
    </row>
    <row r="160">
      <c r="B160" s="4"/>
      <c r="C160" s="4"/>
      <c r="D160" s="4"/>
      <c r="F160" s="4"/>
      <c r="G160" s="8"/>
      <c r="H160" s="4"/>
      <c r="I160" s="4"/>
      <c r="J160" s="4"/>
      <c r="K160" s="4"/>
      <c r="L160" s="4"/>
      <c r="M160" s="8"/>
      <c r="N160" s="4"/>
      <c r="O160" s="8"/>
      <c r="P160" s="4"/>
      <c r="Q160" s="8"/>
      <c r="R160" s="4"/>
      <c r="S160" s="8"/>
      <c r="T160" s="4"/>
      <c r="U160" s="8"/>
      <c r="V160" s="4"/>
      <c r="W160" s="8"/>
      <c r="X160" s="4"/>
      <c r="Y160" s="8"/>
      <c r="Z160" s="4"/>
      <c r="AA160" s="2"/>
      <c r="AB160" s="4"/>
      <c r="AC160" s="8"/>
      <c r="AD160" s="4"/>
    </row>
    <row r="161">
      <c r="B161" s="4"/>
      <c r="C161" s="4"/>
      <c r="D161" s="4"/>
      <c r="F161" s="4"/>
      <c r="G161" s="8"/>
      <c r="H161" s="4"/>
      <c r="I161" s="4"/>
      <c r="J161" s="4"/>
      <c r="K161" s="4"/>
      <c r="L161" s="4"/>
      <c r="M161" s="8"/>
      <c r="N161" s="4"/>
      <c r="O161" s="8"/>
      <c r="P161" s="4"/>
      <c r="Q161" s="8"/>
      <c r="R161" s="4"/>
      <c r="S161" s="8"/>
      <c r="T161" s="4"/>
      <c r="U161" s="8"/>
      <c r="V161" s="4"/>
      <c r="W161" s="8"/>
      <c r="X161" s="4"/>
      <c r="Y161" s="8"/>
      <c r="Z161" s="4"/>
      <c r="AA161" s="2"/>
      <c r="AB161" s="4"/>
      <c r="AC161" s="8"/>
      <c r="AD161" s="4"/>
    </row>
    <row r="162">
      <c r="B162" s="4"/>
      <c r="C162" s="4"/>
      <c r="D162" s="4"/>
      <c r="F162" s="4"/>
      <c r="G162" s="8"/>
      <c r="H162" s="4"/>
      <c r="I162" s="4"/>
      <c r="J162" s="4"/>
      <c r="K162" s="4"/>
      <c r="L162" s="4"/>
      <c r="M162" s="8"/>
      <c r="N162" s="4"/>
      <c r="O162" s="8"/>
      <c r="P162" s="4"/>
      <c r="Q162" s="8"/>
      <c r="R162" s="4"/>
      <c r="S162" s="8"/>
      <c r="T162" s="4"/>
      <c r="U162" s="8"/>
      <c r="V162" s="4"/>
      <c r="W162" s="8"/>
      <c r="X162" s="4"/>
      <c r="Y162" s="8"/>
      <c r="Z162" s="4"/>
      <c r="AA162" s="2"/>
      <c r="AB162" s="4"/>
      <c r="AC162" s="8"/>
      <c r="AD162" s="4"/>
    </row>
    <row r="163">
      <c r="B163" s="4"/>
      <c r="C163" s="4"/>
      <c r="D163" s="4"/>
      <c r="F163" s="4"/>
      <c r="G163" s="8"/>
      <c r="H163" s="4"/>
      <c r="I163" s="4"/>
      <c r="J163" s="4"/>
      <c r="K163" s="4"/>
      <c r="L163" s="4"/>
      <c r="M163" s="8"/>
      <c r="N163" s="4"/>
      <c r="O163" s="8"/>
      <c r="P163" s="4"/>
      <c r="Q163" s="8"/>
      <c r="R163" s="4"/>
      <c r="S163" s="8"/>
      <c r="T163" s="4"/>
      <c r="U163" s="8"/>
      <c r="V163" s="4"/>
      <c r="W163" s="8"/>
      <c r="X163" s="4"/>
      <c r="Y163" s="8"/>
      <c r="Z163" s="4"/>
      <c r="AA163" s="2"/>
      <c r="AB163" s="4"/>
      <c r="AC163" s="8"/>
      <c r="AD163" s="4"/>
    </row>
    <row r="164">
      <c r="B164" s="4"/>
      <c r="C164" s="4"/>
      <c r="D164" s="4"/>
      <c r="F164" s="4"/>
      <c r="G164" s="8"/>
      <c r="H164" s="4"/>
      <c r="I164" s="4"/>
      <c r="J164" s="4"/>
      <c r="K164" s="4"/>
      <c r="L164" s="4"/>
      <c r="M164" s="8"/>
      <c r="N164" s="4"/>
      <c r="O164" s="8"/>
      <c r="P164" s="4"/>
      <c r="Q164" s="8"/>
      <c r="R164" s="4"/>
      <c r="S164" s="8"/>
      <c r="T164" s="4"/>
      <c r="U164" s="8"/>
      <c r="V164" s="4"/>
      <c r="W164" s="8"/>
      <c r="X164" s="4"/>
      <c r="Y164" s="8"/>
      <c r="Z164" s="4"/>
      <c r="AA164" s="2"/>
      <c r="AB164" s="4"/>
      <c r="AC164" s="8"/>
      <c r="AD164" s="4"/>
    </row>
    <row r="165">
      <c r="B165" s="4"/>
      <c r="C165" s="4"/>
      <c r="D165" s="4"/>
      <c r="F165" s="4"/>
      <c r="G165" s="8"/>
      <c r="H165" s="4"/>
      <c r="I165" s="4"/>
      <c r="J165" s="4"/>
      <c r="K165" s="4"/>
      <c r="L165" s="4"/>
      <c r="M165" s="8"/>
      <c r="N165" s="4"/>
      <c r="O165" s="8"/>
      <c r="P165" s="4"/>
      <c r="Q165" s="8"/>
      <c r="R165" s="4"/>
      <c r="S165" s="8"/>
      <c r="T165" s="4"/>
      <c r="U165" s="8"/>
      <c r="V165" s="4"/>
      <c r="W165" s="8"/>
      <c r="X165" s="4"/>
      <c r="Y165" s="8"/>
      <c r="Z165" s="4"/>
      <c r="AA165" s="2"/>
      <c r="AB165" s="4"/>
      <c r="AC165" s="8"/>
      <c r="AD165" s="4"/>
    </row>
    <row r="166">
      <c r="B166" s="4"/>
      <c r="C166" s="4"/>
      <c r="D166" s="4"/>
      <c r="F166" s="4"/>
      <c r="G166" s="8"/>
      <c r="H166" s="4"/>
      <c r="I166" s="4"/>
      <c r="J166" s="4"/>
      <c r="K166" s="4"/>
      <c r="L166" s="4"/>
      <c r="M166" s="8"/>
      <c r="N166" s="4"/>
      <c r="O166" s="8"/>
      <c r="P166" s="4"/>
      <c r="Q166" s="8"/>
      <c r="R166" s="4"/>
      <c r="S166" s="8"/>
      <c r="T166" s="4"/>
      <c r="U166" s="8"/>
      <c r="V166" s="4"/>
      <c r="W166" s="8"/>
      <c r="X166" s="4"/>
      <c r="Y166" s="8"/>
      <c r="Z166" s="4"/>
      <c r="AA166" s="2"/>
      <c r="AB166" s="4"/>
      <c r="AC166" s="8"/>
      <c r="AD166" s="4"/>
    </row>
    <row r="167">
      <c r="B167" s="4"/>
      <c r="C167" s="4"/>
      <c r="D167" s="4"/>
      <c r="F167" s="4"/>
      <c r="G167" s="8"/>
      <c r="H167" s="4"/>
      <c r="I167" s="4"/>
      <c r="J167" s="4"/>
      <c r="K167" s="4"/>
      <c r="L167" s="4"/>
      <c r="M167" s="8"/>
      <c r="N167" s="4"/>
      <c r="O167" s="8"/>
      <c r="P167" s="4"/>
      <c r="Q167" s="8"/>
      <c r="R167" s="4"/>
      <c r="S167" s="8"/>
      <c r="T167" s="4"/>
      <c r="U167" s="8"/>
      <c r="V167" s="4"/>
      <c r="W167" s="8"/>
      <c r="X167" s="4"/>
      <c r="Y167" s="8"/>
      <c r="Z167" s="4"/>
      <c r="AA167" s="2"/>
      <c r="AB167" s="4"/>
      <c r="AC167" s="8"/>
      <c r="AD167" s="4"/>
    </row>
    <row r="168">
      <c r="B168" s="4"/>
      <c r="C168" s="4"/>
      <c r="D168" s="4"/>
      <c r="F168" s="4"/>
      <c r="G168" s="8"/>
      <c r="H168" s="4"/>
      <c r="I168" s="4"/>
      <c r="J168" s="4"/>
      <c r="K168" s="4"/>
      <c r="L168" s="4"/>
      <c r="M168" s="8"/>
      <c r="N168" s="4"/>
      <c r="O168" s="8"/>
      <c r="P168" s="4"/>
      <c r="Q168" s="8"/>
      <c r="R168" s="4"/>
      <c r="S168" s="8"/>
      <c r="T168" s="4"/>
      <c r="U168" s="8"/>
      <c r="V168" s="4"/>
      <c r="W168" s="8"/>
      <c r="X168" s="4"/>
      <c r="Y168" s="8"/>
      <c r="Z168" s="4"/>
      <c r="AA168" s="2"/>
      <c r="AB168" s="4"/>
      <c r="AC168" s="8"/>
      <c r="AD168" s="4"/>
    </row>
    <row r="169">
      <c r="B169" s="4"/>
      <c r="C169" s="4"/>
      <c r="D169" s="4"/>
      <c r="F169" s="4"/>
      <c r="G169" s="8"/>
      <c r="H169" s="4"/>
      <c r="I169" s="4"/>
      <c r="J169" s="4"/>
      <c r="K169" s="4"/>
      <c r="L169" s="4"/>
      <c r="M169" s="8"/>
      <c r="N169" s="4"/>
      <c r="O169" s="8"/>
      <c r="P169" s="4"/>
      <c r="Q169" s="8"/>
      <c r="R169" s="4"/>
      <c r="S169" s="8"/>
      <c r="T169" s="4"/>
      <c r="U169" s="8"/>
      <c r="V169" s="4"/>
      <c r="W169" s="8"/>
      <c r="X169" s="4"/>
      <c r="Y169" s="8"/>
      <c r="Z169" s="4"/>
      <c r="AA169" s="2"/>
      <c r="AB169" s="4"/>
      <c r="AC169" s="8"/>
      <c r="AD169" s="4"/>
    </row>
    <row r="170">
      <c r="B170" s="4"/>
      <c r="C170" s="4"/>
      <c r="D170" s="4"/>
      <c r="F170" s="4"/>
      <c r="G170" s="8"/>
      <c r="H170" s="4"/>
      <c r="I170" s="4"/>
      <c r="J170" s="4"/>
      <c r="K170" s="4"/>
      <c r="L170" s="4"/>
      <c r="M170" s="8"/>
      <c r="N170" s="4"/>
      <c r="O170" s="8"/>
      <c r="P170" s="4"/>
      <c r="Q170" s="8"/>
      <c r="R170" s="4"/>
      <c r="S170" s="8"/>
      <c r="T170" s="4"/>
      <c r="U170" s="8"/>
      <c r="V170" s="4"/>
      <c r="W170" s="8"/>
      <c r="X170" s="4"/>
      <c r="Y170" s="8"/>
      <c r="Z170" s="4"/>
      <c r="AA170" s="2"/>
      <c r="AB170" s="4"/>
      <c r="AC170" s="8"/>
      <c r="AD170" s="4"/>
    </row>
    <row r="171">
      <c r="B171" s="4"/>
      <c r="C171" s="4"/>
      <c r="D171" s="4"/>
      <c r="F171" s="4"/>
      <c r="G171" s="8"/>
      <c r="H171" s="4"/>
      <c r="I171" s="4"/>
      <c r="J171" s="4"/>
      <c r="K171" s="4"/>
      <c r="L171" s="4"/>
      <c r="M171" s="8"/>
      <c r="N171" s="4"/>
      <c r="O171" s="8"/>
      <c r="P171" s="4"/>
      <c r="Q171" s="8"/>
      <c r="R171" s="4"/>
      <c r="S171" s="8"/>
      <c r="T171" s="4"/>
      <c r="U171" s="8"/>
      <c r="V171" s="4"/>
      <c r="W171" s="8"/>
      <c r="X171" s="4"/>
      <c r="Y171" s="8"/>
      <c r="Z171" s="4"/>
      <c r="AA171" s="2"/>
      <c r="AB171" s="4"/>
      <c r="AC171" s="8"/>
      <c r="AD171" s="4"/>
    </row>
    <row r="172">
      <c r="B172" s="4"/>
      <c r="C172" s="4"/>
      <c r="D172" s="4"/>
      <c r="F172" s="4"/>
      <c r="G172" s="8"/>
      <c r="H172" s="4"/>
      <c r="I172" s="4"/>
      <c r="J172" s="4"/>
      <c r="K172" s="4"/>
      <c r="L172" s="4"/>
      <c r="M172" s="8"/>
      <c r="N172" s="4"/>
      <c r="O172" s="8"/>
      <c r="P172" s="4"/>
      <c r="Q172" s="8"/>
      <c r="R172" s="4"/>
      <c r="S172" s="8"/>
      <c r="T172" s="4"/>
      <c r="U172" s="8"/>
      <c r="V172" s="4"/>
      <c r="W172" s="8"/>
      <c r="X172" s="4"/>
      <c r="Y172" s="8"/>
      <c r="Z172" s="4"/>
      <c r="AA172" s="2"/>
      <c r="AB172" s="4"/>
      <c r="AC172" s="8"/>
      <c r="AD172" s="4"/>
    </row>
    <row r="173">
      <c r="B173" s="4"/>
      <c r="C173" s="4"/>
      <c r="D173" s="4"/>
      <c r="F173" s="4"/>
      <c r="G173" s="8"/>
      <c r="H173" s="4"/>
      <c r="I173" s="4"/>
      <c r="J173" s="4"/>
      <c r="K173" s="4"/>
      <c r="L173" s="4"/>
      <c r="M173" s="8"/>
      <c r="N173" s="4"/>
      <c r="O173" s="8"/>
      <c r="P173" s="4"/>
      <c r="Q173" s="8"/>
      <c r="R173" s="4"/>
      <c r="S173" s="8"/>
      <c r="T173" s="4"/>
      <c r="U173" s="8"/>
      <c r="V173" s="4"/>
      <c r="W173" s="8"/>
      <c r="X173" s="4"/>
      <c r="Y173" s="8"/>
      <c r="Z173" s="4"/>
      <c r="AA173" s="2"/>
      <c r="AB173" s="4"/>
      <c r="AC173" s="8"/>
      <c r="AD173" s="4"/>
    </row>
    <row r="174">
      <c r="B174" s="4"/>
      <c r="C174" s="4"/>
      <c r="D174" s="4"/>
      <c r="F174" s="4"/>
      <c r="G174" s="8"/>
      <c r="H174" s="4"/>
      <c r="I174" s="4"/>
      <c r="J174" s="4"/>
      <c r="K174" s="4"/>
      <c r="L174" s="4"/>
      <c r="M174" s="8"/>
      <c r="N174" s="4"/>
      <c r="O174" s="8"/>
      <c r="P174" s="4"/>
      <c r="Q174" s="8"/>
      <c r="R174" s="4"/>
      <c r="S174" s="8"/>
      <c r="T174" s="4"/>
      <c r="U174" s="8"/>
      <c r="V174" s="4"/>
      <c r="W174" s="8"/>
      <c r="X174" s="4"/>
      <c r="Y174" s="8"/>
      <c r="Z174" s="4"/>
      <c r="AA174" s="2"/>
      <c r="AB174" s="4"/>
      <c r="AC174" s="8"/>
      <c r="AD174" s="4"/>
    </row>
    <row r="175">
      <c r="B175" s="4"/>
      <c r="C175" s="4"/>
      <c r="D175" s="4"/>
      <c r="F175" s="4"/>
      <c r="G175" s="8"/>
      <c r="H175" s="4"/>
      <c r="I175" s="4"/>
      <c r="J175" s="4"/>
      <c r="K175" s="4"/>
      <c r="L175" s="4"/>
      <c r="M175" s="8"/>
      <c r="N175" s="4"/>
      <c r="O175" s="8"/>
      <c r="P175" s="4"/>
      <c r="Q175" s="8"/>
      <c r="R175" s="4"/>
      <c r="S175" s="8"/>
      <c r="T175" s="4"/>
      <c r="U175" s="8"/>
      <c r="V175" s="4"/>
      <c r="W175" s="8"/>
      <c r="X175" s="4"/>
      <c r="Y175" s="8"/>
      <c r="Z175" s="4"/>
      <c r="AA175" s="2"/>
      <c r="AB175" s="4"/>
      <c r="AC175" s="8"/>
      <c r="AD175" s="4"/>
    </row>
    <row r="176">
      <c r="B176" s="4"/>
      <c r="C176" s="4"/>
      <c r="D176" s="4"/>
      <c r="F176" s="4"/>
      <c r="G176" s="8"/>
      <c r="H176" s="4"/>
      <c r="I176" s="4"/>
      <c r="J176" s="4"/>
      <c r="K176" s="4"/>
      <c r="L176" s="4"/>
      <c r="M176" s="8"/>
      <c r="N176" s="4"/>
      <c r="O176" s="8"/>
      <c r="P176" s="4"/>
      <c r="Q176" s="8"/>
      <c r="R176" s="4"/>
      <c r="S176" s="8"/>
      <c r="T176" s="4"/>
      <c r="U176" s="8"/>
      <c r="V176" s="4"/>
      <c r="W176" s="8"/>
      <c r="X176" s="4"/>
      <c r="Y176" s="8"/>
      <c r="Z176" s="4"/>
      <c r="AA176" s="2"/>
      <c r="AB176" s="4"/>
      <c r="AC176" s="8"/>
      <c r="AD176" s="4"/>
    </row>
    <row r="177">
      <c r="B177" s="4"/>
      <c r="C177" s="4"/>
      <c r="D177" s="4"/>
      <c r="F177" s="4"/>
      <c r="G177" s="8"/>
      <c r="H177" s="4"/>
      <c r="I177" s="4"/>
      <c r="J177" s="4"/>
      <c r="K177" s="4"/>
      <c r="L177" s="4"/>
      <c r="M177" s="8"/>
      <c r="N177" s="4"/>
      <c r="O177" s="8"/>
      <c r="P177" s="4"/>
      <c r="Q177" s="8"/>
      <c r="R177" s="4"/>
      <c r="S177" s="8"/>
      <c r="T177" s="4"/>
      <c r="U177" s="8"/>
      <c r="V177" s="4"/>
      <c r="W177" s="8"/>
      <c r="X177" s="4"/>
      <c r="Y177" s="8"/>
      <c r="Z177" s="4"/>
      <c r="AA177" s="2"/>
      <c r="AB177" s="4"/>
      <c r="AC177" s="8"/>
      <c r="AD177" s="4"/>
    </row>
    <row r="178">
      <c r="B178" s="4"/>
      <c r="C178" s="4"/>
      <c r="D178" s="4"/>
      <c r="F178" s="4"/>
      <c r="G178" s="8"/>
      <c r="H178" s="4"/>
      <c r="I178" s="4"/>
      <c r="J178" s="4"/>
      <c r="K178" s="4"/>
      <c r="L178" s="4"/>
      <c r="M178" s="8"/>
      <c r="N178" s="4"/>
      <c r="O178" s="8"/>
      <c r="P178" s="4"/>
      <c r="Q178" s="8"/>
      <c r="R178" s="4"/>
      <c r="S178" s="8"/>
      <c r="T178" s="4"/>
      <c r="U178" s="8"/>
      <c r="V178" s="4"/>
      <c r="W178" s="8"/>
      <c r="X178" s="4"/>
      <c r="Y178" s="8"/>
      <c r="Z178" s="4"/>
      <c r="AA178" s="2"/>
      <c r="AB178" s="4"/>
      <c r="AC178" s="8"/>
      <c r="AD178" s="4"/>
    </row>
    <row r="179">
      <c r="B179" s="4"/>
      <c r="C179" s="4"/>
      <c r="D179" s="4"/>
      <c r="F179" s="4"/>
      <c r="G179" s="8"/>
      <c r="H179" s="4"/>
      <c r="I179" s="4"/>
      <c r="J179" s="4"/>
      <c r="K179" s="4"/>
      <c r="L179" s="4"/>
      <c r="M179" s="8"/>
      <c r="N179" s="4"/>
      <c r="O179" s="8"/>
      <c r="P179" s="4"/>
      <c r="Q179" s="8"/>
      <c r="R179" s="4"/>
      <c r="S179" s="8"/>
      <c r="T179" s="4"/>
      <c r="U179" s="8"/>
      <c r="V179" s="4"/>
      <c r="W179" s="8"/>
      <c r="X179" s="4"/>
      <c r="Y179" s="8"/>
      <c r="Z179" s="4"/>
      <c r="AA179" s="2"/>
      <c r="AB179" s="4"/>
      <c r="AC179" s="8"/>
      <c r="AD179" s="4"/>
    </row>
    <row r="180">
      <c r="B180" s="4"/>
      <c r="C180" s="4"/>
      <c r="D180" s="4"/>
      <c r="F180" s="4"/>
      <c r="G180" s="8"/>
      <c r="H180" s="4"/>
      <c r="I180" s="4"/>
      <c r="J180" s="4"/>
      <c r="K180" s="4"/>
      <c r="L180" s="4"/>
      <c r="M180" s="8"/>
      <c r="N180" s="4"/>
      <c r="O180" s="8"/>
      <c r="P180" s="4"/>
      <c r="Q180" s="8"/>
      <c r="R180" s="4"/>
      <c r="S180" s="8"/>
      <c r="T180" s="4"/>
      <c r="U180" s="8"/>
      <c r="V180" s="4"/>
      <c r="W180" s="8"/>
      <c r="X180" s="4"/>
      <c r="Y180" s="8"/>
      <c r="Z180" s="4"/>
      <c r="AA180" s="2"/>
      <c r="AB180" s="4"/>
      <c r="AC180" s="8"/>
      <c r="AD180" s="4"/>
    </row>
    <row r="181">
      <c r="B181" s="4"/>
      <c r="C181" s="4"/>
      <c r="D181" s="4"/>
      <c r="F181" s="4"/>
      <c r="G181" s="8"/>
      <c r="H181" s="4"/>
      <c r="I181" s="4"/>
      <c r="J181" s="4"/>
      <c r="K181" s="4"/>
      <c r="L181" s="4"/>
      <c r="M181" s="8"/>
      <c r="N181" s="4"/>
      <c r="O181" s="8"/>
      <c r="P181" s="4"/>
      <c r="Q181" s="8"/>
      <c r="R181" s="4"/>
      <c r="S181" s="8"/>
      <c r="T181" s="4"/>
      <c r="U181" s="8"/>
      <c r="V181" s="4"/>
      <c r="W181" s="8"/>
      <c r="X181" s="4"/>
      <c r="Y181" s="8"/>
      <c r="Z181" s="4"/>
      <c r="AA181" s="2"/>
      <c r="AB181" s="4"/>
      <c r="AC181" s="8"/>
      <c r="AD181" s="4"/>
    </row>
    <row r="182">
      <c r="B182" s="4"/>
      <c r="C182" s="4"/>
      <c r="D182" s="4"/>
      <c r="F182" s="4"/>
      <c r="G182" s="8"/>
      <c r="H182" s="4"/>
      <c r="I182" s="4"/>
      <c r="J182" s="4"/>
      <c r="K182" s="4"/>
      <c r="L182" s="4"/>
      <c r="M182" s="8"/>
      <c r="N182" s="4"/>
      <c r="O182" s="8"/>
      <c r="P182" s="4"/>
      <c r="Q182" s="8"/>
      <c r="R182" s="4"/>
      <c r="S182" s="8"/>
      <c r="T182" s="4"/>
      <c r="U182" s="8"/>
      <c r="V182" s="4"/>
      <c r="W182" s="8"/>
      <c r="X182" s="4"/>
      <c r="Y182" s="8"/>
      <c r="Z182" s="4"/>
      <c r="AA182" s="2"/>
      <c r="AB182" s="4"/>
      <c r="AC182" s="8"/>
      <c r="AD182" s="4"/>
    </row>
    <row r="183">
      <c r="B183" s="4"/>
      <c r="C183" s="4"/>
      <c r="D183" s="4"/>
      <c r="F183" s="4"/>
      <c r="G183" s="8"/>
      <c r="H183" s="4"/>
      <c r="I183" s="4"/>
      <c r="J183" s="4"/>
      <c r="K183" s="4"/>
      <c r="L183" s="4"/>
      <c r="M183" s="8"/>
      <c r="N183" s="4"/>
      <c r="O183" s="8"/>
      <c r="P183" s="4"/>
      <c r="Q183" s="8"/>
      <c r="R183" s="4"/>
      <c r="S183" s="8"/>
      <c r="T183" s="4"/>
      <c r="U183" s="8"/>
      <c r="V183" s="4"/>
      <c r="W183" s="8"/>
      <c r="X183" s="4"/>
      <c r="Y183" s="8"/>
      <c r="Z183" s="4"/>
      <c r="AA183" s="2"/>
      <c r="AB183" s="4"/>
      <c r="AC183" s="8"/>
      <c r="AD183" s="4"/>
    </row>
    <row r="184">
      <c r="B184" s="4"/>
      <c r="C184" s="4"/>
      <c r="D184" s="4"/>
      <c r="F184" s="4"/>
      <c r="G184" s="8"/>
      <c r="H184" s="4"/>
      <c r="I184" s="4"/>
      <c r="J184" s="4"/>
      <c r="K184" s="4"/>
      <c r="L184" s="4"/>
      <c r="M184" s="8"/>
      <c r="N184" s="4"/>
      <c r="O184" s="8"/>
      <c r="P184" s="4"/>
      <c r="Q184" s="8"/>
      <c r="R184" s="4"/>
      <c r="S184" s="8"/>
      <c r="T184" s="4"/>
      <c r="U184" s="8"/>
      <c r="V184" s="4"/>
      <c r="W184" s="8"/>
      <c r="X184" s="4"/>
      <c r="Y184" s="8"/>
      <c r="Z184" s="4"/>
      <c r="AA184" s="2"/>
      <c r="AB184" s="4"/>
      <c r="AC184" s="8"/>
      <c r="AD184" s="4"/>
    </row>
    <row r="185">
      <c r="B185" s="4"/>
      <c r="C185" s="4"/>
      <c r="D185" s="4"/>
      <c r="F185" s="4"/>
      <c r="G185" s="8"/>
      <c r="H185" s="4"/>
      <c r="I185" s="4"/>
      <c r="J185" s="4"/>
      <c r="K185" s="4"/>
      <c r="L185" s="4"/>
      <c r="M185" s="8"/>
      <c r="N185" s="4"/>
      <c r="O185" s="8"/>
      <c r="P185" s="4"/>
      <c r="Q185" s="8"/>
      <c r="R185" s="4"/>
      <c r="S185" s="8"/>
      <c r="T185" s="4"/>
      <c r="U185" s="8"/>
      <c r="V185" s="4"/>
      <c r="W185" s="8"/>
      <c r="X185" s="4"/>
      <c r="Y185" s="8"/>
      <c r="Z185" s="4"/>
      <c r="AA185" s="2"/>
      <c r="AB185" s="4"/>
      <c r="AC185" s="8"/>
      <c r="AD185" s="4"/>
    </row>
    <row r="186">
      <c r="B186" s="4"/>
      <c r="C186" s="4"/>
      <c r="D186" s="4"/>
      <c r="F186" s="4"/>
      <c r="G186" s="8"/>
      <c r="H186" s="4"/>
      <c r="I186" s="4"/>
      <c r="J186" s="4"/>
      <c r="K186" s="4"/>
      <c r="L186" s="4"/>
      <c r="M186" s="8"/>
      <c r="N186" s="4"/>
      <c r="O186" s="8"/>
      <c r="P186" s="4"/>
      <c r="Q186" s="8"/>
      <c r="R186" s="4"/>
      <c r="S186" s="8"/>
      <c r="T186" s="4"/>
      <c r="U186" s="8"/>
      <c r="V186" s="4"/>
      <c r="W186" s="8"/>
      <c r="X186" s="4"/>
      <c r="Y186" s="8"/>
      <c r="Z186" s="4"/>
      <c r="AA186" s="2"/>
      <c r="AB186" s="4"/>
      <c r="AC186" s="8"/>
      <c r="AD186" s="4"/>
    </row>
    <row r="187">
      <c r="B187" s="4"/>
      <c r="C187" s="4"/>
      <c r="D187" s="4"/>
      <c r="F187" s="4"/>
      <c r="G187" s="8"/>
      <c r="H187" s="4"/>
      <c r="I187" s="4"/>
      <c r="J187" s="4"/>
      <c r="K187" s="4"/>
      <c r="L187" s="4"/>
      <c r="M187" s="8"/>
      <c r="N187" s="4"/>
      <c r="O187" s="8"/>
      <c r="P187" s="4"/>
      <c r="Q187" s="8"/>
      <c r="R187" s="4"/>
      <c r="S187" s="8"/>
      <c r="T187" s="4"/>
      <c r="U187" s="8"/>
      <c r="V187" s="4"/>
      <c r="W187" s="8"/>
      <c r="X187" s="4"/>
      <c r="Y187" s="8"/>
      <c r="Z187" s="4"/>
      <c r="AA187" s="2"/>
      <c r="AB187" s="4"/>
      <c r="AC187" s="8"/>
      <c r="AD187" s="4"/>
    </row>
    <row r="188">
      <c r="B188" s="4"/>
      <c r="C188" s="4"/>
      <c r="D188" s="4"/>
      <c r="F188" s="4"/>
      <c r="G188" s="8"/>
      <c r="H188" s="4"/>
      <c r="I188" s="4"/>
      <c r="J188" s="4"/>
      <c r="K188" s="4"/>
      <c r="L188" s="4"/>
      <c r="M188" s="8"/>
      <c r="N188" s="4"/>
      <c r="O188" s="8"/>
      <c r="P188" s="4"/>
      <c r="Q188" s="8"/>
      <c r="R188" s="4"/>
      <c r="S188" s="8"/>
      <c r="T188" s="4"/>
      <c r="U188" s="8"/>
      <c r="V188" s="4"/>
      <c r="W188" s="8"/>
      <c r="X188" s="4"/>
      <c r="Y188" s="8"/>
      <c r="Z188" s="4"/>
      <c r="AA188" s="2"/>
      <c r="AB188" s="4"/>
      <c r="AC188" s="8"/>
      <c r="AD188" s="4"/>
    </row>
    <row r="189">
      <c r="B189" s="4"/>
      <c r="C189" s="4"/>
      <c r="D189" s="4"/>
      <c r="F189" s="4"/>
      <c r="G189" s="8"/>
      <c r="H189" s="4"/>
      <c r="I189" s="4"/>
      <c r="J189" s="4"/>
      <c r="K189" s="4"/>
      <c r="L189" s="4"/>
      <c r="M189" s="8"/>
      <c r="N189" s="4"/>
      <c r="O189" s="8"/>
      <c r="P189" s="4"/>
      <c r="Q189" s="8"/>
      <c r="R189" s="4"/>
      <c r="S189" s="8"/>
      <c r="T189" s="4"/>
      <c r="U189" s="8"/>
      <c r="V189" s="4"/>
      <c r="W189" s="8"/>
      <c r="X189" s="4"/>
      <c r="Y189" s="8"/>
      <c r="Z189" s="4"/>
      <c r="AA189" s="2"/>
      <c r="AB189" s="4"/>
      <c r="AC189" s="8"/>
      <c r="AD189" s="4"/>
    </row>
    <row r="190">
      <c r="B190" s="4"/>
      <c r="C190" s="4"/>
      <c r="D190" s="4"/>
      <c r="F190" s="4"/>
      <c r="G190" s="8"/>
      <c r="H190" s="4"/>
      <c r="I190" s="4"/>
      <c r="J190" s="4"/>
      <c r="K190" s="4"/>
      <c r="L190" s="4"/>
      <c r="M190" s="8"/>
      <c r="N190" s="4"/>
      <c r="O190" s="8"/>
      <c r="P190" s="4"/>
      <c r="Q190" s="8"/>
      <c r="R190" s="4"/>
      <c r="S190" s="8"/>
      <c r="T190" s="4"/>
      <c r="U190" s="8"/>
      <c r="V190" s="4"/>
      <c r="W190" s="8"/>
      <c r="X190" s="4"/>
      <c r="Y190" s="8"/>
      <c r="Z190" s="4"/>
      <c r="AA190" s="2"/>
      <c r="AB190" s="4"/>
      <c r="AC190" s="8"/>
      <c r="AD190" s="4"/>
    </row>
    <row r="191">
      <c r="B191" s="4"/>
      <c r="C191" s="4"/>
      <c r="D191" s="4"/>
      <c r="F191" s="4"/>
      <c r="G191" s="8"/>
      <c r="H191" s="4"/>
      <c r="I191" s="4"/>
      <c r="J191" s="4"/>
      <c r="K191" s="4"/>
      <c r="L191" s="4"/>
      <c r="M191" s="8"/>
      <c r="N191" s="4"/>
      <c r="O191" s="8"/>
      <c r="P191" s="4"/>
      <c r="Q191" s="8"/>
      <c r="R191" s="4"/>
      <c r="S191" s="8"/>
      <c r="T191" s="4"/>
      <c r="U191" s="8"/>
      <c r="V191" s="4"/>
      <c r="W191" s="8"/>
      <c r="X191" s="4"/>
      <c r="Y191" s="8"/>
      <c r="Z191" s="4"/>
      <c r="AA191" s="2"/>
      <c r="AB191" s="4"/>
      <c r="AC191" s="8"/>
      <c r="AD191" s="4"/>
    </row>
    <row r="192">
      <c r="B192" s="4"/>
      <c r="C192" s="4"/>
      <c r="D192" s="4"/>
      <c r="F192" s="4"/>
      <c r="G192" s="8"/>
      <c r="H192" s="4"/>
      <c r="I192" s="4"/>
      <c r="J192" s="4"/>
      <c r="K192" s="4"/>
      <c r="L192" s="4"/>
      <c r="M192" s="8"/>
      <c r="N192" s="4"/>
      <c r="O192" s="8"/>
      <c r="P192" s="4"/>
      <c r="Q192" s="8"/>
      <c r="R192" s="4"/>
      <c r="S192" s="8"/>
      <c r="T192" s="4"/>
      <c r="U192" s="8"/>
      <c r="V192" s="4"/>
      <c r="W192" s="8"/>
      <c r="X192" s="4"/>
      <c r="Y192" s="8"/>
      <c r="Z192" s="4"/>
      <c r="AA192" s="2"/>
      <c r="AB192" s="4"/>
      <c r="AC192" s="8"/>
      <c r="AD192" s="4"/>
    </row>
    <row r="193">
      <c r="B193" s="4"/>
      <c r="C193" s="4"/>
      <c r="D193" s="4"/>
      <c r="F193" s="4"/>
      <c r="G193" s="8"/>
      <c r="H193" s="4"/>
      <c r="I193" s="4"/>
      <c r="J193" s="4"/>
      <c r="K193" s="4"/>
      <c r="L193" s="4"/>
      <c r="M193" s="8"/>
      <c r="N193" s="4"/>
      <c r="O193" s="8"/>
      <c r="P193" s="4"/>
      <c r="Q193" s="8"/>
      <c r="R193" s="4"/>
      <c r="S193" s="8"/>
      <c r="T193" s="4"/>
      <c r="U193" s="8"/>
      <c r="V193" s="4"/>
      <c r="W193" s="8"/>
      <c r="X193" s="4"/>
      <c r="Y193" s="8"/>
      <c r="Z193" s="4"/>
      <c r="AA193" s="2"/>
      <c r="AB193" s="4"/>
      <c r="AC193" s="8"/>
      <c r="AD193" s="4"/>
    </row>
    <row r="194">
      <c r="B194" s="4"/>
      <c r="C194" s="4"/>
      <c r="D194" s="4"/>
      <c r="F194" s="4"/>
      <c r="G194" s="8"/>
      <c r="H194" s="4"/>
      <c r="I194" s="4"/>
      <c r="J194" s="4"/>
      <c r="K194" s="4"/>
      <c r="L194" s="4"/>
      <c r="M194" s="8"/>
      <c r="N194" s="4"/>
      <c r="O194" s="8"/>
      <c r="P194" s="4"/>
      <c r="Q194" s="8"/>
      <c r="R194" s="4"/>
      <c r="S194" s="8"/>
      <c r="T194" s="4"/>
      <c r="U194" s="8"/>
      <c r="V194" s="4"/>
      <c r="W194" s="8"/>
      <c r="X194" s="4"/>
      <c r="Y194" s="8"/>
      <c r="Z194" s="4"/>
      <c r="AA194" s="2"/>
      <c r="AB194" s="4"/>
      <c r="AC194" s="8"/>
      <c r="AD194" s="4"/>
    </row>
    <row r="195">
      <c r="B195" s="4"/>
      <c r="C195" s="4"/>
      <c r="D195" s="4"/>
      <c r="F195" s="4"/>
      <c r="G195" s="8"/>
      <c r="H195" s="4"/>
      <c r="I195" s="4"/>
      <c r="J195" s="4"/>
      <c r="K195" s="4"/>
      <c r="L195" s="4"/>
      <c r="M195" s="8"/>
      <c r="N195" s="4"/>
      <c r="O195" s="8"/>
      <c r="P195" s="4"/>
      <c r="Q195" s="8"/>
      <c r="R195" s="4"/>
      <c r="S195" s="8"/>
      <c r="T195" s="4"/>
      <c r="U195" s="8"/>
      <c r="V195" s="4"/>
      <c r="W195" s="8"/>
      <c r="X195" s="4"/>
      <c r="Y195" s="8"/>
      <c r="Z195" s="4"/>
      <c r="AA195" s="2"/>
      <c r="AB195" s="4"/>
      <c r="AC195" s="8"/>
      <c r="AD195" s="4"/>
    </row>
    <row r="196">
      <c r="B196" s="4"/>
      <c r="C196" s="4"/>
      <c r="D196" s="4"/>
      <c r="F196" s="4"/>
      <c r="G196" s="8"/>
      <c r="H196" s="4"/>
      <c r="I196" s="4"/>
      <c r="J196" s="4"/>
      <c r="K196" s="4"/>
      <c r="L196" s="4"/>
      <c r="M196" s="8"/>
      <c r="N196" s="4"/>
      <c r="O196" s="8"/>
      <c r="P196" s="4"/>
      <c r="Q196" s="8"/>
      <c r="R196" s="4"/>
      <c r="S196" s="8"/>
      <c r="T196" s="4"/>
      <c r="U196" s="8"/>
      <c r="V196" s="4"/>
      <c r="W196" s="8"/>
      <c r="X196" s="4"/>
      <c r="Y196" s="8"/>
      <c r="Z196" s="4"/>
      <c r="AA196" s="2"/>
      <c r="AB196" s="4"/>
      <c r="AC196" s="8"/>
      <c r="AD196" s="4"/>
    </row>
    <row r="197">
      <c r="B197" s="4"/>
      <c r="C197" s="4"/>
      <c r="D197" s="4"/>
      <c r="F197" s="4"/>
      <c r="G197" s="8"/>
      <c r="H197" s="4"/>
      <c r="I197" s="4"/>
      <c r="J197" s="4"/>
      <c r="K197" s="4"/>
      <c r="L197" s="4"/>
      <c r="M197" s="8"/>
      <c r="N197" s="4"/>
      <c r="O197" s="8"/>
      <c r="P197" s="4"/>
      <c r="Q197" s="8"/>
      <c r="R197" s="4"/>
      <c r="S197" s="8"/>
      <c r="T197" s="4"/>
      <c r="U197" s="8"/>
      <c r="V197" s="4"/>
      <c r="W197" s="8"/>
      <c r="X197" s="4"/>
      <c r="Y197" s="8"/>
      <c r="Z197" s="4"/>
      <c r="AA197" s="2"/>
      <c r="AB197" s="4"/>
      <c r="AC197" s="8"/>
      <c r="AD197" s="4"/>
    </row>
    <row r="198">
      <c r="B198" s="4"/>
      <c r="C198" s="4"/>
      <c r="D198" s="4"/>
      <c r="F198" s="4"/>
      <c r="G198" s="8"/>
      <c r="H198" s="4"/>
      <c r="I198" s="4"/>
      <c r="J198" s="4"/>
      <c r="K198" s="4"/>
      <c r="L198" s="4"/>
      <c r="M198" s="8"/>
      <c r="N198" s="4"/>
      <c r="O198" s="8"/>
      <c r="P198" s="4"/>
      <c r="Q198" s="8"/>
      <c r="R198" s="4"/>
      <c r="S198" s="8"/>
      <c r="T198" s="4"/>
      <c r="U198" s="8"/>
      <c r="V198" s="4"/>
      <c r="W198" s="8"/>
      <c r="X198" s="4"/>
      <c r="Y198" s="8"/>
      <c r="Z198" s="4"/>
      <c r="AA198" s="2"/>
      <c r="AB198" s="4"/>
      <c r="AC198" s="8"/>
      <c r="AD198" s="4"/>
    </row>
    <row r="199">
      <c r="B199" s="4"/>
      <c r="C199" s="4"/>
      <c r="D199" s="4"/>
      <c r="F199" s="4"/>
      <c r="G199" s="8"/>
      <c r="H199" s="4"/>
      <c r="I199" s="4"/>
      <c r="J199" s="4"/>
      <c r="K199" s="4"/>
      <c r="L199" s="4"/>
      <c r="M199" s="8"/>
      <c r="N199" s="4"/>
      <c r="O199" s="8"/>
      <c r="P199" s="4"/>
      <c r="Q199" s="8"/>
      <c r="R199" s="4"/>
      <c r="S199" s="8"/>
      <c r="T199" s="4"/>
      <c r="U199" s="8"/>
      <c r="V199" s="4"/>
      <c r="W199" s="8"/>
      <c r="X199" s="4"/>
      <c r="Y199" s="8"/>
      <c r="Z199" s="4"/>
      <c r="AA199" s="2"/>
      <c r="AB199" s="4"/>
      <c r="AC199" s="8"/>
      <c r="AD199" s="4"/>
    </row>
    <row r="200">
      <c r="B200" s="4"/>
      <c r="C200" s="4"/>
      <c r="D200" s="4"/>
      <c r="F200" s="4"/>
      <c r="G200" s="8"/>
      <c r="H200" s="4"/>
      <c r="I200" s="4"/>
      <c r="J200" s="4"/>
      <c r="K200" s="4"/>
      <c r="L200" s="4"/>
      <c r="M200" s="8"/>
      <c r="N200" s="4"/>
      <c r="O200" s="8"/>
      <c r="P200" s="4"/>
      <c r="Q200" s="8"/>
      <c r="R200" s="4"/>
      <c r="S200" s="8"/>
      <c r="T200" s="4"/>
      <c r="U200" s="8"/>
      <c r="V200" s="4"/>
      <c r="W200" s="8"/>
      <c r="X200" s="4"/>
      <c r="Y200" s="8"/>
      <c r="Z200" s="4"/>
      <c r="AA200" s="2"/>
      <c r="AB200" s="4"/>
      <c r="AC200" s="8"/>
      <c r="AD200" s="4"/>
    </row>
    <row r="201">
      <c r="B201" s="4"/>
      <c r="C201" s="4"/>
      <c r="D201" s="4"/>
      <c r="F201" s="4"/>
      <c r="G201" s="8"/>
      <c r="H201" s="4"/>
      <c r="I201" s="4"/>
      <c r="J201" s="4"/>
      <c r="K201" s="4"/>
      <c r="L201" s="4"/>
      <c r="M201" s="8"/>
      <c r="N201" s="4"/>
      <c r="O201" s="8"/>
      <c r="P201" s="4"/>
      <c r="Q201" s="8"/>
      <c r="R201" s="4"/>
      <c r="S201" s="8"/>
      <c r="T201" s="4"/>
      <c r="U201" s="8"/>
      <c r="V201" s="4"/>
      <c r="W201" s="8"/>
      <c r="X201" s="4"/>
      <c r="Y201" s="8"/>
      <c r="Z201" s="4"/>
      <c r="AA201" s="2"/>
      <c r="AB201" s="4"/>
      <c r="AC201" s="8"/>
      <c r="AD201" s="4"/>
    </row>
    <row r="202">
      <c r="B202" s="4"/>
      <c r="C202" s="4"/>
      <c r="D202" s="4"/>
      <c r="F202" s="4"/>
      <c r="G202" s="8"/>
      <c r="H202" s="4"/>
      <c r="I202" s="4"/>
      <c r="J202" s="4"/>
      <c r="K202" s="4"/>
      <c r="L202" s="4"/>
      <c r="M202" s="8"/>
      <c r="N202" s="4"/>
      <c r="O202" s="8"/>
      <c r="P202" s="4"/>
      <c r="Q202" s="8"/>
      <c r="R202" s="4"/>
      <c r="S202" s="8"/>
      <c r="T202" s="4"/>
      <c r="U202" s="8"/>
      <c r="V202" s="4"/>
      <c r="W202" s="8"/>
      <c r="X202" s="4"/>
      <c r="Y202" s="8"/>
      <c r="Z202" s="4"/>
      <c r="AA202" s="2"/>
      <c r="AB202" s="4"/>
      <c r="AC202" s="8"/>
      <c r="AD202" s="4"/>
    </row>
    <row r="203">
      <c r="B203" s="4"/>
      <c r="C203" s="4"/>
      <c r="D203" s="4"/>
      <c r="F203" s="4"/>
      <c r="G203" s="8"/>
      <c r="H203" s="4"/>
      <c r="I203" s="4"/>
      <c r="J203" s="4"/>
      <c r="K203" s="4"/>
      <c r="L203" s="4"/>
      <c r="M203" s="8"/>
      <c r="N203" s="4"/>
      <c r="O203" s="8"/>
      <c r="P203" s="4"/>
      <c r="Q203" s="8"/>
      <c r="R203" s="4"/>
      <c r="S203" s="8"/>
      <c r="T203" s="4"/>
      <c r="U203" s="8"/>
      <c r="V203" s="4"/>
      <c r="W203" s="8"/>
      <c r="X203" s="4"/>
      <c r="Y203" s="8"/>
      <c r="Z203" s="4"/>
      <c r="AA203" s="2"/>
      <c r="AB203" s="4"/>
      <c r="AC203" s="8"/>
      <c r="AD203" s="4"/>
    </row>
    <row r="204">
      <c r="B204" s="4"/>
      <c r="C204" s="4"/>
      <c r="D204" s="4"/>
      <c r="F204" s="4"/>
      <c r="G204" s="8"/>
      <c r="H204" s="4"/>
      <c r="I204" s="4"/>
      <c r="J204" s="4"/>
      <c r="K204" s="4"/>
      <c r="L204" s="4"/>
      <c r="M204" s="8"/>
      <c r="N204" s="4"/>
      <c r="O204" s="8"/>
      <c r="P204" s="4"/>
      <c r="Q204" s="8"/>
      <c r="R204" s="4"/>
      <c r="S204" s="8"/>
      <c r="T204" s="4"/>
      <c r="U204" s="8"/>
      <c r="V204" s="4"/>
      <c r="W204" s="8"/>
      <c r="X204" s="4"/>
      <c r="Y204" s="8"/>
      <c r="Z204" s="4"/>
      <c r="AA204" s="2"/>
      <c r="AB204" s="4"/>
      <c r="AC204" s="8"/>
      <c r="AD204" s="4"/>
    </row>
    <row r="205">
      <c r="B205" s="4"/>
      <c r="C205" s="4"/>
      <c r="D205" s="4"/>
      <c r="F205" s="4"/>
      <c r="G205" s="8"/>
      <c r="H205" s="4"/>
      <c r="I205" s="4"/>
      <c r="J205" s="4"/>
      <c r="K205" s="4"/>
      <c r="L205" s="4"/>
      <c r="M205" s="8"/>
      <c r="N205" s="4"/>
      <c r="O205" s="8"/>
      <c r="P205" s="4"/>
      <c r="Q205" s="8"/>
      <c r="R205" s="4"/>
      <c r="S205" s="8"/>
      <c r="T205" s="4"/>
      <c r="U205" s="8"/>
      <c r="V205" s="4"/>
      <c r="W205" s="8"/>
      <c r="X205" s="4"/>
      <c r="Y205" s="8"/>
      <c r="Z205" s="4"/>
      <c r="AA205" s="2"/>
      <c r="AB205" s="4"/>
      <c r="AC205" s="8"/>
      <c r="AD205" s="4"/>
    </row>
    <row r="206">
      <c r="B206" s="4"/>
      <c r="C206" s="4"/>
      <c r="D206" s="4"/>
      <c r="F206" s="4"/>
      <c r="G206" s="8"/>
      <c r="H206" s="4"/>
      <c r="I206" s="4"/>
      <c r="J206" s="4"/>
      <c r="K206" s="4"/>
      <c r="L206" s="4"/>
      <c r="M206" s="8"/>
      <c r="N206" s="4"/>
      <c r="O206" s="8"/>
      <c r="P206" s="4"/>
      <c r="Q206" s="8"/>
      <c r="R206" s="4"/>
      <c r="S206" s="8"/>
      <c r="T206" s="4"/>
      <c r="U206" s="8"/>
      <c r="V206" s="4"/>
      <c r="W206" s="8"/>
      <c r="X206" s="4"/>
      <c r="Y206" s="8"/>
      <c r="Z206" s="4"/>
      <c r="AA206" s="2"/>
      <c r="AB206" s="4"/>
      <c r="AC206" s="8"/>
      <c r="AD206" s="4"/>
    </row>
    <row r="207">
      <c r="B207" s="4"/>
      <c r="C207" s="4"/>
      <c r="D207" s="4"/>
      <c r="F207" s="4"/>
      <c r="G207" s="8"/>
      <c r="H207" s="4"/>
      <c r="I207" s="4"/>
      <c r="J207" s="4"/>
      <c r="K207" s="4"/>
      <c r="L207" s="4"/>
      <c r="M207" s="8"/>
      <c r="N207" s="4"/>
      <c r="O207" s="8"/>
      <c r="P207" s="4"/>
      <c r="Q207" s="8"/>
      <c r="R207" s="4"/>
      <c r="S207" s="8"/>
      <c r="T207" s="4"/>
      <c r="U207" s="8"/>
      <c r="V207" s="4"/>
      <c r="W207" s="8"/>
      <c r="X207" s="4"/>
      <c r="Y207" s="8"/>
      <c r="Z207" s="4"/>
      <c r="AA207" s="2"/>
      <c r="AB207" s="4"/>
      <c r="AC207" s="8"/>
      <c r="AD207" s="4"/>
    </row>
    <row r="208">
      <c r="B208" s="4"/>
      <c r="C208" s="4"/>
      <c r="D208" s="4"/>
      <c r="F208" s="4"/>
      <c r="G208" s="8"/>
      <c r="H208" s="4"/>
      <c r="I208" s="4"/>
      <c r="J208" s="4"/>
      <c r="K208" s="4"/>
      <c r="L208" s="4"/>
      <c r="M208" s="8"/>
      <c r="N208" s="4"/>
      <c r="O208" s="8"/>
      <c r="P208" s="4"/>
      <c r="Q208" s="8"/>
      <c r="R208" s="4"/>
      <c r="S208" s="8"/>
      <c r="T208" s="4"/>
      <c r="U208" s="8"/>
      <c r="V208" s="4"/>
      <c r="W208" s="8"/>
      <c r="X208" s="4"/>
      <c r="Y208" s="8"/>
      <c r="Z208" s="4"/>
      <c r="AA208" s="2"/>
      <c r="AB208" s="4"/>
      <c r="AC208" s="8"/>
      <c r="AD208" s="4"/>
    </row>
    <row r="209">
      <c r="B209" s="4"/>
      <c r="C209" s="4"/>
      <c r="D209" s="4"/>
      <c r="F209" s="4"/>
      <c r="G209" s="8"/>
      <c r="H209" s="4"/>
      <c r="I209" s="4"/>
      <c r="J209" s="4"/>
      <c r="K209" s="4"/>
      <c r="L209" s="4"/>
      <c r="M209" s="8"/>
      <c r="N209" s="4"/>
      <c r="O209" s="8"/>
      <c r="P209" s="4"/>
      <c r="Q209" s="8"/>
      <c r="R209" s="4"/>
      <c r="S209" s="8"/>
      <c r="T209" s="4"/>
      <c r="U209" s="8"/>
      <c r="V209" s="4"/>
      <c r="W209" s="8"/>
      <c r="X209" s="4"/>
      <c r="Y209" s="8"/>
      <c r="Z209" s="4"/>
      <c r="AA209" s="2"/>
      <c r="AB209" s="4"/>
      <c r="AC209" s="8"/>
      <c r="AD209" s="4"/>
    </row>
    <row r="210">
      <c r="B210" s="4"/>
      <c r="C210" s="4"/>
      <c r="D210" s="4"/>
      <c r="F210" s="4"/>
      <c r="G210" s="8"/>
      <c r="H210" s="4"/>
      <c r="I210" s="4"/>
      <c r="J210" s="4"/>
      <c r="K210" s="4"/>
      <c r="L210" s="4"/>
      <c r="M210" s="8"/>
      <c r="N210" s="4"/>
      <c r="O210" s="8"/>
      <c r="P210" s="4"/>
      <c r="Q210" s="8"/>
      <c r="R210" s="4"/>
      <c r="S210" s="8"/>
      <c r="T210" s="4"/>
      <c r="U210" s="8"/>
      <c r="V210" s="4"/>
      <c r="W210" s="8"/>
      <c r="X210" s="4"/>
      <c r="Y210" s="8"/>
      <c r="Z210" s="4"/>
      <c r="AA210" s="2"/>
      <c r="AB210" s="4"/>
      <c r="AC210" s="8"/>
      <c r="AD210" s="4"/>
    </row>
    <row r="211">
      <c r="B211" s="4"/>
      <c r="C211" s="4"/>
      <c r="D211" s="4"/>
      <c r="F211" s="4"/>
      <c r="G211" s="8"/>
      <c r="H211" s="4"/>
      <c r="I211" s="4"/>
      <c r="J211" s="4"/>
      <c r="K211" s="4"/>
      <c r="L211" s="4"/>
      <c r="M211" s="8"/>
      <c r="N211" s="4"/>
      <c r="O211" s="8"/>
      <c r="P211" s="4"/>
      <c r="Q211" s="8"/>
      <c r="R211" s="4"/>
      <c r="S211" s="8"/>
      <c r="T211" s="4"/>
      <c r="U211" s="8"/>
      <c r="V211" s="4"/>
      <c r="W211" s="8"/>
      <c r="X211" s="4"/>
      <c r="Y211" s="8"/>
      <c r="Z211" s="4"/>
      <c r="AA211" s="2"/>
      <c r="AB211" s="4"/>
      <c r="AC211" s="8"/>
      <c r="AD211" s="4"/>
    </row>
    <row r="212">
      <c r="B212" s="4"/>
      <c r="C212" s="4"/>
      <c r="D212" s="4"/>
      <c r="F212" s="4"/>
      <c r="G212" s="8"/>
      <c r="H212" s="4"/>
      <c r="I212" s="4"/>
      <c r="J212" s="4"/>
      <c r="K212" s="4"/>
      <c r="L212" s="4"/>
      <c r="M212" s="8"/>
      <c r="N212" s="4"/>
      <c r="O212" s="8"/>
      <c r="P212" s="4"/>
      <c r="Q212" s="8"/>
      <c r="R212" s="4"/>
      <c r="S212" s="8"/>
      <c r="T212" s="4"/>
      <c r="U212" s="8"/>
      <c r="V212" s="4"/>
      <c r="W212" s="8"/>
      <c r="X212" s="4"/>
      <c r="Y212" s="8"/>
      <c r="Z212" s="4"/>
      <c r="AA212" s="2"/>
      <c r="AB212" s="4"/>
      <c r="AC212" s="8"/>
      <c r="AD212" s="4"/>
    </row>
    <row r="213">
      <c r="B213" s="4"/>
      <c r="C213" s="4"/>
      <c r="D213" s="4"/>
      <c r="F213" s="4"/>
      <c r="G213" s="8"/>
      <c r="H213" s="4"/>
      <c r="I213" s="4"/>
      <c r="J213" s="4"/>
      <c r="K213" s="4"/>
      <c r="L213" s="4"/>
      <c r="M213" s="8"/>
      <c r="N213" s="4"/>
      <c r="O213" s="8"/>
      <c r="P213" s="4"/>
      <c r="Q213" s="8"/>
      <c r="R213" s="4"/>
      <c r="S213" s="8"/>
      <c r="T213" s="4"/>
      <c r="U213" s="8"/>
      <c r="V213" s="4"/>
      <c r="W213" s="8"/>
      <c r="X213" s="4"/>
      <c r="Y213" s="8"/>
      <c r="Z213" s="4"/>
      <c r="AA213" s="2"/>
      <c r="AB213" s="4"/>
      <c r="AC213" s="8"/>
      <c r="AD213" s="4"/>
    </row>
    <row r="214">
      <c r="B214" s="4"/>
      <c r="C214" s="4"/>
      <c r="D214" s="4"/>
      <c r="F214" s="4"/>
      <c r="G214" s="8"/>
      <c r="H214" s="4"/>
      <c r="I214" s="4"/>
      <c r="J214" s="4"/>
      <c r="K214" s="4"/>
      <c r="L214" s="4"/>
      <c r="M214" s="8"/>
      <c r="N214" s="4"/>
      <c r="O214" s="8"/>
      <c r="P214" s="4"/>
      <c r="Q214" s="8"/>
      <c r="R214" s="4"/>
      <c r="S214" s="8"/>
      <c r="T214" s="4"/>
      <c r="U214" s="8"/>
      <c r="V214" s="4"/>
      <c r="W214" s="8"/>
      <c r="X214" s="4"/>
      <c r="Y214" s="8"/>
      <c r="Z214" s="4"/>
      <c r="AA214" s="2"/>
      <c r="AB214" s="4"/>
      <c r="AC214" s="8"/>
      <c r="AD214" s="4"/>
    </row>
    <row r="215">
      <c r="B215" s="4"/>
      <c r="C215" s="4"/>
      <c r="D215" s="4"/>
      <c r="F215" s="4"/>
      <c r="G215" s="8"/>
      <c r="H215" s="4"/>
      <c r="I215" s="4"/>
      <c r="J215" s="4"/>
      <c r="K215" s="4"/>
      <c r="L215" s="4"/>
      <c r="M215" s="8"/>
      <c r="N215" s="4"/>
      <c r="O215" s="8"/>
      <c r="P215" s="4"/>
      <c r="Q215" s="8"/>
      <c r="R215" s="4"/>
      <c r="S215" s="8"/>
      <c r="T215" s="4"/>
      <c r="U215" s="8"/>
      <c r="V215" s="4"/>
      <c r="W215" s="8"/>
      <c r="X215" s="4"/>
      <c r="Y215" s="8"/>
      <c r="Z215" s="4"/>
      <c r="AA215" s="2"/>
      <c r="AB215" s="4"/>
      <c r="AC215" s="8"/>
      <c r="AD215" s="4"/>
    </row>
    <row r="216">
      <c r="B216" s="4"/>
      <c r="C216" s="4"/>
      <c r="D216" s="4"/>
      <c r="F216" s="4"/>
      <c r="G216" s="8"/>
      <c r="H216" s="4"/>
      <c r="I216" s="4"/>
      <c r="J216" s="4"/>
      <c r="K216" s="4"/>
      <c r="L216" s="4"/>
      <c r="M216" s="8"/>
      <c r="N216" s="4"/>
      <c r="O216" s="8"/>
      <c r="P216" s="4"/>
      <c r="Q216" s="8"/>
      <c r="R216" s="4"/>
      <c r="S216" s="8"/>
      <c r="T216" s="4"/>
      <c r="U216" s="8"/>
      <c r="V216" s="4"/>
      <c r="W216" s="8"/>
      <c r="X216" s="4"/>
      <c r="Y216" s="8"/>
      <c r="Z216" s="4"/>
      <c r="AA216" s="2"/>
      <c r="AB216" s="4"/>
      <c r="AC216" s="8"/>
      <c r="AD216" s="4"/>
    </row>
    <row r="217">
      <c r="B217" s="4"/>
      <c r="C217" s="4"/>
      <c r="D217" s="4"/>
      <c r="F217" s="4"/>
      <c r="G217" s="8"/>
      <c r="H217" s="4"/>
      <c r="I217" s="4"/>
      <c r="J217" s="4"/>
      <c r="K217" s="4"/>
      <c r="L217" s="4"/>
      <c r="M217" s="8"/>
      <c r="N217" s="4"/>
      <c r="O217" s="8"/>
      <c r="P217" s="4"/>
      <c r="Q217" s="8"/>
      <c r="R217" s="4"/>
      <c r="S217" s="8"/>
      <c r="T217" s="4"/>
      <c r="U217" s="8"/>
      <c r="V217" s="4"/>
      <c r="W217" s="8"/>
      <c r="X217" s="4"/>
      <c r="Y217" s="8"/>
      <c r="Z217" s="4"/>
      <c r="AA217" s="2"/>
      <c r="AB217" s="4"/>
      <c r="AC217" s="8"/>
      <c r="AD217" s="4"/>
    </row>
    <row r="218">
      <c r="B218" s="4"/>
      <c r="C218" s="4"/>
      <c r="D218" s="4"/>
      <c r="F218" s="4"/>
      <c r="G218" s="8"/>
      <c r="H218" s="4"/>
      <c r="I218" s="4"/>
      <c r="J218" s="4"/>
      <c r="K218" s="4"/>
      <c r="L218" s="4"/>
      <c r="M218" s="8"/>
      <c r="N218" s="4"/>
      <c r="O218" s="8"/>
      <c r="P218" s="4"/>
      <c r="Q218" s="8"/>
      <c r="R218" s="4"/>
      <c r="S218" s="8"/>
      <c r="T218" s="4"/>
      <c r="U218" s="8"/>
      <c r="V218" s="4"/>
      <c r="W218" s="8"/>
      <c r="X218" s="4"/>
      <c r="Y218" s="8"/>
      <c r="Z218" s="4"/>
      <c r="AA218" s="2"/>
      <c r="AB218" s="4"/>
      <c r="AC218" s="8"/>
      <c r="AD218" s="4"/>
    </row>
    <row r="219">
      <c r="B219" s="4"/>
      <c r="C219" s="4"/>
      <c r="D219" s="4"/>
      <c r="F219" s="4"/>
      <c r="G219" s="8"/>
      <c r="H219" s="4"/>
      <c r="I219" s="4"/>
      <c r="J219" s="4"/>
      <c r="K219" s="4"/>
      <c r="L219" s="4"/>
      <c r="M219" s="8"/>
      <c r="N219" s="4"/>
      <c r="O219" s="8"/>
      <c r="P219" s="4"/>
      <c r="Q219" s="8"/>
      <c r="R219" s="4"/>
      <c r="S219" s="8"/>
      <c r="T219" s="4"/>
      <c r="U219" s="8"/>
      <c r="V219" s="4"/>
      <c r="W219" s="8"/>
      <c r="X219" s="4"/>
      <c r="Y219" s="8"/>
      <c r="Z219" s="4"/>
      <c r="AA219" s="2"/>
      <c r="AB219" s="4"/>
      <c r="AC219" s="8"/>
      <c r="AD219" s="4"/>
    </row>
    <row r="220">
      <c r="B220" s="4"/>
      <c r="C220" s="4"/>
      <c r="D220" s="4"/>
      <c r="F220" s="4"/>
      <c r="G220" s="8"/>
      <c r="H220" s="4"/>
      <c r="I220" s="4"/>
      <c r="J220" s="4"/>
      <c r="K220" s="4"/>
      <c r="L220" s="4"/>
      <c r="M220" s="8"/>
      <c r="N220" s="4"/>
      <c r="O220" s="8"/>
      <c r="P220" s="4"/>
      <c r="Q220" s="8"/>
      <c r="R220" s="4"/>
      <c r="S220" s="8"/>
      <c r="T220" s="4"/>
      <c r="U220" s="8"/>
      <c r="V220" s="4"/>
      <c r="W220" s="8"/>
      <c r="X220" s="4"/>
      <c r="Y220" s="8"/>
      <c r="Z220" s="4"/>
      <c r="AA220" s="2"/>
      <c r="AB220" s="4"/>
      <c r="AC220" s="8"/>
      <c r="AD220" s="4"/>
    </row>
    <row r="221">
      <c r="B221" s="4"/>
      <c r="C221" s="4"/>
      <c r="D221" s="4"/>
      <c r="F221" s="4"/>
      <c r="G221" s="8"/>
      <c r="H221" s="4"/>
      <c r="I221" s="4"/>
      <c r="J221" s="4"/>
      <c r="K221" s="4"/>
      <c r="L221" s="4"/>
      <c r="M221" s="8"/>
      <c r="N221" s="4"/>
      <c r="O221" s="8"/>
      <c r="P221" s="4"/>
      <c r="Q221" s="8"/>
      <c r="R221" s="4"/>
      <c r="S221" s="8"/>
      <c r="T221" s="4"/>
      <c r="U221" s="8"/>
      <c r="V221" s="4"/>
      <c r="W221" s="8"/>
      <c r="X221" s="4"/>
      <c r="Y221" s="8"/>
      <c r="Z221" s="4"/>
      <c r="AA221" s="2"/>
      <c r="AB221" s="4"/>
      <c r="AC221" s="8"/>
      <c r="AD221" s="4"/>
    </row>
    <row r="222">
      <c r="B222" s="4"/>
      <c r="C222" s="4"/>
      <c r="D222" s="4"/>
      <c r="F222" s="4"/>
      <c r="G222" s="8"/>
      <c r="H222" s="4"/>
      <c r="I222" s="4"/>
      <c r="J222" s="4"/>
      <c r="K222" s="4"/>
      <c r="L222" s="4"/>
      <c r="M222" s="8"/>
      <c r="N222" s="4"/>
      <c r="O222" s="8"/>
      <c r="P222" s="4"/>
      <c r="Q222" s="8"/>
      <c r="R222" s="4"/>
      <c r="S222" s="8"/>
      <c r="T222" s="4"/>
      <c r="U222" s="8"/>
      <c r="V222" s="4"/>
      <c r="W222" s="8"/>
      <c r="X222" s="4"/>
      <c r="Y222" s="8"/>
      <c r="Z222" s="4"/>
      <c r="AA222" s="2"/>
      <c r="AB222" s="4"/>
      <c r="AC222" s="8"/>
      <c r="AD222" s="4"/>
    </row>
    <row r="223">
      <c r="B223" s="4"/>
      <c r="C223" s="4"/>
      <c r="D223" s="4"/>
      <c r="F223" s="4"/>
      <c r="G223" s="8"/>
      <c r="H223" s="4"/>
      <c r="I223" s="4"/>
      <c r="J223" s="4"/>
      <c r="K223" s="4"/>
      <c r="L223" s="4"/>
      <c r="M223" s="8"/>
      <c r="N223" s="4"/>
      <c r="O223" s="8"/>
      <c r="P223" s="4"/>
      <c r="Q223" s="8"/>
      <c r="R223" s="4"/>
      <c r="S223" s="8"/>
      <c r="T223" s="4"/>
      <c r="U223" s="8"/>
      <c r="V223" s="4"/>
      <c r="W223" s="8"/>
      <c r="X223" s="4"/>
      <c r="Y223" s="8"/>
      <c r="Z223" s="4"/>
      <c r="AA223" s="2"/>
      <c r="AB223" s="4"/>
      <c r="AC223" s="8"/>
      <c r="AD223" s="4"/>
    </row>
    <row r="224">
      <c r="B224" s="4"/>
      <c r="C224" s="4"/>
      <c r="D224" s="4"/>
      <c r="F224" s="4"/>
      <c r="G224" s="8"/>
      <c r="H224" s="4"/>
      <c r="I224" s="4"/>
      <c r="J224" s="4"/>
      <c r="K224" s="4"/>
      <c r="L224" s="4"/>
      <c r="M224" s="8"/>
      <c r="N224" s="4"/>
      <c r="O224" s="8"/>
      <c r="P224" s="4"/>
      <c r="Q224" s="8"/>
      <c r="R224" s="4"/>
      <c r="S224" s="8"/>
      <c r="T224" s="4"/>
      <c r="U224" s="8"/>
      <c r="V224" s="4"/>
      <c r="W224" s="8"/>
      <c r="X224" s="4"/>
      <c r="Y224" s="8"/>
      <c r="Z224" s="4"/>
      <c r="AA224" s="2"/>
      <c r="AB224" s="4"/>
      <c r="AC224" s="8"/>
      <c r="AD224" s="4"/>
    </row>
    <row r="225">
      <c r="B225" s="4"/>
      <c r="C225" s="4"/>
      <c r="D225" s="4"/>
      <c r="F225" s="4"/>
      <c r="G225" s="8"/>
      <c r="H225" s="4"/>
      <c r="I225" s="4"/>
      <c r="J225" s="4"/>
      <c r="K225" s="4"/>
      <c r="L225" s="4"/>
      <c r="M225" s="8"/>
      <c r="N225" s="4"/>
      <c r="O225" s="8"/>
      <c r="P225" s="4"/>
      <c r="Q225" s="8"/>
      <c r="R225" s="4"/>
      <c r="S225" s="8"/>
      <c r="T225" s="4"/>
      <c r="U225" s="8"/>
      <c r="V225" s="4"/>
      <c r="W225" s="8"/>
      <c r="X225" s="4"/>
      <c r="Y225" s="8"/>
      <c r="Z225" s="4"/>
      <c r="AA225" s="2"/>
      <c r="AB225" s="4"/>
      <c r="AC225" s="8"/>
      <c r="AD225" s="4"/>
    </row>
    <row r="226">
      <c r="B226" s="4"/>
      <c r="C226" s="4"/>
      <c r="D226" s="4"/>
      <c r="F226" s="4"/>
      <c r="G226" s="8"/>
      <c r="H226" s="4"/>
      <c r="I226" s="4"/>
      <c r="J226" s="4"/>
      <c r="K226" s="4"/>
      <c r="L226" s="4"/>
      <c r="M226" s="8"/>
      <c r="N226" s="4"/>
      <c r="O226" s="8"/>
      <c r="P226" s="4"/>
      <c r="Q226" s="8"/>
      <c r="R226" s="4"/>
      <c r="S226" s="8"/>
      <c r="T226" s="4"/>
      <c r="U226" s="8"/>
      <c r="V226" s="4"/>
      <c r="W226" s="8"/>
      <c r="X226" s="4"/>
      <c r="Y226" s="8"/>
      <c r="Z226" s="4"/>
      <c r="AA226" s="2"/>
      <c r="AB226" s="4"/>
      <c r="AC226" s="8"/>
      <c r="AD226" s="4"/>
    </row>
    <row r="227">
      <c r="B227" s="4"/>
      <c r="C227" s="4"/>
      <c r="D227" s="4"/>
      <c r="F227" s="4"/>
      <c r="G227" s="8"/>
      <c r="H227" s="4"/>
      <c r="I227" s="4"/>
      <c r="J227" s="4"/>
      <c r="K227" s="4"/>
      <c r="L227" s="4"/>
      <c r="M227" s="8"/>
      <c r="N227" s="4"/>
      <c r="O227" s="8"/>
      <c r="P227" s="4"/>
      <c r="Q227" s="8"/>
      <c r="R227" s="4"/>
      <c r="S227" s="8"/>
      <c r="T227" s="4"/>
      <c r="U227" s="8"/>
      <c r="V227" s="4"/>
      <c r="W227" s="8"/>
      <c r="X227" s="4"/>
      <c r="Y227" s="8"/>
      <c r="Z227" s="4"/>
      <c r="AA227" s="2"/>
      <c r="AB227" s="4"/>
      <c r="AC227" s="8"/>
      <c r="AD227" s="4"/>
    </row>
    <row r="228">
      <c r="B228" s="4"/>
      <c r="C228" s="4"/>
      <c r="D228" s="4"/>
      <c r="F228" s="4"/>
      <c r="G228" s="8"/>
      <c r="H228" s="4"/>
      <c r="I228" s="4"/>
      <c r="J228" s="4"/>
      <c r="K228" s="4"/>
      <c r="L228" s="4"/>
      <c r="M228" s="8"/>
      <c r="N228" s="4"/>
      <c r="O228" s="8"/>
      <c r="P228" s="4"/>
      <c r="Q228" s="8"/>
      <c r="R228" s="4"/>
      <c r="S228" s="8"/>
      <c r="T228" s="4"/>
      <c r="U228" s="8"/>
      <c r="V228" s="4"/>
      <c r="W228" s="8"/>
      <c r="X228" s="4"/>
      <c r="Y228" s="8"/>
      <c r="Z228" s="4"/>
      <c r="AA228" s="2"/>
      <c r="AB228" s="4"/>
      <c r="AC228" s="8"/>
      <c r="AD228" s="4"/>
    </row>
    <row r="229">
      <c r="B229" s="4"/>
      <c r="C229" s="4"/>
      <c r="D229" s="4"/>
      <c r="F229" s="4"/>
      <c r="G229" s="8"/>
      <c r="H229" s="4"/>
      <c r="I229" s="4"/>
      <c r="J229" s="4"/>
      <c r="K229" s="4"/>
      <c r="L229" s="4"/>
      <c r="M229" s="8"/>
      <c r="N229" s="4"/>
      <c r="O229" s="8"/>
      <c r="P229" s="4"/>
      <c r="Q229" s="8"/>
      <c r="R229" s="4"/>
      <c r="S229" s="8"/>
      <c r="T229" s="4"/>
      <c r="U229" s="8"/>
      <c r="V229" s="4"/>
      <c r="W229" s="8"/>
      <c r="X229" s="4"/>
      <c r="Y229" s="8"/>
      <c r="Z229" s="4"/>
      <c r="AA229" s="2"/>
      <c r="AB229" s="4"/>
      <c r="AC229" s="8"/>
      <c r="AD229" s="4"/>
    </row>
    <row r="230">
      <c r="B230" s="4"/>
      <c r="C230" s="4"/>
      <c r="D230" s="4"/>
      <c r="F230" s="4"/>
      <c r="G230" s="8"/>
      <c r="H230" s="4"/>
      <c r="I230" s="4"/>
      <c r="J230" s="4"/>
      <c r="K230" s="4"/>
      <c r="L230" s="4"/>
      <c r="M230" s="8"/>
      <c r="N230" s="4"/>
      <c r="O230" s="8"/>
      <c r="P230" s="4"/>
      <c r="Q230" s="8"/>
      <c r="R230" s="4"/>
      <c r="S230" s="8"/>
      <c r="T230" s="4"/>
      <c r="U230" s="8"/>
      <c r="V230" s="4"/>
      <c r="W230" s="8"/>
      <c r="X230" s="4"/>
      <c r="Y230" s="8"/>
      <c r="Z230" s="4"/>
      <c r="AA230" s="2"/>
      <c r="AB230" s="4"/>
      <c r="AC230" s="8"/>
      <c r="AD230" s="4"/>
    </row>
    <row r="231">
      <c r="B231" s="4"/>
      <c r="C231" s="4"/>
      <c r="D231" s="4"/>
      <c r="F231" s="4"/>
      <c r="G231" s="8"/>
      <c r="H231" s="4"/>
      <c r="I231" s="4"/>
      <c r="J231" s="4"/>
      <c r="K231" s="4"/>
      <c r="L231" s="4"/>
      <c r="M231" s="8"/>
      <c r="N231" s="4"/>
      <c r="O231" s="8"/>
      <c r="P231" s="4"/>
      <c r="Q231" s="8"/>
      <c r="R231" s="4"/>
      <c r="S231" s="8"/>
      <c r="T231" s="4"/>
      <c r="U231" s="8"/>
      <c r="V231" s="4"/>
      <c r="W231" s="8"/>
      <c r="X231" s="4"/>
      <c r="Y231" s="8"/>
      <c r="Z231" s="4"/>
      <c r="AA231" s="2"/>
      <c r="AB231" s="4"/>
      <c r="AC231" s="8"/>
      <c r="AD231" s="4"/>
    </row>
    <row r="232">
      <c r="B232" s="4"/>
      <c r="C232" s="4"/>
      <c r="D232" s="4"/>
      <c r="F232" s="4"/>
      <c r="G232" s="8"/>
      <c r="H232" s="4"/>
      <c r="I232" s="4"/>
      <c r="J232" s="4"/>
      <c r="K232" s="4"/>
      <c r="L232" s="4"/>
      <c r="M232" s="8"/>
      <c r="N232" s="4"/>
      <c r="O232" s="8"/>
      <c r="P232" s="4"/>
      <c r="Q232" s="8"/>
      <c r="R232" s="4"/>
      <c r="S232" s="8"/>
      <c r="T232" s="4"/>
      <c r="U232" s="8"/>
      <c r="V232" s="4"/>
      <c r="W232" s="8"/>
      <c r="X232" s="4"/>
      <c r="Y232" s="8"/>
      <c r="Z232" s="4"/>
      <c r="AA232" s="2"/>
      <c r="AB232" s="4"/>
      <c r="AC232" s="8"/>
      <c r="AD232" s="4"/>
    </row>
    <row r="233">
      <c r="B233" s="4"/>
      <c r="C233" s="4"/>
      <c r="D233" s="4"/>
      <c r="F233" s="4"/>
      <c r="G233" s="8"/>
      <c r="H233" s="4"/>
      <c r="I233" s="4"/>
      <c r="J233" s="4"/>
      <c r="K233" s="4"/>
      <c r="L233" s="4"/>
      <c r="M233" s="8"/>
      <c r="N233" s="4"/>
      <c r="O233" s="8"/>
      <c r="P233" s="4"/>
      <c r="Q233" s="8"/>
      <c r="R233" s="4"/>
      <c r="S233" s="8"/>
      <c r="T233" s="4"/>
      <c r="U233" s="8"/>
      <c r="V233" s="4"/>
      <c r="W233" s="8"/>
      <c r="X233" s="4"/>
      <c r="Y233" s="8"/>
      <c r="Z233" s="4"/>
      <c r="AA233" s="2"/>
      <c r="AB233" s="4"/>
      <c r="AC233" s="8"/>
      <c r="AD233" s="4"/>
    </row>
    <row r="234">
      <c r="B234" s="4"/>
      <c r="C234" s="4"/>
      <c r="D234" s="4"/>
      <c r="F234" s="4"/>
      <c r="G234" s="8"/>
      <c r="H234" s="4"/>
      <c r="I234" s="4"/>
      <c r="J234" s="4"/>
      <c r="K234" s="4"/>
      <c r="L234" s="4"/>
      <c r="M234" s="8"/>
      <c r="N234" s="4"/>
      <c r="O234" s="8"/>
      <c r="P234" s="4"/>
      <c r="Q234" s="8"/>
      <c r="R234" s="4"/>
      <c r="S234" s="8"/>
      <c r="T234" s="4"/>
      <c r="U234" s="8"/>
      <c r="V234" s="4"/>
      <c r="W234" s="8"/>
      <c r="X234" s="4"/>
      <c r="Y234" s="8"/>
      <c r="Z234" s="4"/>
      <c r="AA234" s="2"/>
      <c r="AB234" s="4"/>
      <c r="AC234" s="8"/>
      <c r="AD234" s="4"/>
    </row>
    <row r="235">
      <c r="B235" s="4"/>
      <c r="C235" s="4"/>
      <c r="D235" s="4"/>
      <c r="F235" s="4"/>
      <c r="G235" s="8"/>
      <c r="H235" s="4"/>
      <c r="I235" s="4"/>
      <c r="J235" s="4"/>
      <c r="K235" s="4"/>
      <c r="L235" s="4"/>
      <c r="M235" s="8"/>
      <c r="N235" s="4"/>
      <c r="O235" s="8"/>
      <c r="P235" s="4"/>
      <c r="Q235" s="8"/>
      <c r="R235" s="4"/>
      <c r="S235" s="8"/>
      <c r="T235" s="4"/>
      <c r="U235" s="8"/>
      <c r="V235" s="4"/>
      <c r="W235" s="8"/>
      <c r="X235" s="4"/>
      <c r="Y235" s="8"/>
      <c r="Z235" s="4"/>
      <c r="AA235" s="2"/>
      <c r="AB235" s="4"/>
      <c r="AC235" s="8"/>
      <c r="AD235" s="4"/>
    </row>
    <row r="236">
      <c r="B236" s="4"/>
      <c r="C236" s="4"/>
      <c r="D236" s="4"/>
      <c r="F236" s="4"/>
      <c r="G236" s="8"/>
      <c r="H236" s="4"/>
      <c r="I236" s="4"/>
      <c r="J236" s="4"/>
      <c r="K236" s="4"/>
      <c r="L236" s="4"/>
      <c r="M236" s="8"/>
      <c r="N236" s="4"/>
      <c r="O236" s="8"/>
      <c r="P236" s="4"/>
      <c r="Q236" s="8"/>
      <c r="R236" s="4"/>
      <c r="S236" s="8"/>
      <c r="T236" s="4"/>
      <c r="U236" s="8"/>
      <c r="V236" s="4"/>
      <c r="W236" s="8"/>
      <c r="X236" s="4"/>
      <c r="Y236" s="8"/>
      <c r="Z236" s="4"/>
      <c r="AA236" s="2"/>
      <c r="AB236" s="4"/>
      <c r="AC236" s="8"/>
      <c r="AD236" s="4"/>
    </row>
    <row r="237">
      <c r="B237" s="4"/>
      <c r="C237" s="4"/>
      <c r="D237" s="4"/>
      <c r="F237" s="4"/>
      <c r="G237" s="8"/>
      <c r="H237" s="4"/>
      <c r="I237" s="4"/>
      <c r="J237" s="4"/>
      <c r="K237" s="4"/>
      <c r="L237" s="4"/>
      <c r="M237" s="8"/>
      <c r="N237" s="4"/>
      <c r="O237" s="8"/>
      <c r="P237" s="4"/>
      <c r="Q237" s="8"/>
      <c r="R237" s="4"/>
      <c r="S237" s="8"/>
      <c r="T237" s="4"/>
      <c r="U237" s="8"/>
      <c r="V237" s="4"/>
      <c r="W237" s="8"/>
      <c r="X237" s="4"/>
      <c r="Y237" s="8"/>
      <c r="Z237" s="4"/>
      <c r="AA237" s="2"/>
      <c r="AB237" s="4"/>
      <c r="AC237" s="8"/>
      <c r="AD237" s="4"/>
    </row>
    <row r="238">
      <c r="B238" s="4"/>
      <c r="C238" s="4"/>
      <c r="D238" s="4"/>
      <c r="F238" s="4"/>
      <c r="G238" s="8"/>
      <c r="H238" s="4"/>
      <c r="I238" s="4"/>
      <c r="J238" s="4"/>
      <c r="K238" s="4"/>
      <c r="L238" s="4"/>
      <c r="M238" s="8"/>
      <c r="N238" s="4"/>
      <c r="O238" s="8"/>
      <c r="P238" s="4"/>
      <c r="Q238" s="8"/>
      <c r="R238" s="4"/>
      <c r="S238" s="8"/>
      <c r="T238" s="4"/>
      <c r="U238" s="8"/>
      <c r="V238" s="4"/>
      <c r="W238" s="8"/>
      <c r="X238" s="4"/>
      <c r="Y238" s="8"/>
      <c r="Z238" s="4"/>
      <c r="AA238" s="2"/>
      <c r="AB238" s="4"/>
      <c r="AC238" s="8"/>
      <c r="AD238" s="4"/>
    </row>
    <row r="239">
      <c r="B239" s="4"/>
      <c r="C239" s="4"/>
      <c r="D239" s="4"/>
      <c r="F239" s="4"/>
      <c r="G239" s="8"/>
      <c r="H239" s="4"/>
      <c r="I239" s="4"/>
      <c r="J239" s="4"/>
      <c r="K239" s="4"/>
      <c r="L239" s="4"/>
      <c r="M239" s="8"/>
      <c r="N239" s="4"/>
      <c r="O239" s="8"/>
      <c r="P239" s="4"/>
      <c r="Q239" s="8"/>
      <c r="R239" s="4"/>
      <c r="S239" s="8"/>
      <c r="T239" s="4"/>
      <c r="U239" s="8"/>
      <c r="V239" s="4"/>
      <c r="W239" s="8"/>
      <c r="X239" s="4"/>
      <c r="Y239" s="8"/>
      <c r="Z239" s="4"/>
      <c r="AA239" s="2"/>
      <c r="AB239" s="4"/>
      <c r="AC239" s="8"/>
      <c r="AD239" s="4"/>
    </row>
    <row r="240">
      <c r="B240" s="4"/>
      <c r="C240" s="4"/>
      <c r="D240" s="4"/>
      <c r="F240" s="4"/>
      <c r="G240" s="8"/>
      <c r="H240" s="4"/>
      <c r="I240" s="4"/>
      <c r="J240" s="4"/>
      <c r="K240" s="4"/>
      <c r="L240" s="4"/>
      <c r="M240" s="8"/>
      <c r="N240" s="4"/>
      <c r="O240" s="8"/>
      <c r="P240" s="4"/>
      <c r="Q240" s="8"/>
      <c r="R240" s="4"/>
      <c r="S240" s="8"/>
      <c r="T240" s="4"/>
      <c r="U240" s="8"/>
      <c r="V240" s="4"/>
      <c r="W240" s="8"/>
      <c r="X240" s="4"/>
      <c r="Y240" s="8"/>
      <c r="Z240" s="4"/>
      <c r="AA240" s="2"/>
      <c r="AB240" s="4"/>
      <c r="AC240" s="8"/>
      <c r="AD240" s="4"/>
    </row>
    <row r="241">
      <c r="B241" s="4"/>
      <c r="C241" s="4"/>
      <c r="D241" s="4"/>
      <c r="F241" s="4"/>
      <c r="G241" s="8"/>
      <c r="H241" s="4"/>
      <c r="I241" s="4"/>
      <c r="J241" s="4"/>
      <c r="K241" s="4"/>
      <c r="L241" s="4"/>
      <c r="M241" s="8"/>
      <c r="N241" s="4"/>
      <c r="O241" s="8"/>
      <c r="P241" s="4"/>
      <c r="Q241" s="8"/>
      <c r="R241" s="4"/>
      <c r="S241" s="8"/>
      <c r="T241" s="4"/>
      <c r="U241" s="8"/>
      <c r="V241" s="4"/>
      <c r="W241" s="8"/>
      <c r="X241" s="4"/>
      <c r="Y241" s="8"/>
      <c r="Z241" s="4"/>
      <c r="AA241" s="2"/>
      <c r="AB241" s="4"/>
      <c r="AC241" s="8"/>
      <c r="AD241" s="4"/>
    </row>
    <row r="242">
      <c r="B242" s="4"/>
      <c r="C242" s="4"/>
      <c r="D242" s="4"/>
      <c r="F242" s="4"/>
      <c r="G242" s="8"/>
      <c r="H242" s="4"/>
      <c r="I242" s="4"/>
      <c r="J242" s="4"/>
      <c r="K242" s="4"/>
      <c r="L242" s="4"/>
      <c r="M242" s="8"/>
      <c r="N242" s="4"/>
      <c r="O242" s="8"/>
      <c r="P242" s="4"/>
      <c r="Q242" s="8"/>
      <c r="R242" s="4"/>
      <c r="S242" s="8"/>
      <c r="T242" s="4"/>
      <c r="U242" s="8"/>
      <c r="V242" s="4"/>
      <c r="W242" s="8"/>
      <c r="X242" s="4"/>
      <c r="Y242" s="8"/>
      <c r="Z242" s="4"/>
      <c r="AA242" s="2"/>
      <c r="AB242" s="4"/>
      <c r="AC242" s="8"/>
      <c r="AD242" s="4"/>
    </row>
    <row r="243">
      <c r="B243" s="4"/>
      <c r="C243" s="4"/>
      <c r="D243" s="4"/>
      <c r="F243" s="4"/>
      <c r="G243" s="8"/>
      <c r="H243" s="4"/>
      <c r="I243" s="4"/>
      <c r="J243" s="4"/>
      <c r="K243" s="4"/>
      <c r="L243" s="4"/>
      <c r="M243" s="8"/>
      <c r="N243" s="4"/>
      <c r="O243" s="8"/>
      <c r="P243" s="4"/>
      <c r="Q243" s="8"/>
      <c r="R243" s="4"/>
      <c r="S243" s="8"/>
      <c r="T243" s="4"/>
      <c r="U243" s="8"/>
      <c r="V243" s="4"/>
      <c r="W243" s="8"/>
      <c r="X243" s="4"/>
      <c r="Y243" s="8"/>
      <c r="Z243" s="4"/>
      <c r="AA243" s="2"/>
      <c r="AB243" s="4"/>
      <c r="AC243" s="8"/>
      <c r="AD243" s="4"/>
    </row>
    <row r="244">
      <c r="B244" s="4"/>
      <c r="C244" s="4"/>
      <c r="D244" s="4"/>
      <c r="F244" s="4"/>
      <c r="G244" s="8"/>
      <c r="H244" s="4"/>
      <c r="I244" s="4"/>
      <c r="J244" s="4"/>
      <c r="K244" s="4"/>
      <c r="L244" s="4"/>
      <c r="M244" s="8"/>
      <c r="N244" s="4"/>
      <c r="O244" s="8"/>
      <c r="P244" s="4"/>
      <c r="Q244" s="8"/>
      <c r="R244" s="4"/>
      <c r="S244" s="8"/>
      <c r="T244" s="4"/>
      <c r="U244" s="8"/>
      <c r="V244" s="4"/>
      <c r="W244" s="8"/>
      <c r="X244" s="4"/>
      <c r="Y244" s="8"/>
      <c r="Z244" s="4"/>
      <c r="AA244" s="2"/>
      <c r="AB244" s="4"/>
      <c r="AC244" s="8"/>
      <c r="AD244" s="4"/>
    </row>
    <row r="245">
      <c r="B245" s="4"/>
      <c r="C245" s="4"/>
      <c r="D245" s="4"/>
      <c r="F245" s="4"/>
      <c r="G245" s="8"/>
      <c r="H245" s="4"/>
      <c r="I245" s="4"/>
      <c r="J245" s="4"/>
      <c r="K245" s="4"/>
      <c r="L245" s="4"/>
      <c r="M245" s="8"/>
      <c r="N245" s="4"/>
      <c r="O245" s="8"/>
      <c r="P245" s="4"/>
      <c r="Q245" s="8"/>
      <c r="R245" s="4"/>
      <c r="S245" s="8"/>
      <c r="T245" s="4"/>
      <c r="U245" s="8"/>
      <c r="V245" s="4"/>
      <c r="W245" s="8"/>
      <c r="X245" s="4"/>
      <c r="Y245" s="8"/>
      <c r="Z245" s="4"/>
      <c r="AA245" s="2"/>
      <c r="AB245" s="4"/>
      <c r="AC245" s="8"/>
      <c r="AD245" s="4"/>
    </row>
    <row r="246">
      <c r="B246" s="4"/>
      <c r="C246" s="4"/>
      <c r="D246" s="4"/>
      <c r="F246" s="4"/>
      <c r="G246" s="8"/>
      <c r="H246" s="4"/>
      <c r="I246" s="4"/>
      <c r="J246" s="4"/>
      <c r="K246" s="4"/>
      <c r="L246" s="4"/>
      <c r="M246" s="8"/>
      <c r="N246" s="4"/>
      <c r="O246" s="8"/>
      <c r="P246" s="4"/>
      <c r="Q246" s="8"/>
      <c r="R246" s="4"/>
      <c r="S246" s="8"/>
      <c r="T246" s="4"/>
      <c r="U246" s="8"/>
      <c r="V246" s="4"/>
      <c r="W246" s="8"/>
      <c r="X246" s="4"/>
      <c r="Y246" s="8"/>
      <c r="Z246" s="4"/>
      <c r="AA246" s="2"/>
      <c r="AB246" s="4"/>
      <c r="AC246" s="8"/>
      <c r="AD246" s="4"/>
    </row>
    <row r="247">
      <c r="B247" s="4"/>
      <c r="C247" s="4"/>
      <c r="D247" s="4"/>
      <c r="F247" s="4"/>
      <c r="G247" s="8"/>
      <c r="H247" s="4"/>
      <c r="I247" s="4"/>
      <c r="J247" s="4"/>
      <c r="K247" s="4"/>
      <c r="L247" s="4"/>
      <c r="M247" s="8"/>
      <c r="N247" s="4"/>
      <c r="O247" s="8"/>
      <c r="P247" s="4"/>
      <c r="Q247" s="8"/>
      <c r="R247" s="4"/>
      <c r="S247" s="8"/>
      <c r="T247" s="4"/>
      <c r="U247" s="8"/>
      <c r="V247" s="4"/>
      <c r="W247" s="8"/>
      <c r="X247" s="4"/>
      <c r="Y247" s="8"/>
      <c r="Z247" s="4"/>
      <c r="AA247" s="2"/>
      <c r="AB247" s="4"/>
      <c r="AC247" s="8"/>
      <c r="AD247" s="4"/>
    </row>
    <row r="248">
      <c r="B248" s="4"/>
      <c r="C248" s="4"/>
      <c r="D248" s="4"/>
      <c r="F248" s="4"/>
      <c r="G248" s="8"/>
      <c r="H248" s="4"/>
      <c r="I248" s="4"/>
      <c r="J248" s="4"/>
      <c r="K248" s="4"/>
      <c r="L248" s="4"/>
      <c r="M248" s="8"/>
      <c r="N248" s="4"/>
      <c r="O248" s="8"/>
      <c r="P248" s="4"/>
      <c r="Q248" s="8"/>
      <c r="R248" s="4"/>
      <c r="S248" s="8"/>
      <c r="T248" s="4"/>
      <c r="U248" s="8"/>
      <c r="V248" s="4"/>
      <c r="W248" s="8"/>
      <c r="X248" s="4"/>
      <c r="Y248" s="8"/>
      <c r="Z248" s="4"/>
      <c r="AA248" s="2"/>
      <c r="AB248" s="4"/>
      <c r="AC248" s="8"/>
      <c r="AD248" s="4"/>
    </row>
    <row r="249">
      <c r="B249" s="4"/>
      <c r="C249" s="4"/>
      <c r="D249" s="4"/>
      <c r="F249" s="4"/>
      <c r="G249" s="8"/>
      <c r="H249" s="4"/>
      <c r="I249" s="4"/>
      <c r="J249" s="4"/>
      <c r="K249" s="4"/>
      <c r="L249" s="4"/>
      <c r="M249" s="8"/>
      <c r="N249" s="4"/>
      <c r="O249" s="8"/>
      <c r="P249" s="4"/>
      <c r="Q249" s="8"/>
      <c r="R249" s="4"/>
      <c r="S249" s="8"/>
      <c r="T249" s="4"/>
      <c r="U249" s="8"/>
      <c r="V249" s="4"/>
      <c r="W249" s="8"/>
      <c r="X249" s="4"/>
      <c r="Y249" s="8"/>
      <c r="Z249" s="4"/>
      <c r="AA249" s="2"/>
      <c r="AB249" s="4"/>
      <c r="AC249" s="8"/>
      <c r="AD249" s="4"/>
    </row>
    <row r="250">
      <c r="B250" s="4"/>
      <c r="C250" s="4"/>
      <c r="D250" s="4"/>
      <c r="F250" s="4"/>
      <c r="G250" s="8"/>
      <c r="H250" s="4"/>
      <c r="I250" s="4"/>
      <c r="J250" s="4"/>
      <c r="K250" s="4"/>
      <c r="L250" s="4"/>
      <c r="M250" s="8"/>
      <c r="N250" s="4"/>
      <c r="O250" s="8"/>
      <c r="P250" s="4"/>
      <c r="Q250" s="8"/>
      <c r="R250" s="4"/>
      <c r="S250" s="8"/>
      <c r="T250" s="4"/>
      <c r="U250" s="8"/>
      <c r="V250" s="4"/>
      <c r="W250" s="8"/>
      <c r="X250" s="4"/>
      <c r="Y250" s="8"/>
      <c r="Z250" s="4"/>
      <c r="AA250" s="2"/>
      <c r="AB250" s="4"/>
      <c r="AC250" s="8"/>
      <c r="AD250" s="4"/>
    </row>
    <row r="251">
      <c r="B251" s="4"/>
      <c r="C251" s="4"/>
      <c r="D251" s="4"/>
      <c r="F251" s="4"/>
      <c r="G251" s="8"/>
      <c r="H251" s="4"/>
      <c r="I251" s="4"/>
      <c r="J251" s="4"/>
      <c r="K251" s="4"/>
      <c r="L251" s="4"/>
      <c r="M251" s="8"/>
      <c r="N251" s="4"/>
      <c r="O251" s="8"/>
      <c r="P251" s="4"/>
      <c r="Q251" s="8"/>
      <c r="R251" s="4"/>
      <c r="S251" s="8"/>
      <c r="T251" s="4"/>
      <c r="U251" s="8"/>
      <c r="V251" s="4"/>
      <c r="W251" s="8"/>
      <c r="X251" s="4"/>
      <c r="Y251" s="8"/>
      <c r="Z251" s="4"/>
      <c r="AA251" s="2"/>
      <c r="AB251" s="4"/>
      <c r="AC251" s="8"/>
      <c r="AD251" s="4"/>
    </row>
    <row r="252">
      <c r="B252" s="4"/>
      <c r="C252" s="4"/>
      <c r="D252" s="4"/>
      <c r="F252" s="4"/>
      <c r="G252" s="8"/>
      <c r="H252" s="4"/>
      <c r="I252" s="4"/>
      <c r="J252" s="4"/>
      <c r="K252" s="4"/>
      <c r="L252" s="4"/>
      <c r="M252" s="8"/>
      <c r="N252" s="4"/>
      <c r="O252" s="8"/>
      <c r="P252" s="4"/>
      <c r="Q252" s="8"/>
      <c r="R252" s="4"/>
      <c r="S252" s="8"/>
      <c r="T252" s="4"/>
      <c r="U252" s="8"/>
      <c r="V252" s="4"/>
      <c r="W252" s="8"/>
      <c r="X252" s="4"/>
      <c r="Y252" s="8"/>
      <c r="Z252" s="4"/>
      <c r="AA252" s="2"/>
      <c r="AB252" s="4"/>
      <c r="AC252" s="8"/>
      <c r="AD252" s="4"/>
    </row>
    <row r="253">
      <c r="B253" s="4"/>
      <c r="C253" s="4"/>
      <c r="D253" s="4"/>
      <c r="F253" s="4"/>
      <c r="G253" s="8"/>
      <c r="H253" s="4"/>
      <c r="I253" s="4"/>
      <c r="J253" s="4"/>
      <c r="K253" s="4"/>
      <c r="L253" s="4"/>
      <c r="M253" s="8"/>
      <c r="N253" s="4"/>
      <c r="O253" s="8"/>
      <c r="P253" s="4"/>
      <c r="Q253" s="8"/>
      <c r="R253" s="4"/>
      <c r="S253" s="8"/>
      <c r="T253" s="4"/>
      <c r="U253" s="8"/>
      <c r="V253" s="4"/>
      <c r="W253" s="8"/>
      <c r="X253" s="4"/>
      <c r="Y253" s="8"/>
      <c r="Z253" s="4"/>
      <c r="AA253" s="2"/>
      <c r="AB253" s="4"/>
      <c r="AC253" s="8"/>
      <c r="AD253" s="4"/>
    </row>
    <row r="254">
      <c r="B254" s="4"/>
      <c r="C254" s="4"/>
      <c r="D254" s="4"/>
      <c r="F254" s="4"/>
      <c r="G254" s="8"/>
      <c r="H254" s="4"/>
      <c r="I254" s="4"/>
      <c r="J254" s="4"/>
      <c r="K254" s="4"/>
      <c r="L254" s="4"/>
      <c r="M254" s="8"/>
      <c r="N254" s="4"/>
      <c r="O254" s="8"/>
      <c r="P254" s="4"/>
      <c r="Q254" s="8"/>
      <c r="R254" s="4"/>
      <c r="S254" s="8"/>
      <c r="T254" s="4"/>
      <c r="U254" s="8"/>
      <c r="V254" s="4"/>
      <c r="W254" s="8"/>
      <c r="X254" s="4"/>
      <c r="Y254" s="8"/>
      <c r="Z254" s="4"/>
      <c r="AA254" s="2"/>
      <c r="AB254" s="4"/>
      <c r="AC254" s="8"/>
      <c r="AD254" s="4"/>
    </row>
    <row r="255">
      <c r="B255" s="4"/>
      <c r="C255" s="4"/>
      <c r="D255" s="4"/>
      <c r="F255" s="4"/>
      <c r="G255" s="8"/>
      <c r="H255" s="4"/>
      <c r="I255" s="4"/>
      <c r="J255" s="4"/>
      <c r="K255" s="4"/>
      <c r="L255" s="4"/>
      <c r="M255" s="8"/>
      <c r="N255" s="4"/>
      <c r="O255" s="8"/>
      <c r="P255" s="4"/>
      <c r="Q255" s="8"/>
      <c r="R255" s="4"/>
      <c r="S255" s="8"/>
      <c r="T255" s="4"/>
      <c r="U255" s="8"/>
      <c r="V255" s="4"/>
      <c r="W255" s="8"/>
      <c r="X255" s="4"/>
      <c r="Y255" s="8"/>
      <c r="Z255" s="4"/>
      <c r="AA255" s="2"/>
      <c r="AB255" s="4"/>
      <c r="AC255" s="8"/>
      <c r="AD255" s="4"/>
    </row>
    <row r="256">
      <c r="B256" s="4"/>
      <c r="C256" s="4"/>
      <c r="D256" s="4"/>
      <c r="F256" s="4"/>
      <c r="G256" s="8"/>
      <c r="H256" s="4"/>
      <c r="I256" s="4"/>
      <c r="J256" s="4"/>
      <c r="K256" s="4"/>
      <c r="L256" s="4"/>
      <c r="M256" s="8"/>
      <c r="N256" s="4"/>
      <c r="O256" s="8"/>
      <c r="P256" s="4"/>
      <c r="Q256" s="8"/>
      <c r="R256" s="4"/>
      <c r="S256" s="8"/>
      <c r="T256" s="4"/>
      <c r="U256" s="8"/>
      <c r="V256" s="4"/>
      <c r="W256" s="8"/>
      <c r="X256" s="4"/>
      <c r="Y256" s="8"/>
      <c r="Z256" s="4"/>
      <c r="AA256" s="2"/>
      <c r="AB256" s="4"/>
      <c r="AC256" s="8"/>
      <c r="AD256" s="4"/>
    </row>
    <row r="257">
      <c r="B257" s="4"/>
      <c r="C257" s="4"/>
      <c r="D257" s="4"/>
      <c r="F257" s="4"/>
      <c r="G257" s="8"/>
      <c r="H257" s="4"/>
      <c r="I257" s="4"/>
      <c r="J257" s="4"/>
      <c r="K257" s="4"/>
      <c r="L257" s="4"/>
      <c r="M257" s="8"/>
      <c r="N257" s="4"/>
      <c r="O257" s="8"/>
      <c r="P257" s="4"/>
      <c r="Q257" s="8"/>
      <c r="R257" s="4"/>
      <c r="S257" s="8"/>
      <c r="T257" s="4"/>
      <c r="U257" s="8"/>
      <c r="V257" s="4"/>
      <c r="W257" s="8"/>
      <c r="X257" s="4"/>
      <c r="Y257" s="8"/>
      <c r="Z257" s="4"/>
      <c r="AA257" s="2"/>
      <c r="AB257" s="4"/>
      <c r="AC257" s="8"/>
      <c r="AD257" s="4"/>
    </row>
    <row r="258">
      <c r="B258" s="4"/>
      <c r="C258" s="4"/>
      <c r="D258" s="4"/>
      <c r="F258" s="4"/>
      <c r="G258" s="8"/>
      <c r="H258" s="4"/>
      <c r="I258" s="4"/>
      <c r="J258" s="4"/>
      <c r="K258" s="4"/>
      <c r="L258" s="4"/>
      <c r="M258" s="8"/>
      <c r="N258" s="4"/>
      <c r="O258" s="8"/>
      <c r="P258" s="4"/>
      <c r="Q258" s="8"/>
      <c r="R258" s="4"/>
      <c r="S258" s="8"/>
      <c r="T258" s="4"/>
      <c r="U258" s="8"/>
      <c r="V258" s="4"/>
      <c r="W258" s="8"/>
      <c r="X258" s="4"/>
      <c r="Y258" s="8"/>
      <c r="Z258" s="4"/>
      <c r="AA258" s="2"/>
      <c r="AB258" s="4"/>
      <c r="AC258" s="8"/>
      <c r="AD258" s="4"/>
    </row>
    <row r="259">
      <c r="B259" s="4"/>
      <c r="C259" s="4"/>
      <c r="D259" s="4"/>
      <c r="F259" s="4"/>
      <c r="G259" s="8"/>
      <c r="H259" s="4"/>
      <c r="I259" s="4"/>
      <c r="J259" s="4"/>
      <c r="K259" s="4"/>
      <c r="L259" s="4"/>
      <c r="M259" s="8"/>
      <c r="N259" s="4"/>
      <c r="O259" s="8"/>
      <c r="P259" s="4"/>
      <c r="Q259" s="8"/>
      <c r="R259" s="4"/>
      <c r="S259" s="8"/>
      <c r="T259" s="4"/>
      <c r="U259" s="8"/>
      <c r="V259" s="4"/>
      <c r="W259" s="8"/>
      <c r="X259" s="4"/>
      <c r="Y259" s="8"/>
      <c r="Z259" s="4"/>
      <c r="AA259" s="2"/>
      <c r="AB259" s="4"/>
      <c r="AC259" s="8"/>
      <c r="AD259" s="4"/>
    </row>
    <row r="260">
      <c r="B260" s="4"/>
      <c r="C260" s="4"/>
      <c r="D260" s="4"/>
      <c r="F260" s="4"/>
      <c r="G260" s="8"/>
      <c r="H260" s="4"/>
      <c r="I260" s="4"/>
      <c r="J260" s="4"/>
      <c r="K260" s="4"/>
      <c r="L260" s="4"/>
      <c r="M260" s="8"/>
      <c r="N260" s="4"/>
      <c r="O260" s="8"/>
      <c r="P260" s="4"/>
      <c r="Q260" s="8"/>
      <c r="R260" s="4"/>
      <c r="S260" s="8"/>
      <c r="T260" s="4"/>
      <c r="U260" s="8"/>
      <c r="V260" s="4"/>
      <c r="W260" s="8"/>
      <c r="X260" s="4"/>
      <c r="Y260" s="8"/>
      <c r="Z260" s="4"/>
      <c r="AA260" s="2"/>
      <c r="AB260" s="4"/>
      <c r="AC260" s="8"/>
      <c r="AD260" s="4"/>
    </row>
    <row r="261">
      <c r="B261" s="4"/>
      <c r="C261" s="4"/>
      <c r="D261" s="4"/>
      <c r="F261" s="4"/>
      <c r="G261" s="8"/>
      <c r="H261" s="4"/>
      <c r="I261" s="4"/>
      <c r="J261" s="4"/>
      <c r="K261" s="4"/>
      <c r="L261" s="4"/>
      <c r="M261" s="8"/>
      <c r="N261" s="4"/>
      <c r="O261" s="8"/>
      <c r="P261" s="4"/>
      <c r="Q261" s="8"/>
      <c r="R261" s="4"/>
      <c r="S261" s="8"/>
      <c r="T261" s="4"/>
      <c r="U261" s="8"/>
      <c r="V261" s="4"/>
      <c r="W261" s="8"/>
      <c r="X261" s="4"/>
      <c r="Y261" s="8"/>
      <c r="Z261" s="4"/>
      <c r="AA261" s="2"/>
      <c r="AB261" s="4"/>
      <c r="AC261" s="8"/>
      <c r="AD261" s="4"/>
    </row>
    <row r="262">
      <c r="B262" s="4"/>
      <c r="C262" s="4"/>
      <c r="D262" s="4"/>
      <c r="F262" s="4"/>
      <c r="G262" s="8"/>
      <c r="H262" s="4"/>
      <c r="I262" s="4"/>
      <c r="J262" s="4"/>
      <c r="K262" s="4"/>
      <c r="L262" s="4"/>
      <c r="M262" s="8"/>
      <c r="N262" s="4"/>
      <c r="O262" s="8"/>
      <c r="P262" s="4"/>
      <c r="Q262" s="8"/>
      <c r="R262" s="4"/>
      <c r="S262" s="8"/>
      <c r="T262" s="4"/>
      <c r="U262" s="8"/>
      <c r="V262" s="4"/>
      <c r="W262" s="8"/>
      <c r="X262" s="4"/>
      <c r="Y262" s="8"/>
      <c r="Z262" s="4"/>
      <c r="AA262" s="2"/>
      <c r="AB262" s="4"/>
      <c r="AC262" s="8"/>
      <c r="AD262" s="4"/>
    </row>
    <row r="263">
      <c r="B263" s="4"/>
      <c r="C263" s="4"/>
      <c r="D263" s="4"/>
      <c r="F263" s="4"/>
      <c r="G263" s="8"/>
      <c r="H263" s="4"/>
      <c r="I263" s="4"/>
      <c r="J263" s="4"/>
      <c r="K263" s="4"/>
      <c r="L263" s="4"/>
      <c r="M263" s="8"/>
      <c r="N263" s="4"/>
      <c r="O263" s="8"/>
      <c r="P263" s="4"/>
      <c r="Q263" s="8"/>
      <c r="R263" s="4"/>
      <c r="S263" s="8"/>
      <c r="T263" s="4"/>
      <c r="U263" s="8"/>
      <c r="V263" s="4"/>
      <c r="W263" s="8"/>
      <c r="X263" s="4"/>
      <c r="Y263" s="8"/>
      <c r="Z263" s="4"/>
      <c r="AA263" s="2"/>
      <c r="AB263" s="4"/>
      <c r="AC263" s="8"/>
      <c r="AD263" s="4"/>
    </row>
    <row r="264">
      <c r="B264" s="4"/>
      <c r="C264" s="4"/>
      <c r="D264" s="4"/>
      <c r="F264" s="4"/>
      <c r="G264" s="8"/>
      <c r="H264" s="4"/>
      <c r="I264" s="4"/>
      <c r="J264" s="4"/>
      <c r="K264" s="4"/>
      <c r="L264" s="4"/>
      <c r="M264" s="8"/>
      <c r="N264" s="4"/>
      <c r="O264" s="8"/>
      <c r="P264" s="4"/>
      <c r="Q264" s="8"/>
      <c r="R264" s="4"/>
      <c r="S264" s="8"/>
      <c r="T264" s="4"/>
      <c r="U264" s="8"/>
      <c r="V264" s="4"/>
      <c r="W264" s="8"/>
      <c r="X264" s="4"/>
      <c r="Y264" s="8"/>
      <c r="Z264" s="4"/>
      <c r="AA264" s="2"/>
      <c r="AB264" s="4"/>
      <c r="AC264" s="8"/>
      <c r="AD264" s="4"/>
    </row>
    <row r="265">
      <c r="B265" s="4"/>
      <c r="C265" s="4"/>
      <c r="D265" s="4"/>
      <c r="F265" s="4"/>
      <c r="G265" s="8"/>
      <c r="H265" s="4"/>
      <c r="I265" s="4"/>
      <c r="J265" s="4"/>
      <c r="K265" s="4"/>
      <c r="L265" s="4"/>
      <c r="M265" s="8"/>
      <c r="N265" s="4"/>
      <c r="O265" s="8"/>
      <c r="P265" s="4"/>
      <c r="Q265" s="8"/>
      <c r="R265" s="4"/>
      <c r="S265" s="8"/>
      <c r="T265" s="4"/>
      <c r="U265" s="8"/>
      <c r="V265" s="4"/>
      <c r="W265" s="8"/>
      <c r="X265" s="4"/>
      <c r="Y265" s="8"/>
      <c r="Z265" s="4"/>
      <c r="AA265" s="2"/>
      <c r="AB265" s="4"/>
      <c r="AC265" s="8"/>
      <c r="AD265" s="4"/>
    </row>
    <row r="266">
      <c r="B266" s="4"/>
      <c r="C266" s="4"/>
      <c r="D266" s="4"/>
      <c r="F266" s="4"/>
      <c r="G266" s="8"/>
      <c r="H266" s="4"/>
      <c r="I266" s="4"/>
      <c r="J266" s="4"/>
      <c r="K266" s="4"/>
      <c r="L266" s="4"/>
      <c r="M266" s="8"/>
      <c r="N266" s="4"/>
      <c r="O266" s="8"/>
      <c r="P266" s="4"/>
      <c r="Q266" s="8"/>
      <c r="R266" s="4"/>
      <c r="S266" s="8"/>
      <c r="T266" s="4"/>
      <c r="U266" s="8"/>
      <c r="V266" s="4"/>
      <c r="W266" s="8"/>
      <c r="X266" s="4"/>
      <c r="Y266" s="8"/>
      <c r="Z266" s="4"/>
      <c r="AA266" s="2"/>
      <c r="AB266" s="4"/>
      <c r="AC266" s="8"/>
      <c r="AD266" s="4"/>
    </row>
    <row r="267">
      <c r="B267" s="4"/>
      <c r="C267" s="4"/>
      <c r="D267" s="4"/>
      <c r="F267" s="4"/>
      <c r="G267" s="8"/>
      <c r="H267" s="4"/>
      <c r="I267" s="4"/>
      <c r="J267" s="4"/>
      <c r="K267" s="4"/>
      <c r="L267" s="4"/>
      <c r="M267" s="8"/>
      <c r="N267" s="4"/>
      <c r="O267" s="8"/>
      <c r="P267" s="4"/>
      <c r="Q267" s="8"/>
      <c r="R267" s="4"/>
      <c r="S267" s="8"/>
      <c r="T267" s="4"/>
      <c r="U267" s="8"/>
      <c r="V267" s="4"/>
      <c r="W267" s="8"/>
      <c r="X267" s="4"/>
      <c r="Y267" s="8"/>
      <c r="Z267" s="4"/>
      <c r="AA267" s="2"/>
      <c r="AB267" s="4"/>
      <c r="AC267" s="8"/>
      <c r="AD267" s="4"/>
    </row>
    <row r="268">
      <c r="B268" s="4"/>
      <c r="C268" s="4"/>
      <c r="D268" s="4"/>
      <c r="F268" s="4"/>
      <c r="G268" s="8"/>
      <c r="H268" s="4"/>
      <c r="I268" s="4"/>
      <c r="J268" s="4"/>
      <c r="K268" s="4"/>
      <c r="L268" s="4"/>
      <c r="M268" s="8"/>
      <c r="N268" s="4"/>
      <c r="O268" s="8"/>
      <c r="P268" s="4"/>
      <c r="Q268" s="8"/>
      <c r="R268" s="4"/>
      <c r="S268" s="8"/>
      <c r="T268" s="4"/>
      <c r="U268" s="8"/>
      <c r="V268" s="4"/>
      <c r="W268" s="8"/>
      <c r="X268" s="4"/>
      <c r="Y268" s="8"/>
      <c r="Z268" s="4"/>
      <c r="AA268" s="2"/>
      <c r="AB268" s="4"/>
      <c r="AC268" s="8"/>
      <c r="AD268" s="4"/>
    </row>
    <row r="269">
      <c r="B269" s="4"/>
      <c r="C269" s="4"/>
      <c r="D269" s="4"/>
      <c r="F269" s="4"/>
      <c r="G269" s="8"/>
      <c r="H269" s="4"/>
      <c r="I269" s="4"/>
      <c r="J269" s="4"/>
      <c r="K269" s="4"/>
      <c r="L269" s="4"/>
      <c r="M269" s="8"/>
      <c r="N269" s="4"/>
      <c r="O269" s="8"/>
      <c r="P269" s="4"/>
      <c r="Q269" s="8"/>
      <c r="R269" s="4"/>
      <c r="S269" s="8"/>
      <c r="T269" s="4"/>
      <c r="U269" s="8"/>
      <c r="V269" s="4"/>
      <c r="W269" s="8"/>
      <c r="X269" s="4"/>
      <c r="Y269" s="8"/>
      <c r="Z269" s="4"/>
      <c r="AA269" s="2"/>
      <c r="AB269" s="4"/>
      <c r="AC269" s="8"/>
      <c r="AD269" s="4"/>
    </row>
    <row r="270">
      <c r="B270" s="4"/>
      <c r="C270" s="4"/>
      <c r="D270" s="4"/>
      <c r="F270" s="4"/>
      <c r="G270" s="8"/>
      <c r="H270" s="4"/>
      <c r="I270" s="4"/>
      <c r="J270" s="4"/>
      <c r="K270" s="4"/>
      <c r="L270" s="4"/>
      <c r="M270" s="8"/>
      <c r="N270" s="4"/>
      <c r="O270" s="8"/>
      <c r="P270" s="4"/>
      <c r="Q270" s="8"/>
      <c r="R270" s="4"/>
      <c r="S270" s="8"/>
      <c r="T270" s="4"/>
      <c r="U270" s="8"/>
      <c r="V270" s="4"/>
      <c r="W270" s="8"/>
      <c r="X270" s="4"/>
      <c r="Y270" s="8"/>
      <c r="Z270" s="4"/>
      <c r="AA270" s="2"/>
      <c r="AB270" s="4"/>
      <c r="AC270" s="8"/>
      <c r="AD270" s="4"/>
    </row>
    <row r="271">
      <c r="B271" s="4"/>
      <c r="C271" s="4"/>
      <c r="D271" s="4"/>
      <c r="F271" s="4"/>
      <c r="G271" s="8"/>
      <c r="H271" s="4"/>
      <c r="I271" s="4"/>
      <c r="J271" s="4"/>
      <c r="K271" s="4"/>
      <c r="L271" s="4"/>
      <c r="M271" s="8"/>
      <c r="N271" s="4"/>
      <c r="O271" s="8"/>
      <c r="P271" s="4"/>
      <c r="Q271" s="8"/>
      <c r="R271" s="4"/>
      <c r="S271" s="8"/>
      <c r="T271" s="4"/>
      <c r="U271" s="8"/>
      <c r="V271" s="4"/>
      <c r="W271" s="8"/>
      <c r="X271" s="4"/>
      <c r="Y271" s="8"/>
      <c r="Z271" s="4"/>
      <c r="AA271" s="2"/>
      <c r="AB271" s="4"/>
      <c r="AC271" s="8"/>
      <c r="AD271" s="4"/>
    </row>
    <row r="272">
      <c r="B272" s="4"/>
      <c r="C272" s="4"/>
      <c r="D272" s="4"/>
      <c r="F272" s="4"/>
      <c r="G272" s="8"/>
      <c r="H272" s="4"/>
      <c r="I272" s="4"/>
      <c r="J272" s="4"/>
      <c r="K272" s="4"/>
      <c r="L272" s="4"/>
      <c r="M272" s="8"/>
      <c r="N272" s="4"/>
      <c r="O272" s="8"/>
      <c r="P272" s="4"/>
      <c r="Q272" s="8"/>
      <c r="R272" s="4"/>
      <c r="S272" s="8"/>
      <c r="T272" s="4"/>
      <c r="U272" s="8"/>
      <c r="V272" s="4"/>
      <c r="W272" s="8"/>
      <c r="X272" s="4"/>
      <c r="Y272" s="8"/>
      <c r="Z272" s="4"/>
      <c r="AA272" s="2"/>
      <c r="AB272" s="4"/>
      <c r="AC272" s="8"/>
      <c r="AD272" s="4"/>
    </row>
    <row r="273">
      <c r="B273" s="4"/>
      <c r="C273" s="4"/>
      <c r="D273" s="4"/>
      <c r="F273" s="4"/>
      <c r="G273" s="8"/>
      <c r="H273" s="4"/>
      <c r="I273" s="4"/>
      <c r="J273" s="4"/>
      <c r="K273" s="4"/>
      <c r="L273" s="4"/>
      <c r="M273" s="8"/>
      <c r="N273" s="4"/>
      <c r="O273" s="8"/>
      <c r="P273" s="4"/>
      <c r="Q273" s="8"/>
      <c r="R273" s="4"/>
      <c r="S273" s="8"/>
      <c r="T273" s="4"/>
      <c r="U273" s="8"/>
      <c r="V273" s="4"/>
      <c r="W273" s="8"/>
      <c r="X273" s="4"/>
      <c r="Y273" s="8"/>
      <c r="Z273" s="4"/>
      <c r="AA273" s="2"/>
      <c r="AB273" s="4"/>
      <c r="AC273" s="8"/>
      <c r="AD273" s="4"/>
    </row>
    <row r="274">
      <c r="B274" s="4"/>
      <c r="C274" s="4"/>
      <c r="D274" s="4"/>
      <c r="F274" s="4"/>
      <c r="G274" s="8"/>
      <c r="H274" s="4"/>
      <c r="I274" s="4"/>
      <c r="J274" s="4"/>
      <c r="K274" s="4"/>
      <c r="L274" s="4"/>
      <c r="M274" s="8"/>
      <c r="N274" s="4"/>
      <c r="O274" s="8"/>
      <c r="P274" s="4"/>
      <c r="Q274" s="8"/>
      <c r="R274" s="4"/>
      <c r="S274" s="8"/>
      <c r="T274" s="4"/>
      <c r="U274" s="8"/>
      <c r="V274" s="4"/>
      <c r="W274" s="8"/>
      <c r="X274" s="4"/>
      <c r="Y274" s="8"/>
      <c r="Z274" s="4"/>
      <c r="AA274" s="2"/>
      <c r="AB274" s="4"/>
      <c r="AC274" s="8"/>
      <c r="AD274" s="4"/>
    </row>
    <row r="275">
      <c r="B275" s="4"/>
      <c r="C275" s="4"/>
      <c r="D275" s="4"/>
      <c r="F275" s="4"/>
      <c r="G275" s="8"/>
      <c r="H275" s="4"/>
      <c r="I275" s="4"/>
      <c r="J275" s="4"/>
      <c r="K275" s="4"/>
      <c r="L275" s="4"/>
      <c r="M275" s="8"/>
      <c r="N275" s="4"/>
      <c r="O275" s="8"/>
      <c r="P275" s="4"/>
      <c r="Q275" s="8"/>
      <c r="R275" s="4"/>
      <c r="S275" s="8"/>
      <c r="T275" s="4"/>
      <c r="U275" s="8"/>
      <c r="V275" s="4"/>
      <c r="W275" s="8"/>
      <c r="X275" s="4"/>
      <c r="Y275" s="8"/>
      <c r="Z275" s="4"/>
      <c r="AA275" s="2"/>
      <c r="AB275" s="4"/>
      <c r="AC275" s="8"/>
      <c r="AD275" s="4"/>
    </row>
    <row r="276">
      <c r="B276" s="4"/>
      <c r="C276" s="4"/>
      <c r="D276" s="4"/>
      <c r="F276" s="4"/>
      <c r="G276" s="8"/>
      <c r="H276" s="4"/>
      <c r="I276" s="4"/>
      <c r="J276" s="4"/>
      <c r="K276" s="4"/>
      <c r="L276" s="4"/>
      <c r="M276" s="8"/>
      <c r="N276" s="4"/>
      <c r="O276" s="8"/>
      <c r="P276" s="4"/>
      <c r="Q276" s="8"/>
      <c r="R276" s="4"/>
      <c r="S276" s="8"/>
      <c r="T276" s="4"/>
      <c r="U276" s="8"/>
      <c r="V276" s="4"/>
      <c r="W276" s="8"/>
      <c r="X276" s="4"/>
      <c r="Y276" s="8"/>
      <c r="Z276" s="4"/>
      <c r="AA276" s="2"/>
      <c r="AB276" s="4"/>
      <c r="AC276" s="8"/>
      <c r="AD276" s="4"/>
    </row>
    <row r="277">
      <c r="B277" s="4"/>
      <c r="C277" s="4"/>
      <c r="D277" s="4"/>
      <c r="F277" s="4"/>
      <c r="G277" s="8"/>
      <c r="H277" s="4"/>
      <c r="I277" s="4"/>
      <c r="J277" s="4"/>
      <c r="K277" s="4"/>
      <c r="L277" s="4"/>
      <c r="M277" s="8"/>
      <c r="N277" s="4"/>
      <c r="O277" s="8"/>
      <c r="P277" s="4"/>
      <c r="Q277" s="8"/>
      <c r="R277" s="4"/>
      <c r="S277" s="8"/>
      <c r="T277" s="4"/>
      <c r="U277" s="8"/>
      <c r="V277" s="4"/>
      <c r="W277" s="8"/>
      <c r="X277" s="4"/>
      <c r="Y277" s="8"/>
      <c r="Z277" s="4"/>
      <c r="AA277" s="2"/>
      <c r="AB277" s="4"/>
      <c r="AC277" s="8"/>
      <c r="AD277" s="4"/>
    </row>
    <row r="278">
      <c r="B278" s="4"/>
      <c r="C278" s="4"/>
      <c r="D278" s="4"/>
      <c r="F278" s="4"/>
      <c r="G278" s="8"/>
      <c r="H278" s="4"/>
      <c r="I278" s="4"/>
      <c r="J278" s="4"/>
      <c r="K278" s="4"/>
      <c r="L278" s="4"/>
      <c r="M278" s="8"/>
      <c r="N278" s="4"/>
      <c r="O278" s="8"/>
      <c r="P278" s="4"/>
      <c r="Q278" s="8"/>
      <c r="R278" s="4"/>
      <c r="S278" s="8"/>
      <c r="T278" s="4"/>
      <c r="U278" s="8"/>
      <c r="V278" s="4"/>
      <c r="W278" s="8"/>
      <c r="X278" s="4"/>
      <c r="Y278" s="8"/>
      <c r="Z278" s="4"/>
      <c r="AA278" s="2"/>
      <c r="AB278" s="4"/>
      <c r="AC278" s="8"/>
      <c r="AD278" s="4"/>
    </row>
    <row r="279">
      <c r="B279" s="4"/>
      <c r="C279" s="4"/>
      <c r="D279" s="4"/>
      <c r="F279" s="4"/>
      <c r="G279" s="8"/>
      <c r="H279" s="4"/>
      <c r="I279" s="4"/>
      <c r="J279" s="4"/>
      <c r="K279" s="4"/>
      <c r="L279" s="4"/>
      <c r="M279" s="8"/>
      <c r="N279" s="4"/>
      <c r="O279" s="8"/>
      <c r="P279" s="4"/>
      <c r="Q279" s="8"/>
      <c r="R279" s="4"/>
      <c r="S279" s="8"/>
      <c r="T279" s="4"/>
      <c r="U279" s="8"/>
      <c r="V279" s="4"/>
      <c r="W279" s="8"/>
      <c r="X279" s="4"/>
      <c r="Y279" s="8"/>
      <c r="Z279" s="4"/>
      <c r="AA279" s="2"/>
      <c r="AB279" s="4"/>
      <c r="AC279" s="8"/>
      <c r="AD279" s="4"/>
    </row>
    <row r="280">
      <c r="B280" s="4"/>
      <c r="C280" s="4"/>
      <c r="D280" s="4"/>
      <c r="F280" s="4"/>
      <c r="G280" s="8"/>
      <c r="H280" s="4"/>
      <c r="I280" s="4"/>
      <c r="J280" s="4"/>
      <c r="K280" s="4"/>
      <c r="L280" s="4"/>
      <c r="M280" s="8"/>
      <c r="N280" s="4"/>
      <c r="O280" s="8"/>
      <c r="P280" s="4"/>
      <c r="Q280" s="8"/>
      <c r="R280" s="4"/>
      <c r="S280" s="8"/>
      <c r="T280" s="4"/>
      <c r="U280" s="8"/>
      <c r="V280" s="4"/>
      <c r="W280" s="8"/>
      <c r="X280" s="4"/>
      <c r="Y280" s="8"/>
      <c r="Z280" s="4"/>
      <c r="AA280" s="2"/>
      <c r="AB280" s="4"/>
      <c r="AC280" s="8"/>
      <c r="AD280" s="4"/>
    </row>
    <row r="281">
      <c r="B281" s="4"/>
      <c r="C281" s="4"/>
      <c r="D281" s="4"/>
      <c r="F281" s="4"/>
      <c r="G281" s="8"/>
      <c r="H281" s="4"/>
      <c r="I281" s="4"/>
      <c r="J281" s="4"/>
      <c r="K281" s="4"/>
      <c r="L281" s="4"/>
      <c r="M281" s="8"/>
      <c r="N281" s="4"/>
      <c r="O281" s="8"/>
      <c r="P281" s="4"/>
      <c r="Q281" s="8"/>
      <c r="R281" s="4"/>
      <c r="S281" s="8"/>
      <c r="T281" s="4"/>
      <c r="U281" s="8"/>
      <c r="V281" s="4"/>
      <c r="W281" s="8"/>
      <c r="X281" s="4"/>
      <c r="Y281" s="8"/>
      <c r="Z281" s="4"/>
      <c r="AA281" s="2"/>
      <c r="AB281" s="4"/>
      <c r="AC281" s="8"/>
      <c r="AD281" s="4"/>
    </row>
    <row r="282">
      <c r="B282" s="4"/>
      <c r="C282" s="4"/>
      <c r="D282" s="4"/>
      <c r="F282" s="4"/>
      <c r="G282" s="8"/>
      <c r="H282" s="4"/>
      <c r="I282" s="4"/>
      <c r="J282" s="4"/>
      <c r="K282" s="4"/>
      <c r="L282" s="4"/>
      <c r="M282" s="8"/>
      <c r="N282" s="4"/>
      <c r="O282" s="8"/>
      <c r="P282" s="4"/>
      <c r="Q282" s="8"/>
      <c r="R282" s="4"/>
      <c r="S282" s="8"/>
      <c r="T282" s="4"/>
      <c r="U282" s="8"/>
      <c r="V282" s="4"/>
      <c r="W282" s="8"/>
      <c r="X282" s="4"/>
      <c r="Y282" s="8"/>
      <c r="Z282" s="4"/>
      <c r="AA282" s="2"/>
      <c r="AB282" s="4"/>
      <c r="AC282" s="8"/>
      <c r="AD282" s="4"/>
    </row>
    <row r="283">
      <c r="B283" s="4"/>
      <c r="C283" s="4"/>
      <c r="D283" s="4"/>
      <c r="F283" s="4"/>
      <c r="G283" s="8"/>
      <c r="H283" s="4"/>
      <c r="I283" s="4"/>
      <c r="J283" s="4"/>
      <c r="K283" s="4"/>
      <c r="L283" s="4"/>
      <c r="M283" s="8"/>
      <c r="N283" s="4"/>
      <c r="O283" s="8"/>
      <c r="P283" s="4"/>
      <c r="Q283" s="8"/>
      <c r="R283" s="4"/>
      <c r="S283" s="8"/>
      <c r="T283" s="4"/>
      <c r="U283" s="8"/>
      <c r="V283" s="4"/>
      <c r="W283" s="8"/>
      <c r="X283" s="4"/>
      <c r="Y283" s="8"/>
      <c r="Z283" s="4"/>
      <c r="AA283" s="2"/>
      <c r="AB283" s="4"/>
      <c r="AC283" s="8"/>
      <c r="AD283" s="4"/>
    </row>
    <row r="284">
      <c r="B284" s="4"/>
      <c r="C284" s="4"/>
      <c r="D284" s="4"/>
      <c r="F284" s="4"/>
      <c r="G284" s="8"/>
      <c r="H284" s="4"/>
      <c r="I284" s="4"/>
      <c r="J284" s="4"/>
      <c r="K284" s="4"/>
      <c r="L284" s="4"/>
      <c r="M284" s="8"/>
      <c r="N284" s="4"/>
      <c r="O284" s="8"/>
      <c r="P284" s="4"/>
      <c r="Q284" s="8"/>
      <c r="R284" s="4"/>
      <c r="S284" s="8"/>
      <c r="T284" s="4"/>
      <c r="U284" s="8"/>
      <c r="V284" s="4"/>
      <c r="W284" s="8"/>
      <c r="X284" s="4"/>
      <c r="Y284" s="8"/>
      <c r="Z284" s="4"/>
      <c r="AA284" s="2"/>
      <c r="AB284" s="4"/>
      <c r="AC284" s="8"/>
      <c r="AD284" s="4"/>
    </row>
    <row r="285">
      <c r="B285" s="4"/>
      <c r="C285" s="4"/>
      <c r="D285" s="4"/>
      <c r="F285" s="4"/>
      <c r="G285" s="8"/>
      <c r="H285" s="4"/>
      <c r="I285" s="4"/>
      <c r="J285" s="4"/>
      <c r="K285" s="4"/>
      <c r="L285" s="4"/>
      <c r="M285" s="8"/>
      <c r="N285" s="4"/>
      <c r="O285" s="8"/>
      <c r="P285" s="4"/>
      <c r="Q285" s="8"/>
      <c r="R285" s="4"/>
      <c r="S285" s="8"/>
      <c r="T285" s="4"/>
      <c r="U285" s="8"/>
      <c r="V285" s="4"/>
      <c r="W285" s="8"/>
      <c r="X285" s="4"/>
      <c r="Y285" s="8"/>
      <c r="Z285" s="4"/>
      <c r="AA285" s="2"/>
      <c r="AB285" s="4"/>
      <c r="AC285" s="8"/>
      <c r="AD285" s="4"/>
    </row>
    <row r="286">
      <c r="B286" s="4"/>
      <c r="C286" s="4"/>
      <c r="D286" s="4"/>
      <c r="F286" s="4"/>
      <c r="G286" s="8"/>
      <c r="H286" s="4"/>
      <c r="I286" s="4"/>
      <c r="J286" s="4"/>
      <c r="K286" s="4"/>
      <c r="L286" s="4"/>
      <c r="M286" s="8"/>
      <c r="N286" s="4"/>
      <c r="O286" s="8"/>
      <c r="P286" s="4"/>
      <c r="Q286" s="8"/>
      <c r="R286" s="4"/>
      <c r="S286" s="8"/>
      <c r="T286" s="4"/>
      <c r="U286" s="8"/>
      <c r="V286" s="4"/>
      <c r="W286" s="8"/>
      <c r="X286" s="4"/>
      <c r="Y286" s="8"/>
      <c r="Z286" s="4"/>
      <c r="AA286" s="2"/>
      <c r="AB286" s="4"/>
      <c r="AC286" s="8"/>
      <c r="AD286" s="4"/>
    </row>
    <row r="287">
      <c r="B287" s="4"/>
      <c r="C287" s="4"/>
      <c r="D287" s="4"/>
      <c r="F287" s="4"/>
      <c r="G287" s="8"/>
      <c r="H287" s="4"/>
      <c r="I287" s="4"/>
      <c r="J287" s="4"/>
      <c r="K287" s="4"/>
      <c r="L287" s="4"/>
      <c r="M287" s="8"/>
      <c r="N287" s="4"/>
      <c r="O287" s="8"/>
      <c r="P287" s="4"/>
      <c r="Q287" s="8"/>
      <c r="R287" s="4"/>
      <c r="S287" s="8"/>
      <c r="T287" s="4"/>
      <c r="U287" s="8"/>
      <c r="V287" s="4"/>
      <c r="W287" s="8"/>
      <c r="X287" s="4"/>
      <c r="Y287" s="8"/>
      <c r="Z287" s="4"/>
      <c r="AA287" s="2"/>
      <c r="AB287" s="4"/>
      <c r="AC287" s="8"/>
      <c r="AD287" s="4"/>
    </row>
    <row r="288">
      <c r="B288" s="4"/>
      <c r="C288" s="4"/>
      <c r="D288" s="4"/>
      <c r="F288" s="4"/>
      <c r="G288" s="8"/>
      <c r="H288" s="4"/>
      <c r="I288" s="4"/>
      <c r="J288" s="4"/>
      <c r="K288" s="4"/>
      <c r="L288" s="4"/>
      <c r="M288" s="8"/>
      <c r="N288" s="4"/>
      <c r="O288" s="8"/>
      <c r="P288" s="4"/>
      <c r="Q288" s="8"/>
      <c r="R288" s="4"/>
      <c r="S288" s="8"/>
      <c r="T288" s="4"/>
      <c r="U288" s="8"/>
      <c r="V288" s="4"/>
      <c r="W288" s="8"/>
      <c r="X288" s="4"/>
      <c r="Y288" s="8"/>
      <c r="Z288" s="4"/>
      <c r="AA288" s="2"/>
      <c r="AB288" s="4"/>
      <c r="AC288" s="8"/>
      <c r="AD288" s="4"/>
    </row>
    <row r="289">
      <c r="B289" s="4"/>
      <c r="C289" s="4"/>
      <c r="D289" s="4"/>
      <c r="F289" s="4"/>
      <c r="G289" s="8"/>
      <c r="H289" s="4"/>
      <c r="I289" s="4"/>
      <c r="J289" s="4"/>
      <c r="K289" s="4"/>
      <c r="L289" s="4"/>
      <c r="M289" s="8"/>
      <c r="N289" s="4"/>
      <c r="O289" s="8"/>
      <c r="P289" s="4"/>
      <c r="Q289" s="8"/>
      <c r="R289" s="4"/>
      <c r="S289" s="8"/>
      <c r="T289" s="4"/>
      <c r="U289" s="8"/>
      <c r="V289" s="4"/>
      <c r="W289" s="8"/>
      <c r="X289" s="4"/>
      <c r="Y289" s="8"/>
      <c r="Z289" s="4"/>
      <c r="AA289" s="2"/>
      <c r="AB289" s="4"/>
      <c r="AC289" s="8"/>
      <c r="AD289" s="4"/>
    </row>
    <row r="290">
      <c r="B290" s="4"/>
      <c r="C290" s="4"/>
      <c r="D290" s="4"/>
      <c r="F290" s="4"/>
      <c r="G290" s="8"/>
      <c r="H290" s="4"/>
      <c r="I290" s="4"/>
      <c r="J290" s="4"/>
      <c r="K290" s="4"/>
      <c r="L290" s="4"/>
      <c r="M290" s="8"/>
      <c r="N290" s="4"/>
      <c r="O290" s="8"/>
      <c r="P290" s="4"/>
      <c r="Q290" s="8"/>
      <c r="R290" s="4"/>
      <c r="S290" s="8"/>
      <c r="T290" s="4"/>
      <c r="U290" s="8"/>
      <c r="V290" s="4"/>
      <c r="W290" s="8"/>
      <c r="X290" s="4"/>
      <c r="Y290" s="8"/>
      <c r="Z290" s="4"/>
      <c r="AA290" s="2"/>
      <c r="AB290" s="4"/>
      <c r="AC290" s="8"/>
      <c r="AD290" s="4"/>
    </row>
    <row r="291">
      <c r="B291" s="4"/>
      <c r="C291" s="4"/>
      <c r="D291" s="4"/>
      <c r="F291" s="4"/>
      <c r="G291" s="8"/>
      <c r="H291" s="4"/>
      <c r="I291" s="4"/>
      <c r="J291" s="4"/>
      <c r="K291" s="4"/>
      <c r="L291" s="4"/>
      <c r="M291" s="8"/>
      <c r="N291" s="4"/>
      <c r="O291" s="8"/>
      <c r="P291" s="4"/>
      <c r="Q291" s="8"/>
      <c r="R291" s="4"/>
      <c r="S291" s="8"/>
      <c r="T291" s="4"/>
      <c r="U291" s="8"/>
      <c r="V291" s="4"/>
      <c r="W291" s="8"/>
      <c r="X291" s="4"/>
      <c r="Y291" s="8"/>
      <c r="Z291" s="4"/>
      <c r="AA291" s="2"/>
      <c r="AB291" s="4"/>
      <c r="AC291" s="8"/>
      <c r="AD291" s="4"/>
    </row>
    <row r="292">
      <c r="B292" s="4"/>
      <c r="C292" s="4"/>
      <c r="D292" s="4"/>
      <c r="F292" s="4"/>
      <c r="G292" s="8"/>
      <c r="H292" s="4"/>
      <c r="I292" s="4"/>
      <c r="J292" s="4"/>
      <c r="K292" s="4"/>
      <c r="L292" s="4"/>
      <c r="M292" s="8"/>
      <c r="N292" s="4"/>
      <c r="O292" s="8"/>
      <c r="P292" s="4"/>
      <c r="Q292" s="8"/>
      <c r="R292" s="4"/>
      <c r="S292" s="8"/>
      <c r="T292" s="4"/>
      <c r="U292" s="8"/>
      <c r="V292" s="4"/>
      <c r="W292" s="8"/>
      <c r="X292" s="4"/>
      <c r="Y292" s="8"/>
      <c r="Z292" s="4"/>
      <c r="AA292" s="2"/>
      <c r="AB292" s="4"/>
      <c r="AC292" s="8"/>
      <c r="AD292" s="4"/>
    </row>
    <row r="293">
      <c r="B293" s="4"/>
      <c r="C293" s="4"/>
      <c r="D293" s="4"/>
      <c r="F293" s="4"/>
      <c r="G293" s="8"/>
      <c r="H293" s="4"/>
      <c r="I293" s="4"/>
      <c r="J293" s="4"/>
      <c r="K293" s="4"/>
      <c r="L293" s="4"/>
      <c r="M293" s="8"/>
      <c r="N293" s="4"/>
      <c r="O293" s="8"/>
      <c r="P293" s="4"/>
      <c r="Q293" s="8"/>
      <c r="R293" s="4"/>
      <c r="S293" s="8"/>
      <c r="T293" s="4"/>
      <c r="U293" s="8"/>
      <c r="V293" s="4"/>
      <c r="W293" s="8"/>
      <c r="X293" s="4"/>
      <c r="Y293" s="8"/>
      <c r="Z293" s="4"/>
      <c r="AA293" s="2"/>
      <c r="AB293" s="4"/>
      <c r="AC293" s="8"/>
      <c r="AD293" s="4"/>
    </row>
    <row r="294">
      <c r="B294" s="4"/>
      <c r="C294" s="4"/>
      <c r="D294" s="4"/>
      <c r="F294" s="4"/>
      <c r="G294" s="8"/>
      <c r="H294" s="4"/>
      <c r="I294" s="4"/>
      <c r="J294" s="4"/>
      <c r="K294" s="4"/>
      <c r="L294" s="4"/>
      <c r="M294" s="8"/>
      <c r="N294" s="4"/>
      <c r="O294" s="8"/>
      <c r="P294" s="4"/>
      <c r="Q294" s="8"/>
      <c r="R294" s="4"/>
      <c r="S294" s="8"/>
      <c r="T294" s="4"/>
      <c r="U294" s="8"/>
      <c r="V294" s="4"/>
      <c r="W294" s="8"/>
      <c r="X294" s="4"/>
      <c r="Y294" s="8"/>
      <c r="Z294" s="4"/>
      <c r="AA294" s="2"/>
      <c r="AB294" s="4"/>
      <c r="AC294" s="8"/>
      <c r="AD294" s="4"/>
    </row>
    <row r="295">
      <c r="B295" s="4"/>
      <c r="C295" s="4"/>
      <c r="D295" s="4"/>
      <c r="F295" s="4"/>
      <c r="G295" s="8"/>
      <c r="H295" s="4"/>
      <c r="I295" s="4"/>
      <c r="J295" s="4"/>
      <c r="K295" s="4"/>
      <c r="L295" s="4"/>
      <c r="M295" s="8"/>
      <c r="N295" s="4"/>
      <c r="O295" s="8"/>
      <c r="P295" s="4"/>
      <c r="Q295" s="8"/>
      <c r="R295" s="4"/>
      <c r="S295" s="8"/>
      <c r="T295" s="4"/>
      <c r="U295" s="8"/>
      <c r="V295" s="4"/>
      <c r="W295" s="8"/>
      <c r="X295" s="4"/>
      <c r="Y295" s="8"/>
      <c r="Z295" s="4"/>
      <c r="AA295" s="2"/>
      <c r="AB295" s="4"/>
      <c r="AC295" s="8"/>
      <c r="AD295" s="4"/>
    </row>
    <row r="296">
      <c r="B296" s="4"/>
      <c r="C296" s="4"/>
      <c r="D296" s="4"/>
      <c r="F296" s="4"/>
      <c r="G296" s="8"/>
      <c r="H296" s="4"/>
      <c r="I296" s="4"/>
      <c r="J296" s="4"/>
      <c r="K296" s="4"/>
      <c r="L296" s="4"/>
      <c r="M296" s="8"/>
      <c r="N296" s="4"/>
      <c r="O296" s="8"/>
      <c r="P296" s="4"/>
      <c r="Q296" s="8"/>
      <c r="R296" s="4"/>
      <c r="S296" s="8"/>
      <c r="T296" s="4"/>
      <c r="U296" s="8"/>
      <c r="V296" s="4"/>
      <c r="W296" s="8"/>
      <c r="X296" s="4"/>
      <c r="Y296" s="8"/>
      <c r="Z296" s="4"/>
      <c r="AA296" s="2"/>
      <c r="AB296" s="4"/>
      <c r="AC296" s="8"/>
      <c r="AD296" s="4"/>
    </row>
    <row r="297">
      <c r="B297" s="4"/>
      <c r="C297" s="4"/>
      <c r="D297" s="4"/>
      <c r="F297" s="4"/>
      <c r="G297" s="8"/>
      <c r="H297" s="4"/>
      <c r="I297" s="4"/>
      <c r="J297" s="4"/>
      <c r="K297" s="4"/>
      <c r="L297" s="4"/>
      <c r="M297" s="8"/>
      <c r="N297" s="4"/>
      <c r="O297" s="8"/>
      <c r="P297" s="4"/>
      <c r="Q297" s="8"/>
      <c r="R297" s="4"/>
      <c r="S297" s="8"/>
      <c r="T297" s="4"/>
      <c r="U297" s="8"/>
      <c r="V297" s="4"/>
      <c r="W297" s="8"/>
      <c r="X297" s="4"/>
      <c r="Y297" s="8"/>
      <c r="Z297" s="4"/>
      <c r="AA297" s="2"/>
      <c r="AB297" s="4"/>
      <c r="AC297" s="8"/>
      <c r="AD297" s="4"/>
    </row>
    <row r="298">
      <c r="B298" s="4"/>
      <c r="C298" s="4"/>
      <c r="D298" s="4"/>
      <c r="F298" s="4"/>
      <c r="G298" s="8"/>
      <c r="H298" s="4"/>
      <c r="I298" s="4"/>
      <c r="J298" s="4"/>
      <c r="K298" s="4"/>
      <c r="L298" s="4"/>
      <c r="M298" s="8"/>
      <c r="N298" s="4"/>
      <c r="O298" s="8"/>
      <c r="P298" s="4"/>
      <c r="Q298" s="8"/>
      <c r="R298" s="4"/>
      <c r="S298" s="8"/>
      <c r="T298" s="4"/>
      <c r="U298" s="8"/>
      <c r="V298" s="4"/>
      <c r="W298" s="8"/>
      <c r="X298" s="4"/>
      <c r="Y298" s="8"/>
      <c r="Z298" s="4"/>
      <c r="AA298" s="2"/>
      <c r="AB298" s="4"/>
      <c r="AC298" s="8"/>
      <c r="AD298" s="4"/>
    </row>
    <row r="299">
      <c r="B299" s="4"/>
      <c r="C299" s="4"/>
      <c r="D299" s="4"/>
      <c r="F299" s="4"/>
      <c r="G299" s="8"/>
      <c r="H299" s="4"/>
      <c r="I299" s="4"/>
      <c r="J299" s="4"/>
      <c r="K299" s="4"/>
      <c r="L299" s="4"/>
      <c r="M299" s="8"/>
      <c r="N299" s="4"/>
      <c r="O299" s="8"/>
      <c r="P299" s="4"/>
      <c r="Q299" s="8"/>
      <c r="R299" s="4"/>
      <c r="S299" s="8"/>
      <c r="T299" s="4"/>
      <c r="U299" s="8"/>
      <c r="V299" s="4"/>
      <c r="W299" s="8"/>
      <c r="X299" s="4"/>
      <c r="Y299" s="8"/>
      <c r="Z299" s="4"/>
      <c r="AA299" s="2"/>
      <c r="AB299" s="4"/>
      <c r="AC299" s="8"/>
      <c r="AD299" s="4"/>
    </row>
    <row r="300">
      <c r="B300" s="4"/>
      <c r="C300" s="4"/>
      <c r="D300" s="4"/>
      <c r="F300" s="4"/>
      <c r="G300" s="8"/>
      <c r="H300" s="4"/>
      <c r="I300" s="4"/>
      <c r="J300" s="4"/>
      <c r="K300" s="4"/>
      <c r="L300" s="4"/>
      <c r="M300" s="8"/>
      <c r="N300" s="4"/>
      <c r="O300" s="8"/>
      <c r="P300" s="4"/>
      <c r="Q300" s="8"/>
      <c r="R300" s="4"/>
      <c r="S300" s="8"/>
      <c r="T300" s="4"/>
      <c r="U300" s="8"/>
      <c r="V300" s="4"/>
      <c r="W300" s="8"/>
      <c r="X300" s="4"/>
      <c r="Y300" s="8"/>
      <c r="Z300" s="4"/>
      <c r="AA300" s="2"/>
      <c r="AB300" s="4"/>
      <c r="AC300" s="8"/>
      <c r="AD300" s="4"/>
    </row>
    <row r="301">
      <c r="B301" s="4"/>
      <c r="C301" s="4"/>
      <c r="D301" s="4"/>
      <c r="F301" s="4"/>
      <c r="G301" s="8"/>
      <c r="H301" s="4"/>
      <c r="I301" s="4"/>
      <c r="J301" s="4"/>
      <c r="K301" s="4"/>
      <c r="L301" s="4"/>
      <c r="M301" s="8"/>
      <c r="N301" s="4"/>
      <c r="O301" s="8"/>
      <c r="P301" s="4"/>
      <c r="Q301" s="8"/>
      <c r="R301" s="4"/>
      <c r="S301" s="8"/>
      <c r="T301" s="4"/>
      <c r="U301" s="8"/>
      <c r="V301" s="4"/>
      <c r="W301" s="8"/>
      <c r="X301" s="4"/>
      <c r="Y301" s="8"/>
      <c r="Z301" s="4"/>
      <c r="AA301" s="2"/>
      <c r="AB301" s="4"/>
      <c r="AC301" s="8"/>
      <c r="AD301" s="4"/>
    </row>
    <row r="302">
      <c r="B302" s="4"/>
      <c r="C302" s="4"/>
      <c r="D302" s="4"/>
      <c r="F302" s="4"/>
      <c r="G302" s="8"/>
      <c r="H302" s="4"/>
      <c r="I302" s="4"/>
      <c r="J302" s="4"/>
      <c r="K302" s="4"/>
      <c r="L302" s="4"/>
      <c r="M302" s="8"/>
      <c r="N302" s="4"/>
      <c r="O302" s="8"/>
      <c r="P302" s="4"/>
      <c r="Q302" s="8"/>
      <c r="R302" s="4"/>
      <c r="S302" s="8"/>
      <c r="T302" s="4"/>
      <c r="U302" s="8"/>
      <c r="V302" s="4"/>
      <c r="W302" s="8"/>
      <c r="X302" s="4"/>
      <c r="Y302" s="8"/>
      <c r="Z302" s="4"/>
      <c r="AA302" s="2"/>
      <c r="AB302" s="4"/>
      <c r="AC302" s="8"/>
      <c r="AD302" s="4"/>
    </row>
    <row r="303">
      <c r="B303" s="4"/>
      <c r="C303" s="4"/>
      <c r="D303" s="4"/>
      <c r="F303" s="4"/>
      <c r="G303" s="8"/>
      <c r="H303" s="4"/>
      <c r="I303" s="4"/>
      <c r="J303" s="4"/>
      <c r="K303" s="4"/>
      <c r="L303" s="4"/>
      <c r="M303" s="8"/>
      <c r="N303" s="4"/>
      <c r="O303" s="8"/>
      <c r="P303" s="4"/>
      <c r="Q303" s="8"/>
      <c r="R303" s="4"/>
      <c r="S303" s="8"/>
      <c r="T303" s="4"/>
      <c r="U303" s="8"/>
      <c r="V303" s="4"/>
      <c r="W303" s="8"/>
      <c r="X303" s="4"/>
      <c r="Y303" s="8"/>
      <c r="Z303" s="4"/>
      <c r="AA303" s="2"/>
      <c r="AB303" s="4"/>
      <c r="AC303" s="8"/>
      <c r="AD303" s="4"/>
    </row>
    <row r="304">
      <c r="B304" s="4"/>
      <c r="C304" s="4"/>
      <c r="D304" s="4"/>
      <c r="F304" s="4"/>
      <c r="G304" s="8"/>
      <c r="H304" s="4"/>
      <c r="I304" s="4"/>
      <c r="J304" s="4"/>
      <c r="K304" s="4"/>
      <c r="L304" s="4"/>
      <c r="M304" s="8"/>
      <c r="N304" s="4"/>
      <c r="O304" s="8"/>
      <c r="P304" s="4"/>
      <c r="Q304" s="8"/>
      <c r="R304" s="4"/>
      <c r="S304" s="8"/>
      <c r="T304" s="4"/>
      <c r="U304" s="8"/>
      <c r="V304" s="4"/>
      <c r="W304" s="8"/>
      <c r="X304" s="4"/>
      <c r="Y304" s="8"/>
      <c r="Z304" s="4"/>
      <c r="AA304" s="2"/>
      <c r="AB304" s="4"/>
      <c r="AC304" s="8"/>
      <c r="AD304" s="4"/>
    </row>
    <row r="305">
      <c r="B305" s="4"/>
      <c r="C305" s="4"/>
      <c r="D305" s="4"/>
      <c r="F305" s="4"/>
      <c r="G305" s="8"/>
      <c r="H305" s="4"/>
      <c r="I305" s="4"/>
      <c r="J305" s="4"/>
      <c r="K305" s="4"/>
      <c r="L305" s="4"/>
      <c r="M305" s="8"/>
      <c r="N305" s="4"/>
      <c r="O305" s="8"/>
      <c r="P305" s="4"/>
      <c r="Q305" s="8"/>
      <c r="R305" s="4"/>
      <c r="S305" s="8"/>
      <c r="T305" s="4"/>
      <c r="U305" s="8"/>
      <c r="V305" s="4"/>
      <c r="W305" s="8"/>
      <c r="X305" s="4"/>
      <c r="Y305" s="8"/>
      <c r="Z305" s="4"/>
      <c r="AA305" s="2"/>
      <c r="AB305" s="4"/>
      <c r="AC305" s="8"/>
      <c r="AD305" s="4"/>
    </row>
    <row r="306">
      <c r="B306" s="4"/>
      <c r="C306" s="4"/>
      <c r="D306" s="4"/>
      <c r="F306" s="4"/>
      <c r="G306" s="8"/>
      <c r="H306" s="4"/>
      <c r="I306" s="4"/>
      <c r="J306" s="4"/>
      <c r="K306" s="4"/>
      <c r="L306" s="4"/>
      <c r="M306" s="8"/>
      <c r="N306" s="4"/>
      <c r="O306" s="8"/>
      <c r="P306" s="4"/>
      <c r="Q306" s="8"/>
      <c r="R306" s="4"/>
      <c r="S306" s="8"/>
      <c r="T306" s="4"/>
      <c r="U306" s="8"/>
      <c r="V306" s="4"/>
      <c r="W306" s="8"/>
      <c r="X306" s="4"/>
      <c r="Y306" s="8"/>
      <c r="Z306" s="4"/>
      <c r="AA306" s="2"/>
      <c r="AB306" s="4"/>
      <c r="AC306" s="8"/>
      <c r="AD306" s="4"/>
    </row>
    <row r="307">
      <c r="B307" s="4"/>
      <c r="C307" s="4"/>
      <c r="D307" s="4"/>
      <c r="F307" s="4"/>
      <c r="G307" s="8"/>
      <c r="H307" s="4"/>
      <c r="I307" s="4"/>
      <c r="J307" s="4"/>
      <c r="K307" s="4"/>
      <c r="L307" s="4"/>
      <c r="M307" s="8"/>
      <c r="N307" s="4"/>
      <c r="O307" s="8"/>
      <c r="P307" s="4"/>
      <c r="Q307" s="8"/>
      <c r="R307" s="4"/>
      <c r="S307" s="8"/>
      <c r="T307" s="4"/>
      <c r="U307" s="8"/>
      <c r="V307" s="4"/>
      <c r="W307" s="8"/>
      <c r="X307" s="4"/>
      <c r="Y307" s="8"/>
      <c r="Z307" s="4"/>
      <c r="AA307" s="2"/>
      <c r="AB307" s="4"/>
      <c r="AC307" s="8"/>
      <c r="AD307" s="4"/>
    </row>
    <row r="308">
      <c r="B308" s="4"/>
      <c r="C308" s="4"/>
      <c r="D308" s="4"/>
      <c r="F308" s="4"/>
      <c r="G308" s="8"/>
      <c r="H308" s="4"/>
      <c r="I308" s="4"/>
      <c r="J308" s="4"/>
      <c r="K308" s="4"/>
      <c r="L308" s="4"/>
      <c r="M308" s="8"/>
      <c r="N308" s="4"/>
      <c r="O308" s="8"/>
      <c r="P308" s="4"/>
      <c r="Q308" s="8"/>
      <c r="R308" s="4"/>
      <c r="S308" s="8"/>
      <c r="T308" s="4"/>
      <c r="U308" s="8"/>
      <c r="V308" s="4"/>
      <c r="W308" s="8"/>
      <c r="X308" s="4"/>
      <c r="Y308" s="8"/>
      <c r="Z308" s="4"/>
      <c r="AA308" s="2"/>
      <c r="AB308" s="4"/>
      <c r="AC308" s="8"/>
      <c r="AD308" s="4"/>
    </row>
    <row r="309">
      <c r="B309" s="4"/>
      <c r="C309" s="4"/>
      <c r="D309" s="4"/>
      <c r="F309" s="4"/>
      <c r="G309" s="8"/>
      <c r="H309" s="4"/>
      <c r="I309" s="4"/>
      <c r="J309" s="4"/>
      <c r="K309" s="4"/>
      <c r="L309" s="4"/>
      <c r="M309" s="8"/>
      <c r="N309" s="4"/>
      <c r="O309" s="8"/>
      <c r="P309" s="4"/>
      <c r="Q309" s="8"/>
      <c r="R309" s="4"/>
      <c r="S309" s="8"/>
      <c r="T309" s="4"/>
      <c r="U309" s="8"/>
      <c r="V309" s="4"/>
      <c r="W309" s="8"/>
      <c r="X309" s="4"/>
      <c r="Y309" s="8"/>
      <c r="Z309" s="4"/>
      <c r="AA309" s="2"/>
      <c r="AB309" s="4"/>
      <c r="AC309" s="8"/>
      <c r="AD309" s="4"/>
    </row>
    <row r="310">
      <c r="B310" s="4"/>
      <c r="C310" s="4"/>
      <c r="D310" s="4"/>
      <c r="F310" s="4"/>
      <c r="G310" s="8"/>
      <c r="H310" s="4"/>
      <c r="I310" s="4"/>
      <c r="J310" s="4"/>
      <c r="K310" s="4"/>
      <c r="L310" s="4"/>
      <c r="M310" s="8"/>
      <c r="N310" s="4"/>
      <c r="O310" s="8"/>
      <c r="P310" s="4"/>
      <c r="Q310" s="8"/>
      <c r="R310" s="4"/>
      <c r="S310" s="8"/>
      <c r="T310" s="4"/>
      <c r="U310" s="8"/>
      <c r="V310" s="4"/>
      <c r="W310" s="8"/>
      <c r="X310" s="4"/>
      <c r="Y310" s="8"/>
      <c r="Z310" s="4"/>
      <c r="AA310" s="2"/>
      <c r="AB310" s="4"/>
      <c r="AC310" s="8"/>
      <c r="AD310" s="4"/>
    </row>
    <row r="311">
      <c r="B311" s="4"/>
      <c r="C311" s="4"/>
      <c r="D311" s="4"/>
      <c r="F311" s="4"/>
      <c r="G311" s="8"/>
      <c r="H311" s="4"/>
      <c r="I311" s="4"/>
      <c r="J311" s="4"/>
      <c r="K311" s="4"/>
      <c r="L311" s="4"/>
      <c r="M311" s="8"/>
      <c r="N311" s="4"/>
      <c r="O311" s="8"/>
      <c r="P311" s="4"/>
      <c r="Q311" s="8"/>
      <c r="R311" s="4"/>
      <c r="S311" s="8"/>
      <c r="T311" s="4"/>
      <c r="U311" s="8"/>
      <c r="V311" s="4"/>
      <c r="W311" s="8"/>
      <c r="X311" s="4"/>
      <c r="Y311" s="8"/>
      <c r="Z311" s="4"/>
      <c r="AA311" s="2"/>
      <c r="AB311" s="4"/>
      <c r="AC311" s="8"/>
      <c r="AD311" s="4"/>
    </row>
    <row r="312">
      <c r="B312" s="4"/>
      <c r="C312" s="4"/>
      <c r="D312" s="4"/>
      <c r="F312" s="4"/>
      <c r="G312" s="8"/>
      <c r="H312" s="4"/>
      <c r="I312" s="4"/>
      <c r="J312" s="4"/>
      <c r="K312" s="4"/>
      <c r="L312" s="4"/>
      <c r="M312" s="8"/>
      <c r="N312" s="4"/>
      <c r="O312" s="8"/>
      <c r="P312" s="4"/>
      <c r="Q312" s="8"/>
      <c r="R312" s="4"/>
      <c r="S312" s="8"/>
      <c r="T312" s="4"/>
      <c r="U312" s="8"/>
      <c r="V312" s="4"/>
      <c r="W312" s="8"/>
      <c r="X312" s="4"/>
      <c r="Y312" s="8"/>
      <c r="Z312" s="4"/>
      <c r="AA312" s="2"/>
      <c r="AB312" s="4"/>
      <c r="AC312" s="8"/>
      <c r="AD312" s="4"/>
    </row>
    <row r="313">
      <c r="B313" s="4"/>
      <c r="C313" s="4"/>
      <c r="D313" s="4"/>
      <c r="F313" s="4"/>
      <c r="G313" s="8"/>
      <c r="H313" s="4"/>
      <c r="I313" s="4"/>
      <c r="J313" s="4"/>
      <c r="K313" s="4"/>
      <c r="L313" s="4"/>
      <c r="M313" s="8"/>
      <c r="N313" s="4"/>
      <c r="O313" s="8"/>
      <c r="P313" s="4"/>
      <c r="Q313" s="8"/>
      <c r="R313" s="4"/>
      <c r="S313" s="8"/>
      <c r="T313" s="4"/>
      <c r="U313" s="8"/>
      <c r="V313" s="4"/>
      <c r="W313" s="8"/>
      <c r="X313" s="4"/>
      <c r="Y313" s="8"/>
      <c r="Z313" s="4"/>
      <c r="AA313" s="2"/>
      <c r="AB313" s="4"/>
      <c r="AC313" s="8"/>
      <c r="AD313" s="4"/>
    </row>
    <row r="314">
      <c r="B314" s="4"/>
      <c r="C314" s="4"/>
      <c r="D314" s="4"/>
      <c r="F314" s="4"/>
      <c r="G314" s="8"/>
      <c r="H314" s="4"/>
      <c r="I314" s="4"/>
      <c r="J314" s="4"/>
      <c r="K314" s="4"/>
      <c r="L314" s="4"/>
      <c r="M314" s="8"/>
      <c r="N314" s="4"/>
      <c r="O314" s="8"/>
      <c r="P314" s="4"/>
      <c r="Q314" s="8"/>
      <c r="R314" s="4"/>
      <c r="S314" s="8"/>
      <c r="T314" s="4"/>
      <c r="U314" s="8"/>
      <c r="V314" s="4"/>
      <c r="W314" s="8"/>
      <c r="X314" s="4"/>
      <c r="Y314" s="8"/>
      <c r="Z314" s="4"/>
      <c r="AA314" s="2"/>
      <c r="AB314" s="4"/>
      <c r="AC314" s="8"/>
      <c r="AD314" s="4"/>
    </row>
    <row r="315">
      <c r="B315" s="4"/>
      <c r="C315" s="4"/>
      <c r="D315" s="4"/>
      <c r="F315" s="4"/>
      <c r="G315" s="8"/>
      <c r="H315" s="4"/>
      <c r="I315" s="4"/>
      <c r="J315" s="4"/>
      <c r="K315" s="4"/>
      <c r="L315" s="4"/>
      <c r="M315" s="8"/>
      <c r="N315" s="4"/>
      <c r="O315" s="8"/>
      <c r="P315" s="4"/>
      <c r="Q315" s="8"/>
      <c r="R315" s="4"/>
      <c r="S315" s="8"/>
      <c r="T315" s="4"/>
      <c r="U315" s="8"/>
      <c r="V315" s="4"/>
      <c r="W315" s="8"/>
      <c r="X315" s="4"/>
      <c r="Y315" s="8"/>
      <c r="Z315" s="4"/>
      <c r="AA315" s="2"/>
      <c r="AB315" s="4"/>
      <c r="AC315" s="8"/>
      <c r="AD315" s="4"/>
    </row>
    <row r="316">
      <c r="B316" s="4"/>
      <c r="C316" s="4"/>
      <c r="D316" s="4"/>
      <c r="F316" s="4"/>
      <c r="G316" s="8"/>
      <c r="H316" s="4"/>
      <c r="I316" s="4"/>
      <c r="J316" s="4"/>
      <c r="K316" s="4"/>
      <c r="L316" s="4"/>
      <c r="M316" s="8"/>
      <c r="N316" s="4"/>
      <c r="O316" s="8"/>
      <c r="P316" s="4"/>
      <c r="Q316" s="8"/>
      <c r="R316" s="4"/>
      <c r="S316" s="8"/>
      <c r="T316" s="4"/>
      <c r="U316" s="8"/>
      <c r="V316" s="4"/>
      <c r="W316" s="8"/>
      <c r="X316" s="4"/>
      <c r="Y316" s="8"/>
      <c r="Z316" s="4"/>
      <c r="AA316" s="2"/>
      <c r="AB316" s="4"/>
      <c r="AC316" s="8"/>
      <c r="AD316" s="4"/>
    </row>
    <row r="317">
      <c r="B317" s="4"/>
      <c r="C317" s="4"/>
      <c r="D317" s="4"/>
      <c r="F317" s="4"/>
      <c r="G317" s="8"/>
      <c r="H317" s="4"/>
      <c r="I317" s="4"/>
      <c r="J317" s="4"/>
      <c r="K317" s="4"/>
      <c r="L317" s="4"/>
      <c r="M317" s="8"/>
      <c r="N317" s="4"/>
      <c r="O317" s="8"/>
      <c r="P317" s="4"/>
      <c r="Q317" s="8"/>
      <c r="R317" s="4"/>
      <c r="S317" s="8"/>
      <c r="T317" s="4"/>
      <c r="U317" s="8"/>
      <c r="V317" s="4"/>
      <c r="W317" s="8"/>
      <c r="X317" s="4"/>
      <c r="Y317" s="8"/>
      <c r="Z317" s="4"/>
      <c r="AA317" s="2"/>
      <c r="AB317" s="4"/>
      <c r="AC317" s="8"/>
      <c r="AD317" s="4"/>
    </row>
    <row r="318">
      <c r="B318" s="4"/>
      <c r="C318" s="4"/>
      <c r="D318" s="4"/>
      <c r="F318" s="4"/>
      <c r="G318" s="8"/>
      <c r="H318" s="4"/>
      <c r="I318" s="4"/>
      <c r="J318" s="4"/>
      <c r="K318" s="4"/>
      <c r="L318" s="4"/>
      <c r="M318" s="8"/>
      <c r="N318" s="4"/>
      <c r="O318" s="8"/>
      <c r="P318" s="4"/>
      <c r="Q318" s="8"/>
      <c r="R318" s="4"/>
      <c r="S318" s="8"/>
      <c r="T318" s="4"/>
      <c r="U318" s="8"/>
      <c r="V318" s="4"/>
      <c r="W318" s="8"/>
      <c r="X318" s="4"/>
      <c r="Y318" s="8"/>
      <c r="Z318" s="4"/>
      <c r="AA318" s="2"/>
      <c r="AB318" s="4"/>
      <c r="AC318" s="8"/>
      <c r="AD318" s="4"/>
    </row>
    <row r="319">
      <c r="B319" s="4"/>
      <c r="C319" s="4"/>
      <c r="D319" s="4"/>
      <c r="F319" s="4"/>
      <c r="G319" s="8"/>
      <c r="H319" s="4"/>
      <c r="I319" s="4"/>
      <c r="J319" s="4"/>
      <c r="K319" s="4"/>
      <c r="L319" s="4"/>
      <c r="M319" s="8"/>
      <c r="N319" s="4"/>
      <c r="O319" s="8"/>
      <c r="P319" s="4"/>
      <c r="Q319" s="8"/>
      <c r="R319" s="4"/>
      <c r="S319" s="8"/>
      <c r="T319" s="4"/>
      <c r="U319" s="8"/>
      <c r="V319" s="4"/>
      <c r="W319" s="8"/>
      <c r="X319" s="4"/>
      <c r="Y319" s="8"/>
      <c r="Z319" s="4"/>
      <c r="AA319" s="2"/>
      <c r="AB319" s="4"/>
      <c r="AC319" s="8"/>
      <c r="AD319" s="4"/>
    </row>
    <row r="320">
      <c r="B320" s="4"/>
      <c r="C320" s="4"/>
      <c r="D320" s="4"/>
      <c r="F320" s="4"/>
      <c r="G320" s="8"/>
      <c r="H320" s="4"/>
      <c r="I320" s="4"/>
      <c r="J320" s="4"/>
      <c r="K320" s="4"/>
      <c r="L320" s="4"/>
      <c r="M320" s="8"/>
      <c r="N320" s="4"/>
      <c r="O320" s="8"/>
      <c r="P320" s="4"/>
      <c r="Q320" s="8"/>
      <c r="R320" s="4"/>
      <c r="S320" s="8"/>
      <c r="T320" s="4"/>
      <c r="U320" s="8"/>
      <c r="V320" s="4"/>
      <c r="W320" s="8"/>
      <c r="X320" s="4"/>
      <c r="Y320" s="8"/>
      <c r="Z320" s="4"/>
      <c r="AA320" s="2"/>
      <c r="AB320" s="4"/>
      <c r="AC320" s="8"/>
      <c r="AD320" s="4"/>
    </row>
    <row r="321">
      <c r="B321" s="4"/>
      <c r="C321" s="4"/>
      <c r="D321" s="4"/>
      <c r="F321" s="4"/>
      <c r="G321" s="8"/>
      <c r="H321" s="4"/>
      <c r="I321" s="4"/>
      <c r="J321" s="4"/>
      <c r="K321" s="4"/>
      <c r="L321" s="4"/>
      <c r="M321" s="8"/>
      <c r="N321" s="4"/>
      <c r="O321" s="8"/>
      <c r="P321" s="4"/>
      <c r="Q321" s="8"/>
      <c r="R321" s="4"/>
      <c r="S321" s="8"/>
      <c r="T321" s="4"/>
      <c r="U321" s="8"/>
      <c r="V321" s="4"/>
      <c r="W321" s="8"/>
      <c r="X321" s="4"/>
      <c r="Y321" s="8"/>
      <c r="Z321" s="4"/>
      <c r="AA321" s="2"/>
      <c r="AB321" s="4"/>
      <c r="AC321" s="8"/>
      <c r="AD321" s="4"/>
    </row>
    <row r="322">
      <c r="B322" s="4"/>
      <c r="C322" s="4"/>
      <c r="D322" s="4"/>
      <c r="F322" s="4"/>
      <c r="G322" s="8"/>
      <c r="H322" s="4"/>
      <c r="I322" s="4"/>
      <c r="J322" s="4"/>
      <c r="K322" s="4"/>
      <c r="L322" s="4"/>
      <c r="M322" s="8"/>
      <c r="N322" s="4"/>
      <c r="O322" s="8"/>
      <c r="P322" s="4"/>
      <c r="Q322" s="8"/>
      <c r="R322" s="4"/>
      <c r="S322" s="8"/>
      <c r="T322" s="4"/>
      <c r="U322" s="8"/>
      <c r="V322" s="4"/>
      <c r="W322" s="8"/>
      <c r="X322" s="4"/>
      <c r="Y322" s="8"/>
      <c r="Z322" s="4"/>
      <c r="AA322" s="2"/>
      <c r="AB322" s="4"/>
      <c r="AC322" s="8"/>
      <c r="AD322" s="4"/>
    </row>
    <row r="323">
      <c r="B323" s="4"/>
      <c r="C323" s="4"/>
      <c r="D323" s="4"/>
      <c r="F323" s="4"/>
      <c r="G323" s="8"/>
      <c r="H323" s="4"/>
      <c r="I323" s="4"/>
      <c r="J323" s="4"/>
      <c r="K323" s="4"/>
      <c r="L323" s="4"/>
      <c r="M323" s="8"/>
      <c r="N323" s="4"/>
      <c r="O323" s="8"/>
      <c r="P323" s="4"/>
      <c r="Q323" s="8"/>
      <c r="R323" s="4"/>
      <c r="S323" s="8"/>
      <c r="T323" s="4"/>
      <c r="U323" s="8"/>
      <c r="V323" s="4"/>
      <c r="W323" s="8"/>
      <c r="X323" s="4"/>
      <c r="Y323" s="8"/>
      <c r="Z323" s="4"/>
      <c r="AA323" s="2"/>
      <c r="AB323" s="4"/>
      <c r="AC323" s="8"/>
      <c r="AD323" s="4"/>
    </row>
    <row r="324">
      <c r="B324" s="4"/>
      <c r="C324" s="4"/>
      <c r="D324" s="4"/>
      <c r="F324" s="4"/>
      <c r="G324" s="8"/>
      <c r="H324" s="4"/>
      <c r="I324" s="4"/>
      <c r="J324" s="4"/>
      <c r="K324" s="4"/>
      <c r="L324" s="4"/>
      <c r="M324" s="8"/>
      <c r="N324" s="4"/>
      <c r="O324" s="8"/>
      <c r="P324" s="4"/>
      <c r="Q324" s="8"/>
      <c r="R324" s="4"/>
      <c r="S324" s="8"/>
      <c r="T324" s="4"/>
      <c r="U324" s="8"/>
      <c r="V324" s="4"/>
      <c r="W324" s="8"/>
      <c r="X324" s="4"/>
      <c r="Y324" s="8"/>
      <c r="Z324" s="4"/>
      <c r="AA324" s="2"/>
      <c r="AB324" s="4"/>
      <c r="AC324" s="8"/>
      <c r="AD324" s="4"/>
    </row>
    <row r="325">
      <c r="B325" s="4"/>
      <c r="C325" s="4"/>
      <c r="D325" s="4"/>
      <c r="F325" s="4"/>
      <c r="G325" s="8"/>
      <c r="H325" s="4"/>
      <c r="I325" s="4"/>
      <c r="J325" s="4"/>
      <c r="K325" s="4"/>
      <c r="L325" s="4"/>
      <c r="M325" s="8"/>
      <c r="N325" s="4"/>
      <c r="O325" s="8"/>
      <c r="P325" s="4"/>
      <c r="Q325" s="8"/>
      <c r="R325" s="4"/>
      <c r="S325" s="8"/>
      <c r="T325" s="4"/>
      <c r="U325" s="8"/>
      <c r="V325" s="4"/>
      <c r="W325" s="8"/>
      <c r="X325" s="4"/>
      <c r="Y325" s="8"/>
      <c r="Z325" s="4"/>
      <c r="AA325" s="2"/>
      <c r="AB325" s="4"/>
      <c r="AC325" s="8"/>
      <c r="AD325" s="4"/>
    </row>
    <row r="326">
      <c r="B326" s="4"/>
      <c r="C326" s="4"/>
      <c r="D326" s="4"/>
      <c r="F326" s="4"/>
      <c r="G326" s="8"/>
      <c r="H326" s="4"/>
      <c r="I326" s="4"/>
      <c r="J326" s="4"/>
      <c r="K326" s="4"/>
      <c r="L326" s="4"/>
      <c r="M326" s="8"/>
      <c r="N326" s="4"/>
      <c r="O326" s="8"/>
      <c r="P326" s="4"/>
      <c r="Q326" s="8"/>
      <c r="R326" s="4"/>
      <c r="S326" s="8"/>
      <c r="T326" s="4"/>
      <c r="U326" s="8"/>
      <c r="V326" s="4"/>
      <c r="W326" s="8"/>
      <c r="X326" s="4"/>
      <c r="Y326" s="8"/>
      <c r="Z326" s="4"/>
      <c r="AA326" s="2"/>
      <c r="AB326" s="4"/>
      <c r="AC326" s="8"/>
      <c r="AD326" s="4"/>
    </row>
    <row r="327">
      <c r="B327" s="4"/>
      <c r="C327" s="4"/>
      <c r="D327" s="4"/>
      <c r="F327" s="4"/>
      <c r="G327" s="8"/>
      <c r="H327" s="4"/>
      <c r="I327" s="4"/>
      <c r="J327" s="4"/>
      <c r="K327" s="4"/>
      <c r="L327" s="4"/>
      <c r="M327" s="8"/>
      <c r="N327" s="4"/>
      <c r="O327" s="8"/>
      <c r="P327" s="4"/>
      <c r="Q327" s="8"/>
      <c r="R327" s="4"/>
      <c r="S327" s="8"/>
      <c r="T327" s="4"/>
      <c r="U327" s="8"/>
      <c r="V327" s="4"/>
      <c r="W327" s="8"/>
      <c r="X327" s="4"/>
      <c r="Y327" s="8"/>
      <c r="Z327" s="4"/>
      <c r="AA327" s="2"/>
      <c r="AB327" s="4"/>
      <c r="AC327" s="8"/>
      <c r="AD327" s="4"/>
    </row>
    <row r="328">
      <c r="B328" s="4"/>
      <c r="C328" s="4"/>
      <c r="D328" s="4"/>
      <c r="F328" s="4"/>
      <c r="G328" s="8"/>
      <c r="H328" s="4"/>
      <c r="I328" s="4"/>
      <c r="J328" s="4"/>
      <c r="K328" s="4"/>
      <c r="L328" s="4"/>
      <c r="M328" s="8"/>
      <c r="N328" s="4"/>
      <c r="O328" s="8"/>
      <c r="P328" s="4"/>
      <c r="Q328" s="8"/>
      <c r="R328" s="4"/>
      <c r="S328" s="8"/>
      <c r="T328" s="4"/>
      <c r="U328" s="8"/>
      <c r="V328" s="4"/>
      <c r="W328" s="8"/>
      <c r="X328" s="4"/>
      <c r="Y328" s="8"/>
      <c r="Z328" s="4"/>
      <c r="AA328" s="2"/>
      <c r="AB328" s="4"/>
      <c r="AC328" s="8"/>
      <c r="AD328" s="4"/>
    </row>
    <row r="329">
      <c r="B329" s="4"/>
      <c r="C329" s="4"/>
      <c r="D329" s="4"/>
      <c r="F329" s="4"/>
      <c r="G329" s="8"/>
      <c r="H329" s="4"/>
      <c r="I329" s="4"/>
      <c r="J329" s="4"/>
      <c r="K329" s="4"/>
      <c r="L329" s="4"/>
      <c r="M329" s="8"/>
      <c r="N329" s="4"/>
      <c r="O329" s="8"/>
      <c r="P329" s="4"/>
      <c r="Q329" s="8"/>
      <c r="R329" s="4"/>
      <c r="S329" s="8"/>
      <c r="T329" s="4"/>
      <c r="U329" s="8"/>
      <c r="V329" s="4"/>
      <c r="W329" s="8"/>
      <c r="X329" s="4"/>
      <c r="Y329" s="8"/>
      <c r="Z329" s="4"/>
      <c r="AA329" s="2"/>
      <c r="AB329" s="4"/>
      <c r="AC329" s="8"/>
      <c r="AD329" s="4"/>
    </row>
    <row r="330">
      <c r="B330" s="4"/>
      <c r="C330" s="4"/>
      <c r="D330" s="4"/>
      <c r="F330" s="4"/>
      <c r="G330" s="8"/>
      <c r="H330" s="4"/>
      <c r="I330" s="4"/>
      <c r="J330" s="4"/>
      <c r="K330" s="4"/>
      <c r="L330" s="4"/>
      <c r="M330" s="8"/>
      <c r="N330" s="4"/>
      <c r="O330" s="8"/>
      <c r="P330" s="4"/>
      <c r="Q330" s="8"/>
      <c r="R330" s="4"/>
      <c r="S330" s="8"/>
      <c r="T330" s="4"/>
      <c r="U330" s="8"/>
      <c r="V330" s="4"/>
      <c r="W330" s="8"/>
      <c r="X330" s="4"/>
      <c r="Y330" s="8"/>
      <c r="Z330" s="4"/>
      <c r="AA330" s="2"/>
      <c r="AB330" s="4"/>
      <c r="AC330" s="8"/>
      <c r="AD330" s="4"/>
    </row>
    <row r="331">
      <c r="B331" s="4"/>
      <c r="C331" s="4"/>
      <c r="D331" s="4"/>
      <c r="F331" s="4"/>
      <c r="G331" s="8"/>
      <c r="H331" s="4"/>
      <c r="I331" s="4"/>
      <c r="J331" s="4"/>
      <c r="K331" s="4"/>
      <c r="L331" s="4"/>
      <c r="M331" s="8"/>
      <c r="N331" s="4"/>
      <c r="O331" s="8"/>
      <c r="P331" s="4"/>
      <c r="Q331" s="8"/>
      <c r="R331" s="4"/>
      <c r="S331" s="8"/>
      <c r="T331" s="4"/>
      <c r="U331" s="8"/>
      <c r="V331" s="4"/>
      <c r="W331" s="8"/>
      <c r="X331" s="4"/>
      <c r="Y331" s="8"/>
      <c r="Z331" s="4"/>
      <c r="AA331" s="2"/>
      <c r="AB331" s="4"/>
      <c r="AC331" s="8"/>
      <c r="AD331" s="4"/>
    </row>
    <row r="332">
      <c r="B332" s="4"/>
      <c r="C332" s="4"/>
      <c r="D332" s="4"/>
      <c r="F332" s="4"/>
      <c r="G332" s="8"/>
      <c r="H332" s="4"/>
      <c r="I332" s="4"/>
      <c r="J332" s="4"/>
      <c r="K332" s="4"/>
      <c r="L332" s="4"/>
      <c r="M332" s="8"/>
      <c r="N332" s="4"/>
      <c r="O332" s="8"/>
      <c r="P332" s="4"/>
      <c r="Q332" s="8"/>
      <c r="R332" s="4"/>
      <c r="S332" s="8"/>
      <c r="T332" s="4"/>
      <c r="U332" s="8"/>
      <c r="V332" s="4"/>
      <c r="W332" s="8"/>
      <c r="X332" s="4"/>
      <c r="Y332" s="8"/>
      <c r="Z332" s="4"/>
      <c r="AA332" s="2"/>
      <c r="AB332" s="4"/>
      <c r="AC332" s="8"/>
      <c r="AD332" s="4"/>
    </row>
    <row r="333">
      <c r="B333" s="4"/>
      <c r="C333" s="4"/>
      <c r="D333" s="4"/>
      <c r="F333" s="4"/>
      <c r="G333" s="8"/>
      <c r="H333" s="4"/>
      <c r="I333" s="4"/>
      <c r="J333" s="4"/>
      <c r="K333" s="4"/>
      <c r="L333" s="4"/>
      <c r="M333" s="8"/>
      <c r="N333" s="4"/>
      <c r="O333" s="8"/>
      <c r="P333" s="4"/>
      <c r="Q333" s="8"/>
      <c r="R333" s="4"/>
      <c r="S333" s="8"/>
      <c r="T333" s="4"/>
      <c r="U333" s="8"/>
      <c r="V333" s="4"/>
      <c r="W333" s="8"/>
      <c r="X333" s="4"/>
      <c r="Y333" s="8"/>
      <c r="Z333" s="4"/>
      <c r="AA333" s="2"/>
      <c r="AB333" s="4"/>
      <c r="AC333" s="8"/>
      <c r="AD333" s="4"/>
    </row>
    <row r="334">
      <c r="B334" s="4"/>
      <c r="C334" s="4"/>
      <c r="D334" s="4"/>
      <c r="F334" s="4"/>
      <c r="G334" s="8"/>
      <c r="H334" s="4"/>
      <c r="I334" s="4"/>
      <c r="J334" s="4"/>
      <c r="K334" s="4"/>
      <c r="L334" s="4"/>
      <c r="M334" s="8"/>
      <c r="N334" s="4"/>
      <c r="O334" s="8"/>
      <c r="P334" s="4"/>
      <c r="Q334" s="8"/>
      <c r="R334" s="4"/>
      <c r="S334" s="8"/>
      <c r="T334" s="4"/>
      <c r="U334" s="8"/>
      <c r="V334" s="4"/>
      <c r="W334" s="8"/>
      <c r="X334" s="4"/>
      <c r="Y334" s="8"/>
      <c r="Z334" s="4"/>
      <c r="AA334" s="2"/>
      <c r="AB334" s="4"/>
      <c r="AC334" s="8"/>
      <c r="AD334" s="4"/>
    </row>
    <row r="335">
      <c r="B335" s="4"/>
      <c r="C335" s="4"/>
      <c r="D335" s="4"/>
      <c r="F335" s="4"/>
      <c r="G335" s="8"/>
      <c r="H335" s="4"/>
      <c r="I335" s="4"/>
      <c r="J335" s="4"/>
      <c r="K335" s="4"/>
      <c r="L335" s="4"/>
      <c r="M335" s="8"/>
      <c r="N335" s="4"/>
      <c r="O335" s="8"/>
      <c r="P335" s="4"/>
      <c r="Q335" s="8"/>
      <c r="R335" s="4"/>
      <c r="S335" s="8"/>
      <c r="T335" s="4"/>
      <c r="U335" s="8"/>
      <c r="V335" s="4"/>
      <c r="W335" s="8"/>
      <c r="X335" s="4"/>
      <c r="Y335" s="8"/>
      <c r="Z335" s="4"/>
      <c r="AA335" s="2"/>
      <c r="AB335" s="4"/>
      <c r="AC335" s="8"/>
      <c r="AD335" s="4"/>
    </row>
    <row r="336">
      <c r="B336" s="4"/>
      <c r="C336" s="4"/>
      <c r="D336" s="4"/>
      <c r="F336" s="4"/>
      <c r="G336" s="8"/>
      <c r="H336" s="4"/>
      <c r="I336" s="4"/>
      <c r="J336" s="4"/>
      <c r="K336" s="4"/>
      <c r="L336" s="4"/>
      <c r="M336" s="8"/>
      <c r="N336" s="4"/>
      <c r="O336" s="8"/>
      <c r="P336" s="4"/>
      <c r="Q336" s="8"/>
      <c r="R336" s="4"/>
      <c r="S336" s="8"/>
      <c r="T336" s="4"/>
      <c r="U336" s="8"/>
      <c r="V336" s="4"/>
      <c r="W336" s="8"/>
      <c r="X336" s="4"/>
      <c r="Y336" s="8"/>
      <c r="Z336" s="4"/>
      <c r="AA336" s="2"/>
      <c r="AB336" s="4"/>
      <c r="AC336" s="8"/>
      <c r="AD336" s="4"/>
    </row>
    <row r="337">
      <c r="B337" s="4"/>
      <c r="C337" s="4"/>
      <c r="D337" s="4"/>
      <c r="F337" s="4"/>
      <c r="G337" s="8"/>
      <c r="H337" s="4"/>
      <c r="I337" s="4"/>
      <c r="J337" s="4"/>
      <c r="K337" s="4"/>
      <c r="L337" s="4"/>
      <c r="M337" s="8"/>
      <c r="N337" s="4"/>
      <c r="O337" s="8"/>
      <c r="P337" s="4"/>
      <c r="Q337" s="8"/>
      <c r="R337" s="4"/>
      <c r="S337" s="8"/>
      <c r="T337" s="4"/>
      <c r="U337" s="8"/>
      <c r="V337" s="4"/>
      <c r="W337" s="8"/>
      <c r="X337" s="4"/>
      <c r="Y337" s="8"/>
      <c r="Z337" s="4"/>
      <c r="AA337" s="2"/>
      <c r="AB337" s="4"/>
      <c r="AC337" s="8"/>
      <c r="AD337" s="4"/>
    </row>
    <row r="338">
      <c r="B338" s="4"/>
      <c r="C338" s="4"/>
      <c r="D338" s="4"/>
      <c r="F338" s="4"/>
      <c r="G338" s="8"/>
      <c r="H338" s="4"/>
      <c r="I338" s="4"/>
      <c r="J338" s="4"/>
      <c r="K338" s="4"/>
      <c r="L338" s="4"/>
      <c r="M338" s="8"/>
      <c r="N338" s="4"/>
      <c r="O338" s="8"/>
      <c r="P338" s="4"/>
      <c r="Q338" s="8"/>
      <c r="R338" s="4"/>
      <c r="S338" s="8"/>
      <c r="T338" s="4"/>
      <c r="U338" s="8"/>
      <c r="V338" s="4"/>
      <c r="W338" s="8"/>
      <c r="X338" s="4"/>
      <c r="Y338" s="8"/>
      <c r="Z338" s="4"/>
      <c r="AA338" s="2"/>
      <c r="AB338" s="4"/>
      <c r="AC338" s="8"/>
      <c r="AD338" s="4"/>
    </row>
    <row r="339">
      <c r="B339" s="4"/>
      <c r="C339" s="4"/>
      <c r="D339" s="4"/>
      <c r="F339" s="4"/>
      <c r="G339" s="8"/>
      <c r="H339" s="4"/>
      <c r="I339" s="4"/>
      <c r="J339" s="4"/>
      <c r="K339" s="4"/>
      <c r="L339" s="4"/>
      <c r="M339" s="8"/>
      <c r="N339" s="4"/>
      <c r="O339" s="8"/>
      <c r="P339" s="4"/>
      <c r="Q339" s="8"/>
      <c r="R339" s="4"/>
      <c r="S339" s="8"/>
      <c r="T339" s="4"/>
      <c r="U339" s="8"/>
      <c r="V339" s="4"/>
      <c r="W339" s="8"/>
      <c r="X339" s="4"/>
      <c r="Y339" s="8"/>
      <c r="Z339" s="4"/>
      <c r="AA339" s="2"/>
      <c r="AB339" s="4"/>
      <c r="AC339" s="8"/>
      <c r="AD339" s="4"/>
    </row>
    <row r="340">
      <c r="B340" s="4"/>
      <c r="C340" s="4"/>
      <c r="D340" s="4"/>
      <c r="F340" s="4"/>
      <c r="G340" s="8"/>
      <c r="H340" s="4"/>
      <c r="I340" s="4"/>
      <c r="J340" s="4"/>
      <c r="K340" s="4"/>
      <c r="L340" s="4"/>
      <c r="M340" s="8"/>
      <c r="N340" s="4"/>
      <c r="O340" s="8"/>
      <c r="P340" s="4"/>
      <c r="Q340" s="8"/>
      <c r="R340" s="4"/>
      <c r="S340" s="8"/>
      <c r="T340" s="4"/>
      <c r="U340" s="8"/>
      <c r="V340" s="4"/>
      <c r="W340" s="8"/>
      <c r="X340" s="4"/>
      <c r="Y340" s="8"/>
      <c r="Z340" s="4"/>
      <c r="AA340" s="2"/>
      <c r="AB340" s="4"/>
      <c r="AC340" s="8"/>
      <c r="AD340" s="4"/>
    </row>
    <row r="341">
      <c r="B341" s="4"/>
      <c r="C341" s="4"/>
      <c r="D341" s="4"/>
      <c r="F341" s="4"/>
      <c r="G341" s="8"/>
      <c r="H341" s="4"/>
      <c r="I341" s="4"/>
      <c r="J341" s="4"/>
      <c r="K341" s="4"/>
      <c r="L341" s="4"/>
      <c r="M341" s="8"/>
      <c r="N341" s="4"/>
      <c r="O341" s="8"/>
      <c r="P341" s="4"/>
      <c r="Q341" s="8"/>
      <c r="R341" s="4"/>
      <c r="S341" s="8"/>
      <c r="T341" s="4"/>
      <c r="U341" s="8"/>
      <c r="V341" s="4"/>
      <c r="W341" s="8"/>
      <c r="X341" s="4"/>
      <c r="Y341" s="8"/>
      <c r="Z341" s="4"/>
      <c r="AA341" s="2"/>
      <c r="AB341" s="4"/>
      <c r="AC341" s="8"/>
      <c r="AD341" s="4"/>
    </row>
    <row r="342">
      <c r="B342" s="4"/>
      <c r="C342" s="4"/>
      <c r="D342" s="4"/>
      <c r="F342" s="4"/>
      <c r="G342" s="8"/>
      <c r="H342" s="4"/>
      <c r="I342" s="4"/>
      <c r="J342" s="4"/>
      <c r="K342" s="4"/>
      <c r="L342" s="4"/>
      <c r="M342" s="8"/>
      <c r="N342" s="4"/>
      <c r="O342" s="8"/>
      <c r="P342" s="4"/>
      <c r="Q342" s="8"/>
      <c r="R342" s="4"/>
      <c r="S342" s="8"/>
      <c r="T342" s="4"/>
      <c r="U342" s="8"/>
      <c r="V342" s="4"/>
      <c r="W342" s="8"/>
      <c r="X342" s="4"/>
      <c r="Y342" s="8"/>
      <c r="Z342" s="4"/>
      <c r="AA342" s="2"/>
      <c r="AB342" s="4"/>
      <c r="AC342" s="8"/>
      <c r="AD342" s="4"/>
    </row>
    <row r="343">
      <c r="B343" s="4"/>
      <c r="C343" s="4"/>
      <c r="D343" s="4"/>
      <c r="F343" s="4"/>
      <c r="G343" s="8"/>
      <c r="H343" s="4"/>
      <c r="I343" s="4"/>
      <c r="J343" s="4"/>
      <c r="K343" s="4"/>
      <c r="L343" s="4"/>
      <c r="M343" s="8"/>
      <c r="N343" s="4"/>
      <c r="O343" s="8"/>
      <c r="P343" s="4"/>
      <c r="Q343" s="8"/>
      <c r="R343" s="4"/>
      <c r="S343" s="8"/>
      <c r="T343" s="4"/>
      <c r="U343" s="8"/>
      <c r="V343" s="4"/>
      <c r="W343" s="8"/>
      <c r="X343" s="4"/>
      <c r="Y343" s="8"/>
      <c r="Z343" s="4"/>
      <c r="AA343" s="2"/>
      <c r="AB343" s="4"/>
      <c r="AC343" s="8"/>
      <c r="AD343" s="4"/>
    </row>
    <row r="344">
      <c r="B344" s="4"/>
      <c r="C344" s="4"/>
      <c r="D344" s="4"/>
      <c r="F344" s="4"/>
      <c r="G344" s="8"/>
      <c r="H344" s="4"/>
      <c r="I344" s="4"/>
      <c r="J344" s="4"/>
      <c r="K344" s="4"/>
      <c r="L344" s="4"/>
      <c r="M344" s="8"/>
      <c r="N344" s="4"/>
      <c r="O344" s="8"/>
      <c r="P344" s="4"/>
      <c r="Q344" s="8"/>
      <c r="R344" s="4"/>
      <c r="S344" s="8"/>
      <c r="T344" s="4"/>
      <c r="U344" s="8"/>
      <c r="V344" s="4"/>
      <c r="W344" s="8"/>
      <c r="X344" s="4"/>
      <c r="Y344" s="8"/>
      <c r="Z344" s="4"/>
      <c r="AA344" s="2"/>
      <c r="AB344" s="4"/>
      <c r="AC344" s="8"/>
      <c r="AD344" s="4"/>
    </row>
    <row r="345">
      <c r="B345" s="4"/>
      <c r="C345" s="4"/>
      <c r="D345" s="4"/>
      <c r="F345" s="4"/>
      <c r="G345" s="8"/>
      <c r="H345" s="4"/>
      <c r="I345" s="4"/>
      <c r="J345" s="4"/>
      <c r="K345" s="4"/>
      <c r="L345" s="4"/>
      <c r="M345" s="8"/>
      <c r="N345" s="4"/>
      <c r="O345" s="8"/>
      <c r="P345" s="4"/>
      <c r="Q345" s="8"/>
      <c r="R345" s="4"/>
      <c r="S345" s="8"/>
      <c r="T345" s="4"/>
      <c r="U345" s="8"/>
      <c r="V345" s="4"/>
      <c r="W345" s="8"/>
      <c r="X345" s="4"/>
      <c r="Y345" s="8"/>
      <c r="Z345" s="4"/>
      <c r="AA345" s="2"/>
      <c r="AB345" s="4"/>
      <c r="AC345" s="8"/>
      <c r="AD345" s="4"/>
    </row>
    <row r="346">
      <c r="B346" s="4"/>
      <c r="C346" s="4"/>
      <c r="D346" s="4"/>
      <c r="F346" s="4"/>
      <c r="G346" s="8"/>
      <c r="H346" s="4"/>
      <c r="I346" s="4"/>
      <c r="J346" s="4"/>
      <c r="K346" s="4"/>
      <c r="L346" s="4"/>
      <c r="M346" s="8"/>
      <c r="N346" s="4"/>
      <c r="O346" s="8"/>
      <c r="P346" s="4"/>
      <c r="Q346" s="8"/>
      <c r="R346" s="4"/>
      <c r="S346" s="8"/>
      <c r="T346" s="4"/>
      <c r="U346" s="8"/>
      <c r="V346" s="4"/>
      <c r="W346" s="8"/>
      <c r="X346" s="4"/>
      <c r="Y346" s="8"/>
      <c r="Z346" s="4"/>
      <c r="AA346" s="2"/>
      <c r="AB346" s="4"/>
      <c r="AC346" s="8"/>
      <c r="AD346" s="4"/>
    </row>
    <row r="347">
      <c r="B347" s="4"/>
      <c r="C347" s="4"/>
      <c r="D347" s="4"/>
      <c r="F347" s="4"/>
      <c r="G347" s="8"/>
      <c r="H347" s="4"/>
      <c r="I347" s="4"/>
      <c r="J347" s="4"/>
      <c r="K347" s="4"/>
      <c r="L347" s="4"/>
      <c r="M347" s="8"/>
      <c r="N347" s="4"/>
      <c r="O347" s="8"/>
      <c r="P347" s="4"/>
      <c r="Q347" s="8"/>
      <c r="R347" s="4"/>
      <c r="S347" s="8"/>
      <c r="T347" s="4"/>
      <c r="U347" s="8"/>
      <c r="V347" s="4"/>
      <c r="W347" s="8"/>
      <c r="X347" s="4"/>
      <c r="Y347" s="8"/>
      <c r="Z347" s="4"/>
      <c r="AA347" s="2"/>
      <c r="AB347" s="4"/>
      <c r="AC347" s="8"/>
      <c r="AD347" s="4"/>
    </row>
    <row r="348">
      <c r="B348" s="4"/>
      <c r="C348" s="4"/>
      <c r="D348" s="4"/>
      <c r="F348" s="4"/>
      <c r="G348" s="8"/>
      <c r="H348" s="4"/>
      <c r="I348" s="4"/>
      <c r="J348" s="4"/>
      <c r="K348" s="4"/>
      <c r="L348" s="4"/>
      <c r="M348" s="8"/>
      <c r="N348" s="4"/>
      <c r="O348" s="8"/>
      <c r="P348" s="4"/>
      <c r="Q348" s="8"/>
      <c r="R348" s="4"/>
      <c r="S348" s="8"/>
      <c r="T348" s="4"/>
      <c r="U348" s="8"/>
      <c r="V348" s="4"/>
      <c r="W348" s="8"/>
      <c r="X348" s="4"/>
      <c r="Y348" s="8"/>
      <c r="Z348" s="4"/>
      <c r="AA348" s="2"/>
      <c r="AB348" s="4"/>
      <c r="AC348" s="8"/>
      <c r="AD348" s="4"/>
    </row>
    <row r="349">
      <c r="B349" s="4"/>
      <c r="C349" s="4"/>
      <c r="D349" s="4"/>
      <c r="F349" s="4"/>
      <c r="G349" s="8"/>
      <c r="H349" s="4"/>
      <c r="I349" s="4"/>
      <c r="J349" s="4"/>
      <c r="K349" s="4"/>
      <c r="L349" s="4"/>
      <c r="M349" s="8"/>
      <c r="N349" s="4"/>
      <c r="O349" s="8"/>
      <c r="P349" s="4"/>
      <c r="Q349" s="8"/>
      <c r="R349" s="4"/>
      <c r="S349" s="8"/>
      <c r="T349" s="4"/>
      <c r="U349" s="8"/>
      <c r="V349" s="4"/>
      <c r="W349" s="8"/>
      <c r="X349" s="4"/>
      <c r="Y349" s="8"/>
      <c r="Z349" s="4"/>
      <c r="AA349" s="2"/>
      <c r="AB349" s="4"/>
      <c r="AC349" s="8"/>
      <c r="AD349" s="4"/>
    </row>
    <row r="350">
      <c r="B350" s="4"/>
      <c r="C350" s="4"/>
      <c r="D350" s="4"/>
      <c r="F350" s="4"/>
      <c r="G350" s="8"/>
      <c r="H350" s="4"/>
      <c r="I350" s="4"/>
      <c r="J350" s="4"/>
      <c r="K350" s="4"/>
      <c r="L350" s="4"/>
      <c r="M350" s="8"/>
      <c r="N350" s="4"/>
      <c r="O350" s="8"/>
      <c r="P350" s="4"/>
      <c r="Q350" s="8"/>
      <c r="R350" s="4"/>
      <c r="S350" s="8"/>
      <c r="T350" s="4"/>
      <c r="U350" s="8"/>
      <c r="V350" s="4"/>
      <c r="W350" s="8"/>
      <c r="X350" s="4"/>
      <c r="Y350" s="8"/>
      <c r="Z350" s="4"/>
      <c r="AA350" s="2"/>
      <c r="AB350" s="4"/>
      <c r="AC350" s="8"/>
      <c r="AD350" s="4"/>
    </row>
    <row r="351">
      <c r="B351" s="4"/>
      <c r="C351" s="4"/>
      <c r="D351" s="4"/>
      <c r="F351" s="4"/>
      <c r="G351" s="8"/>
      <c r="H351" s="4"/>
      <c r="I351" s="4"/>
      <c r="J351" s="4"/>
      <c r="K351" s="4"/>
      <c r="L351" s="4"/>
      <c r="M351" s="8"/>
      <c r="N351" s="4"/>
      <c r="O351" s="8"/>
      <c r="P351" s="4"/>
      <c r="Q351" s="8"/>
      <c r="R351" s="4"/>
      <c r="S351" s="8"/>
      <c r="T351" s="4"/>
      <c r="U351" s="8"/>
      <c r="V351" s="4"/>
      <c r="W351" s="8"/>
      <c r="X351" s="4"/>
      <c r="Y351" s="8"/>
      <c r="Z351" s="4"/>
      <c r="AA351" s="2"/>
      <c r="AB351" s="4"/>
      <c r="AC351" s="8"/>
      <c r="AD351" s="4"/>
    </row>
    <row r="352">
      <c r="B352" s="4"/>
      <c r="C352" s="4"/>
      <c r="D352" s="4"/>
      <c r="F352" s="4"/>
      <c r="G352" s="8"/>
      <c r="H352" s="4"/>
      <c r="I352" s="4"/>
      <c r="J352" s="4"/>
      <c r="K352" s="4"/>
      <c r="L352" s="4"/>
      <c r="M352" s="8"/>
      <c r="N352" s="4"/>
      <c r="O352" s="8"/>
      <c r="P352" s="4"/>
      <c r="Q352" s="8"/>
      <c r="R352" s="4"/>
      <c r="S352" s="8"/>
      <c r="T352" s="4"/>
      <c r="U352" s="8"/>
      <c r="V352" s="4"/>
      <c r="W352" s="8"/>
      <c r="X352" s="4"/>
      <c r="Y352" s="8"/>
      <c r="Z352" s="4"/>
      <c r="AA352" s="2"/>
      <c r="AB352" s="4"/>
      <c r="AC352" s="8"/>
      <c r="AD352" s="4"/>
    </row>
    <row r="353">
      <c r="B353" s="4"/>
      <c r="C353" s="4"/>
      <c r="D353" s="4"/>
      <c r="F353" s="4"/>
      <c r="G353" s="8"/>
      <c r="H353" s="4"/>
      <c r="I353" s="4"/>
      <c r="J353" s="4"/>
      <c r="K353" s="4"/>
      <c r="L353" s="4"/>
      <c r="M353" s="8"/>
      <c r="N353" s="4"/>
      <c r="O353" s="8"/>
      <c r="P353" s="4"/>
      <c r="Q353" s="8"/>
      <c r="R353" s="4"/>
      <c r="S353" s="8"/>
      <c r="T353" s="4"/>
      <c r="U353" s="8"/>
      <c r="V353" s="4"/>
      <c r="W353" s="8"/>
      <c r="X353" s="4"/>
      <c r="Y353" s="8"/>
      <c r="Z353" s="4"/>
      <c r="AA353" s="2"/>
      <c r="AB353" s="4"/>
      <c r="AC353" s="8"/>
      <c r="AD353" s="4"/>
    </row>
    <row r="354">
      <c r="B354" s="4"/>
      <c r="C354" s="4"/>
      <c r="D354" s="4"/>
      <c r="F354" s="4"/>
      <c r="G354" s="8"/>
      <c r="H354" s="4"/>
      <c r="I354" s="4"/>
      <c r="J354" s="4"/>
      <c r="K354" s="4"/>
      <c r="L354" s="4"/>
      <c r="M354" s="8"/>
      <c r="N354" s="4"/>
      <c r="O354" s="8"/>
      <c r="P354" s="4"/>
      <c r="Q354" s="8"/>
      <c r="R354" s="4"/>
      <c r="S354" s="8"/>
      <c r="T354" s="4"/>
      <c r="U354" s="8"/>
      <c r="V354" s="4"/>
      <c r="W354" s="8"/>
      <c r="X354" s="4"/>
      <c r="Y354" s="8"/>
      <c r="Z354" s="4"/>
      <c r="AA354" s="2"/>
      <c r="AB354" s="4"/>
      <c r="AC354" s="8"/>
      <c r="AD354" s="4"/>
    </row>
    <row r="355">
      <c r="B355" s="4"/>
      <c r="C355" s="4"/>
      <c r="D355" s="4"/>
      <c r="F355" s="4"/>
      <c r="G355" s="8"/>
      <c r="H355" s="4"/>
      <c r="I355" s="4"/>
      <c r="J355" s="4"/>
      <c r="K355" s="4"/>
      <c r="L355" s="4"/>
      <c r="M355" s="8"/>
      <c r="N355" s="4"/>
      <c r="O355" s="8"/>
      <c r="P355" s="4"/>
      <c r="Q355" s="8"/>
      <c r="R355" s="4"/>
      <c r="S355" s="8"/>
      <c r="T355" s="4"/>
      <c r="U355" s="8"/>
      <c r="V355" s="4"/>
      <c r="W355" s="8"/>
      <c r="X355" s="4"/>
      <c r="Y355" s="8"/>
      <c r="Z355" s="4"/>
      <c r="AA355" s="2"/>
      <c r="AB355" s="4"/>
      <c r="AC355" s="8"/>
      <c r="AD355" s="4"/>
    </row>
    <row r="356">
      <c r="B356" s="4"/>
      <c r="C356" s="4"/>
      <c r="D356" s="4"/>
      <c r="F356" s="4"/>
      <c r="G356" s="8"/>
      <c r="H356" s="4"/>
      <c r="I356" s="4"/>
      <c r="J356" s="4"/>
      <c r="K356" s="4"/>
      <c r="L356" s="4"/>
      <c r="M356" s="8"/>
      <c r="N356" s="4"/>
      <c r="O356" s="8"/>
      <c r="P356" s="4"/>
      <c r="Q356" s="8"/>
      <c r="R356" s="4"/>
      <c r="S356" s="8"/>
      <c r="T356" s="4"/>
      <c r="U356" s="8"/>
      <c r="V356" s="4"/>
      <c r="W356" s="8"/>
      <c r="X356" s="4"/>
      <c r="Y356" s="8"/>
      <c r="Z356" s="4"/>
      <c r="AA356" s="2"/>
      <c r="AB356" s="4"/>
      <c r="AC356" s="8"/>
      <c r="AD356" s="4"/>
    </row>
    <row r="357">
      <c r="B357" s="4"/>
      <c r="C357" s="4"/>
      <c r="D357" s="4"/>
      <c r="F357" s="4"/>
      <c r="G357" s="8"/>
      <c r="H357" s="4"/>
      <c r="I357" s="4"/>
      <c r="J357" s="4"/>
      <c r="K357" s="4"/>
      <c r="L357" s="4"/>
      <c r="M357" s="8"/>
      <c r="N357" s="4"/>
      <c r="O357" s="8"/>
      <c r="P357" s="4"/>
      <c r="Q357" s="8"/>
      <c r="R357" s="4"/>
      <c r="S357" s="8"/>
      <c r="T357" s="4"/>
      <c r="U357" s="8"/>
      <c r="V357" s="4"/>
      <c r="W357" s="8"/>
      <c r="X357" s="4"/>
      <c r="Y357" s="8"/>
      <c r="Z357" s="4"/>
      <c r="AA357" s="2"/>
      <c r="AB357" s="4"/>
      <c r="AC357" s="8"/>
      <c r="AD357" s="4"/>
    </row>
    <row r="358">
      <c r="B358" s="4"/>
      <c r="C358" s="4"/>
      <c r="D358" s="4"/>
      <c r="F358" s="4"/>
      <c r="G358" s="8"/>
      <c r="H358" s="4"/>
      <c r="I358" s="4"/>
      <c r="J358" s="4"/>
      <c r="K358" s="4"/>
      <c r="L358" s="4"/>
      <c r="M358" s="8"/>
      <c r="N358" s="4"/>
      <c r="O358" s="8"/>
      <c r="P358" s="4"/>
      <c r="Q358" s="8"/>
      <c r="R358" s="4"/>
      <c r="S358" s="8"/>
      <c r="T358" s="4"/>
      <c r="U358" s="8"/>
      <c r="V358" s="4"/>
      <c r="W358" s="8"/>
      <c r="X358" s="4"/>
      <c r="Y358" s="8"/>
      <c r="Z358" s="4"/>
      <c r="AA358" s="2"/>
      <c r="AB358" s="4"/>
      <c r="AC358" s="8"/>
      <c r="AD358" s="4"/>
    </row>
    <row r="359">
      <c r="B359" s="4"/>
      <c r="C359" s="4"/>
      <c r="D359" s="4"/>
      <c r="F359" s="4"/>
      <c r="G359" s="8"/>
      <c r="H359" s="4"/>
      <c r="I359" s="4"/>
      <c r="J359" s="4"/>
      <c r="K359" s="4"/>
      <c r="L359" s="4"/>
      <c r="M359" s="8"/>
      <c r="N359" s="4"/>
      <c r="O359" s="8"/>
      <c r="P359" s="4"/>
      <c r="Q359" s="8"/>
      <c r="R359" s="4"/>
      <c r="S359" s="8"/>
      <c r="T359" s="4"/>
      <c r="U359" s="8"/>
      <c r="V359" s="4"/>
      <c r="W359" s="8"/>
      <c r="X359" s="4"/>
      <c r="Y359" s="8"/>
      <c r="Z359" s="4"/>
      <c r="AA359" s="2"/>
      <c r="AB359" s="4"/>
      <c r="AC359" s="8"/>
      <c r="AD359" s="4"/>
    </row>
    <row r="360">
      <c r="B360" s="4"/>
      <c r="C360" s="4"/>
      <c r="D360" s="4"/>
      <c r="F360" s="4"/>
      <c r="G360" s="8"/>
      <c r="H360" s="4"/>
      <c r="I360" s="4"/>
      <c r="J360" s="4"/>
      <c r="K360" s="4"/>
      <c r="L360" s="4"/>
      <c r="M360" s="8"/>
      <c r="N360" s="4"/>
      <c r="O360" s="8"/>
      <c r="P360" s="4"/>
      <c r="Q360" s="8"/>
      <c r="R360" s="4"/>
      <c r="S360" s="8"/>
      <c r="T360" s="4"/>
      <c r="U360" s="8"/>
      <c r="V360" s="4"/>
      <c r="W360" s="8"/>
      <c r="X360" s="4"/>
      <c r="Y360" s="8"/>
      <c r="Z360" s="4"/>
      <c r="AA360" s="2"/>
      <c r="AB360" s="4"/>
      <c r="AC360" s="8"/>
      <c r="AD360" s="4"/>
    </row>
    <row r="361">
      <c r="B361" s="4"/>
      <c r="C361" s="4"/>
      <c r="D361" s="4"/>
      <c r="F361" s="4"/>
      <c r="G361" s="8"/>
      <c r="H361" s="4"/>
      <c r="I361" s="4"/>
      <c r="J361" s="4"/>
      <c r="K361" s="4"/>
      <c r="L361" s="4"/>
      <c r="M361" s="8"/>
      <c r="N361" s="4"/>
      <c r="O361" s="8"/>
      <c r="P361" s="4"/>
      <c r="Q361" s="8"/>
      <c r="R361" s="4"/>
      <c r="S361" s="8"/>
      <c r="T361" s="4"/>
      <c r="U361" s="8"/>
      <c r="V361" s="4"/>
      <c r="W361" s="8"/>
      <c r="X361" s="4"/>
      <c r="Y361" s="8"/>
      <c r="Z361" s="4"/>
      <c r="AA361" s="2"/>
      <c r="AB361" s="4"/>
      <c r="AC361" s="8"/>
      <c r="AD361" s="4"/>
    </row>
    <row r="362">
      <c r="B362" s="4"/>
      <c r="C362" s="4"/>
      <c r="D362" s="4"/>
      <c r="F362" s="4"/>
      <c r="G362" s="8"/>
      <c r="H362" s="4"/>
      <c r="I362" s="4"/>
      <c r="J362" s="4"/>
      <c r="K362" s="4"/>
      <c r="L362" s="4"/>
      <c r="M362" s="8"/>
      <c r="N362" s="4"/>
      <c r="O362" s="8"/>
      <c r="P362" s="4"/>
      <c r="Q362" s="8"/>
      <c r="R362" s="4"/>
      <c r="S362" s="8"/>
      <c r="T362" s="4"/>
      <c r="U362" s="8"/>
      <c r="V362" s="4"/>
      <c r="W362" s="8"/>
      <c r="X362" s="4"/>
      <c r="Y362" s="8"/>
      <c r="Z362" s="4"/>
      <c r="AA362" s="2"/>
      <c r="AB362" s="4"/>
      <c r="AC362" s="8"/>
      <c r="AD362" s="4"/>
    </row>
    <row r="363">
      <c r="B363" s="4"/>
      <c r="C363" s="4"/>
      <c r="D363" s="4"/>
      <c r="F363" s="4"/>
      <c r="G363" s="8"/>
      <c r="H363" s="4"/>
      <c r="I363" s="4"/>
      <c r="J363" s="4"/>
      <c r="K363" s="4"/>
      <c r="L363" s="4"/>
      <c r="M363" s="8"/>
      <c r="N363" s="4"/>
      <c r="O363" s="8"/>
      <c r="P363" s="4"/>
      <c r="Q363" s="8"/>
      <c r="R363" s="4"/>
      <c r="S363" s="8"/>
      <c r="T363" s="4"/>
      <c r="U363" s="8"/>
      <c r="V363" s="4"/>
      <c r="W363" s="8"/>
      <c r="X363" s="4"/>
      <c r="Y363" s="8"/>
      <c r="Z363" s="4"/>
      <c r="AA363" s="2"/>
      <c r="AB363" s="4"/>
      <c r="AC363" s="8"/>
      <c r="AD363" s="4"/>
    </row>
    <row r="364">
      <c r="B364" s="4"/>
      <c r="C364" s="4"/>
      <c r="D364" s="4"/>
      <c r="F364" s="4"/>
      <c r="G364" s="8"/>
      <c r="H364" s="4"/>
      <c r="I364" s="4"/>
      <c r="J364" s="4"/>
      <c r="K364" s="4"/>
      <c r="L364" s="4"/>
      <c r="M364" s="8"/>
      <c r="N364" s="4"/>
      <c r="O364" s="8"/>
      <c r="P364" s="4"/>
      <c r="Q364" s="8"/>
      <c r="R364" s="4"/>
      <c r="S364" s="8"/>
      <c r="T364" s="4"/>
      <c r="U364" s="8"/>
      <c r="V364" s="4"/>
      <c r="W364" s="8"/>
      <c r="X364" s="4"/>
      <c r="Y364" s="8"/>
      <c r="Z364" s="4"/>
      <c r="AA364" s="2"/>
      <c r="AB364" s="4"/>
      <c r="AC364" s="8"/>
      <c r="AD364" s="4"/>
    </row>
    <row r="365">
      <c r="B365" s="4"/>
      <c r="C365" s="4"/>
      <c r="D365" s="4"/>
      <c r="F365" s="4"/>
      <c r="G365" s="8"/>
      <c r="H365" s="4"/>
      <c r="I365" s="4"/>
      <c r="J365" s="4"/>
      <c r="K365" s="4"/>
      <c r="L365" s="4"/>
      <c r="M365" s="8"/>
      <c r="N365" s="4"/>
      <c r="O365" s="8"/>
      <c r="P365" s="4"/>
      <c r="Q365" s="8"/>
      <c r="R365" s="4"/>
      <c r="S365" s="8"/>
      <c r="T365" s="4"/>
      <c r="U365" s="8"/>
      <c r="V365" s="4"/>
      <c r="W365" s="8"/>
      <c r="X365" s="4"/>
      <c r="Y365" s="8"/>
      <c r="Z365" s="4"/>
      <c r="AA365" s="2"/>
      <c r="AB365" s="4"/>
      <c r="AC365" s="8"/>
      <c r="AD365" s="4"/>
    </row>
    <row r="366">
      <c r="B366" s="4"/>
      <c r="C366" s="4"/>
      <c r="D366" s="4"/>
      <c r="F366" s="4"/>
      <c r="G366" s="8"/>
      <c r="H366" s="4"/>
      <c r="I366" s="4"/>
      <c r="J366" s="4"/>
      <c r="K366" s="4"/>
      <c r="L366" s="4"/>
      <c r="M366" s="8"/>
      <c r="N366" s="4"/>
      <c r="O366" s="8"/>
      <c r="P366" s="4"/>
      <c r="Q366" s="8"/>
      <c r="R366" s="4"/>
      <c r="S366" s="8"/>
      <c r="T366" s="4"/>
      <c r="U366" s="8"/>
      <c r="V366" s="4"/>
      <c r="W366" s="8"/>
      <c r="X366" s="4"/>
      <c r="Y366" s="8"/>
      <c r="Z366" s="4"/>
      <c r="AA366" s="2"/>
      <c r="AB366" s="4"/>
      <c r="AC366" s="8"/>
      <c r="AD366" s="4"/>
    </row>
    <row r="367">
      <c r="B367" s="4"/>
      <c r="C367" s="4"/>
      <c r="D367" s="4"/>
      <c r="F367" s="4"/>
      <c r="G367" s="8"/>
      <c r="H367" s="4"/>
      <c r="I367" s="4"/>
      <c r="J367" s="4"/>
      <c r="K367" s="4"/>
      <c r="L367" s="4"/>
      <c r="M367" s="8"/>
      <c r="N367" s="4"/>
      <c r="O367" s="8"/>
      <c r="P367" s="4"/>
      <c r="Q367" s="8"/>
      <c r="R367" s="4"/>
      <c r="S367" s="8"/>
      <c r="T367" s="4"/>
      <c r="U367" s="8"/>
      <c r="V367" s="4"/>
      <c r="W367" s="8"/>
      <c r="X367" s="4"/>
      <c r="Y367" s="8"/>
      <c r="Z367" s="4"/>
      <c r="AA367" s="2"/>
      <c r="AB367" s="4"/>
      <c r="AC367" s="8"/>
      <c r="AD367" s="4"/>
    </row>
    <row r="368">
      <c r="B368" s="4"/>
      <c r="C368" s="4"/>
      <c r="D368" s="4"/>
      <c r="F368" s="4"/>
      <c r="G368" s="8"/>
      <c r="H368" s="4"/>
      <c r="I368" s="4"/>
      <c r="J368" s="4"/>
      <c r="K368" s="4"/>
      <c r="L368" s="4"/>
      <c r="M368" s="8"/>
      <c r="N368" s="4"/>
      <c r="O368" s="8"/>
      <c r="P368" s="4"/>
      <c r="Q368" s="8"/>
      <c r="R368" s="4"/>
      <c r="S368" s="8"/>
      <c r="T368" s="4"/>
      <c r="U368" s="8"/>
      <c r="V368" s="4"/>
      <c r="W368" s="8"/>
      <c r="X368" s="4"/>
      <c r="Y368" s="8"/>
      <c r="Z368" s="4"/>
      <c r="AA368" s="2"/>
      <c r="AB368" s="4"/>
      <c r="AC368" s="8"/>
      <c r="AD368" s="4"/>
    </row>
    <row r="369">
      <c r="B369" s="4"/>
      <c r="C369" s="4"/>
      <c r="D369" s="4"/>
      <c r="F369" s="4"/>
      <c r="G369" s="8"/>
      <c r="H369" s="4"/>
      <c r="I369" s="4"/>
      <c r="J369" s="4"/>
      <c r="K369" s="4"/>
      <c r="L369" s="4"/>
      <c r="M369" s="8"/>
      <c r="N369" s="4"/>
      <c r="O369" s="8"/>
      <c r="P369" s="4"/>
      <c r="Q369" s="8"/>
      <c r="R369" s="4"/>
      <c r="S369" s="8"/>
      <c r="T369" s="4"/>
      <c r="U369" s="8"/>
      <c r="V369" s="4"/>
      <c r="W369" s="8"/>
      <c r="X369" s="4"/>
      <c r="Y369" s="8"/>
      <c r="Z369" s="4"/>
      <c r="AA369" s="2"/>
      <c r="AB369" s="4"/>
      <c r="AC369" s="8"/>
      <c r="AD369" s="4"/>
    </row>
    <row r="370">
      <c r="B370" s="4"/>
      <c r="C370" s="4"/>
      <c r="D370" s="4"/>
      <c r="F370" s="4"/>
      <c r="G370" s="8"/>
      <c r="H370" s="4"/>
      <c r="I370" s="4"/>
      <c r="J370" s="4"/>
      <c r="K370" s="4"/>
      <c r="L370" s="4"/>
      <c r="M370" s="8"/>
      <c r="N370" s="4"/>
      <c r="O370" s="8"/>
      <c r="P370" s="4"/>
      <c r="Q370" s="8"/>
      <c r="R370" s="4"/>
      <c r="S370" s="8"/>
      <c r="T370" s="4"/>
      <c r="U370" s="8"/>
      <c r="V370" s="4"/>
      <c r="W370" s="8"/>
      <c r="X370" s="4"/>
      <c r="Y370" s="8"/>
      <c r="Z370" s="4"/>
      <c r="AA370" s="2"/>
      <c r="AB370" s="4"/>
      <c r="AC370" s="8"/>
      <c r="AD370" s="4"/>
    </row>
    <row r="371">
      <c r="B371" s="4"/>
      <c r="C371" s="4"/>
      <c r="D371" s="4"/>
      <c r="F371" s="4"/>
      <c r="G371" s="8"/>
      <c r="H371" s="4"/>
      <c r="I371" s="4"/>
      <c r="J371" s="4"/>
      <c r="K371" s="4"/>
      <c r="L371" s="4"/>
      <c r="M371" s="8"/>
      <c r="N371" s="4"/>
      <c r="O371" s="8"/>
      <c r="P371" s="4"/>
      <c r="Q371" s="8"/>
      <c r="R371" s="4"/>
      <c r="S371" s="8"/>
      <c r="T371" s="4"/>
      <c r="U371" s="8"/>
      <c r="V371" s="4"/>
      <c r="W371" s="8"/>
      <c r="X371" s="4"/>
      <c r="Y371" s="8"/>
      <c r="Z371" s="4"/>
      <c r="AA371" s="2"/>
      <c r="AB371" s="4"/>
      <c r="AC371" s="8"/>
      <c r="AD371" s="4"/>
    </row>
    <row r="372">
      <c r="B372" s="4"/>
      <c r="C372" s="4"/>
      <c r="D372" s="4"/>
      <c r="F372" s="4"/>
      <c r="G372" s="8"/>
      <c r="H372" s="4"/>
      <c r="I372" s="4"/>
      <c r="J372" s="4"/>
      <c r="K372" s="4"/>
      <c r="L372" s="4"/>
      <c r="M372" s="8"/>
      <c r="N372" s="4"/>
      <c r="O372" s="8"/>
      <c r="P372" s="4"/>
      <c r="Q372" s="8"/>
      <c r="R372" s="4"/>
      <c r="S372" s="8"/>
      <c r="T372" s="4"/>
      <c r="U372" s="8"/>
      <c r="V372" s="4"/>
      <c r="W372" s="8"/>
      <c r="X372" s="4"/>
      <c r="Y372" s="8"/>
      <c r="Z372" s="4"/>
      <c r="AA372" s="2"/>
      <c r="AB372" s="4"/>
      <c r="AC372" s="8"/>
      <c r="AD372" s="4"/>
    </row>
    <row r="373">
      <c r="B373" s="4"/>
      <c r="C373" s="4"/>
      <c r="D373" s="4"/>
      <c r="F373" s="4"/>
      <c r="G373" s="8"/>
      <c r="H373" s="4"/>
      <c r="I373" s="4"/>
      <c r="J373" s="4"/>
      <c r="K373" s="4"/>
      <c r="L373" s="4"/>
      <c r="M373" s="8"/>
      <c r="N373" s="4"/>
      <c r="O373" s="8"/>
      <c r="P373" s="4"/>
      <c r="Q373" s="8"/>
      <c r="R373" s="4"/>
      <c r="S373" s="8"/>
      <c r="T373" s="4"/>
      <c r="U373" s="8"/>
      <c r="V373" s="4"/>
      <c r="W373" s="8"/>
      <c r="X373" s="4"/>
      <c r="Y373" s="8"/>
      <c r="Z373" s="4"/>
      <c r="AA373" s="2"/>
      <c r="AB373" s="4"/>
      <c r="AC373" s="8"/>
      <c r="AD373" s="4"/>
    </row>
    <row r="374">
      <c r="B374" s="4"/>
      <c r="C374" s="4"/>
      <c r="D374" s="4"/>
      <c r="F374" s="4"/>
      <c r="G374" s="8"/>
      <c r="H374" s="4"/>
      <c r="I374" s="4"/>
      <c r="J374" s="4"/>
      <c r="K374" s="4"/>
      <c r="L374" s="4"/>
      <c r="M374" s="8"/>
      <c r="N374" s="4"/>
      <c r="O374" s="8"/>
      <c r="P374" s="4"/>
      <c r="Q374" s="8"/>
      <c r="R374" s="4"/>
      <c r="S374" s="8"/>
      <c r="T374" s="4"/>
      <c r="U374" s="8"/>
      <c r="V374" s="4"/>
      <c r="W374" s="8"/>
      <c r="X374" s="4"/>
      <c r="Y374" s="8"/>
      <c r="Z374" s="4"/>
      <c r="AA374" s="2"/>
      <c r="AB374" s="4"/>
      <c r="AC374" s="8"/>
      <c r="AD374" s="4"/>
    </row>
    <row r="375">
      <c r="B375" s="4"/>
      <c r="C375" s="4"/>
      <c r="D375" s="4"/>
      <c r="F375" s="4"/>
      <c r="G375" s="8"/>
      <c r="H375" s="4"/>
      <c r="I375" s="4"/>
      <c r="J375" s="4"/>
      <c r="K375" s="4"/>
      <c r="L375" s="4"/>
      <c r="M375" s="8"/>
      <c r="N375" s="4"/>
      <c r="O375" s="8"/>
      <c r="P375" s="4"/>
      <c r="Q375" s="8"/>
      <c r="R375" s="4"/>
      <c r="S375" s="8"/>
      <c r="T375" s="4"/>
      <c r="U375" s="8"/>
      <c r="V375" s="4"/>
      <c r="W375" s="8"/>
      <c r="X375" s="4"/>
      <c r="Y375" s="8"/>
      <c r="Z375" s="4"/>
      <c r="AA375" s="2"/>
      <c r="AB375" s="4"/>
      <c r="AC375" s="8"/>
      <c r="AD375" s="4"/>
    </row>
    <row r="376">
      <c r="B376" s="4"/>
      <c r="C376" s="4"/>
      <c r="D376" s="4"/>
      <c r="F376" s="4"/>
      <c r="G376" s="8"/>
      <c r="H376" s="4"/>
      <c r="I376" s="4"/>
      <c r="J376" s="4"/>
      <c r="K376" s="4"/>
      <c r="L376" s="4"/>
      <c r="M376" s="8"/>
      <c r="N376" s="4"/>
      <c r="O376" s="8"/>
      <c r="P376" s="4"/>
      <c r="Q376" s="8"/>
      <c r="R376" s="4"/>
      <c r="S376" s="8"/>
      <c r="T376" s="4"/>
      <c r="U376" s="8"/>
      <c r="V376" s="4"/>
      <c r="W376" s="8"/>
      <c r="X376" s="4"/>
      <c r="Y376" s="8"/>
      <c r="Z376" s="4"/>
      <c r="AA376" s="2"/>
      <c r="AB376" s="4"/>
      <c r="AC376" s="8"/>
      <c r="AD376" s="4"/>
    </row>
    <row r="377">
      <c r="B377" s="4"/>
      <c r="C377" s="4"/>
      <c r="D377" s="4"/>
      <c r="F377" s="4"/>
      <c r="G377" s="8"/>
      <c r="H377" s="4"/>
      <c r="I377" s="4"/>
      <c r="J377" s="4"/>
      <c r="K377" s="4"/>
      <c r="L377" s="4"/>
      <c r="M377" s="8"/>
      <c r="N377" s="4"/>
      <c r="O377" s="8"/>
      <c r="P377" s="4"/>
      <c r="Q377" s="8"/>
      <c r="R377" s="4"/>
      <c r="S377" s="8"/>
      <c r="T377" s="4"/>
      <c r="U377" s="8"/>
      <c r="V377" s="4"/>
      <c r="W377" s="8"/>
      <c r="X377" s="4"/>
      <c r="Y377" s="8"/>
      <c r="Z377" s="4"/>
      <c r="AA377" s="2"/>
      <c r="AB377" s="4"/>
      <c r="AC377" s="8"/>
      <c r="AD377" s="4"/>
    </row>
    <row r="378">
      <c r="B378" s="4"/>
      <c r="C378" s="4"/>
      <c r="D378" s="4"/>
      <c r="F378" s="4"/>
      <c r="G378" s="8"/>
      <c r="H378" s="4"/>
      <c r="I378" s="4"/>
      <c r="J378" s="4"/>
      <c r="K378" s="4"/>
      <c r="L378" s="4"/>
      <c r="M378" s="8"/>
      <c r="N378" s="4"/>
      <c r="O378" s="8"/>
      <c r="P378" s="4"/>
      <c r="Q378" s="8"/>
      <c r="R378" s="4"/>
      <c r="S378" s="8"/>
      <c r="T378" s="4"/>
      <c r="U378" s="8"/>
      <c r="V378" s="4"/>
      <c r="W378" s="8"/>
      <c r="X378" s="4"/>
      <c r="Y378" s="8"/>
      <c r="Z378" s="4"/>
      <c r="AA378" s="2"/>
      <c r="AB378" s="4"/>
      <c r="AC378" s="8"/>
      <c r="AD378" s="4"/>
    </row>
    <row r="379">
      <c r="B379" s="4"/>
      <c r="C379" s="4"/>
      <c r="D379" s="4"/>
      <c r="F379" s="4"/>
      <c r="G379" s="8"/>
      <c r="H379" s="4"/>
      <c r="I379" s="4"/>
      <c r="J379" s="4"/>
      <c r="K379" s="4"/>
      <c r="L379" s="4"/>
      <c r="M379" s="8"/>
      <c r="N379" s="4"/>
      <c r="O379" s="8"/>
      <c r="P379" s="4"/>
      <c r="Q379" s="8"/>
      <c r="R379" s="4"/>
      <c r="S379" s="8"/>
      <c r="T379" s="4"/>
      <c r="U379" s="8"/>
      <c r="V379" s="4"/>
      <c r="W379" s="8"/>
      <c r="X379" s="4"/>
      <c r="Y379" s="8"/>
      <c r="Z379" s="4"/>
      <c r="AA379" s="2"/>
      <c r="AB379" s="4"/>
      <c r="AC379" s="8"/>
      <c r="AD379" s="4"/>
    </row>
    <row r="380">
      <c r="B380" s="4"/>
      <c r="C380" s="4"/>
      <c r="D380" s="4"/>
      <c r="F380" s="4"/>
      <c r="G380" s="8"/>
      <c r="H380" s="4"/>
      <c r="I380" s="4"/>
      <c r="J380" s="4"/>
      <c r="K380" s="4"/>
      <c r="L380" s="4"/>
      <c r="M380" s="8"/>
      <c r="N380" s="4"/>
      <c r="O380" s="8"/>
      <c r="P380" s="4"/>
      <c r="Q380" s="8"/>
      <c r="R380" s="4"/>
      <c r="S380" s="8"/>
      <c r="T380" s="4"/>
      <c r="U380" s="8"/>
      <c r="V380" s="4"/>
      <c r="W380" s="8"/>
      <c r="X380" s="4"/>
      <c r="Y380" s="8"/>
      <c r="Z380" s="4"/>
      <c r="AA380" s="2"/>
      <c r="AB380" s="4"/>
      <c r="AC380" s="8"/>
      <c r="AD380" s="4"/>
    </row>
    <row r="381">
      <c r="B381" s="4"/>
      <c r="C381" s="4"/>
      <c r="D381" s="4"/>
      <c r="F381" s="4"/>
      <c r="G381" s="8"/>
      <c r="H381" s="4"/>
      <c r="I381" s="4"/>
      <c r="J381" s="4"/>
      <c r="K381" s="4"/>
      <c r="L381" s="4"/>
      <c r="M381" s="8"/>
      <c r="N381" s="4"/>
      <c r="O381" s="8"/>
      <c r="P381" s="4"/>
      <c r="Q381" s="8"/>
      <c r="R381" s="4"/>
      <c r="S381" s="8"/>
      <c r="T381" s="4"/>
      <c r="U381" s="8"/>
      <c r="V381" s="4"/>
      <c r="W381" s="8"/>
      <c r="X381" s="4"/>
      <c r="Y381" s="8"/>
      <c r="Z381" s="4"/>
      <c r="AA381" s="2"/>
      <c r="AB381" s="4"/>
      <c r="AC381" s="8"/>
      <c r="AD381" s="4"/>
    </row>
    <row r="382">
      <c r="B382" s="4"/>
      <c r="C382" s="4"/>
      <c r="D382" s="4"/>
      <c r="F382" s="4"/>
      <c r="G382" s="8"/>
      <c r="H382" s="4"/>
      <c r="I382" s="4"/>
      <c r="J382" s="4"/>
      <c r="K382" s="4"/>
      <c r="L382" s="4"/>
      <c r="M382" s="8"/>
      <c r="N382" s="4"/>
      <c r="O382" s="8"/>
      <c r="P382" s="4"/>
      <c r="Q382" s="8"/>
      <c r="R382" s="4"/>
      <c r="S382" s="8"/>
      <c r="T382" s="4"/>
      <c r="U382" s="8"/>
      <c r="V382" s="4"/>
      <c r="W382" s="8"/>
      <c r="X382" s="4"/>
      <c r="Y382" s="8"/>
      <c r="Z382" s="4"/>
      <c r="AA382" s="2"/>
      <c r="AB382" s="4"/>
      <c r="AC382" s="8"/>
      <c r="AD382" s="4"/>
    </row>
    <row r="383">
      <c r="B383" s="4"/>
      <c r="C383" s="4"/>
      <c r="D383" s="4"/>
      <c r="F383" s="4"/>
      <c r="G383" s="8"/>
      <c r="H383" s="4"/>
      <c r="I383" s="4"/>
      <c r="J383" s="4"/>
      <c r="K383" s="4"/>
      <c r="L383" s="4"/>
      <c r="M383" s="8"/>
      <c r="N383" s="4"/>
      <c r="O383" s="8"/>
      <c r="P383" s="4"/>
      <c r="Q383" s="8"/>
      <c r="R383" s="4"/>
      <c r="S383" s="8"/>
      <c r="T383" s="4"/>
      <c r="U383" s="8"/>
      <c r="V383" s="4"/>
      <c r="W383" s="8"/>
      <c r="X383" s="4"/>
      <c r="Y383" s="8"/>
      <c r="Z383" s="4"/>
      <c r="AA383" s="2"/>
      <c r="AB383" s="4"/>
      <c r="AC383" s="8"/>
      <c r="AD383" s="4"/>
    </row>
    <row r="384">
      <c r="B384" s="4"/>
      <c r="C384" s="4"/>
      <c r="D384" s="4"/>
      <c r="F384" s="4"/>
      <c r="G384" s="8"/>
      <c r="H384" s="4"/>
      <c r="I384" s="4"/>
      <c r="J384" s="4"/>
      <c r="K384" s="4"/>
      <c r="L384" s="4"/>
      <c r="M384" s="8"/>
      <c r="N384" s="4"/>
      <c r="O384" s="8"/>
      <c r="P384" s="4"/>
      <c r="Q384" s="8"/>
      <c r="R384" s="4"/>
      <c r="S384" s="8"/>
      <c r="T384" s="4"/>
      <c r="U384" s="8"/>
      <c r="V384" s="4"/>
      <c r="W384" s="8"/>
      <c r="X384" s="4"/>
      <c r="Y384" s="8"/>
      <c r="Z384" s="4"/>
      <c r="AA384" s="2"/>
      <c r="AB384" s="4"/>
      <c r="AC384" s="8"/>
      <c r="AD384" s="4"/>
    </row>
    <row r="385">
      <c r="B385" s="4"/>
      <c r="C385" s="4"/>
      <c r="D385" s="4"/>
      <c r="F385" s="4"/>
      <c r="G385" s="8"/>
      <c r="H385" s="4"/>
      <c r="I385" s="4"/>
      <c r="J385" s="4"/>
      <c r="K385" s="4"/>
      <c r="L385" s="4"/>
      <c r="M385" s="8"/>
      <c r="N385" s="4"/>
      <c r="O385" s="8"/>
      <c r="P385" s="4"/>
      <c r="Q385" s="8"/>
      <c r="R385" s="4"/>
      <c r="S385" s="8"/>
      <c r="T385" s="4"/>
      <c r="U385" s="8"/>
      <c r="V385" s="4"/>
      <c r="W385" s="8"/>
      <c r="X385" s="4"/>
      <c r="Y385" s="8"/>
      <c r="Z385" s="4"/>
      <c r="AA385" s="2"/>
      <c r="AB385" s="4"/>
      <c r="AC385" s="8"/>
      <c r="AD385" s="4"/>
    </row>
    <row r="386">
      <c r="B386" s="4"/>
      <c r="C386" s="4"/>
      <c r="D386" s="4"/>
      <c r="F386" s="4"/>
      <c r="G386" s="8"/>
      <c r="H386" s="4"/>
      <c r="I386" s="4"/>
      <c r="J386" s="4"/>
      <c r="K386" s="4"/>
      <c r="L386" s="4"/>
      <c r="M386" s="8"/>
      <c r="N386" s="4"/>
      <c r="O386" s="8"/>
      <c r="P386" s="4"/>
      <c r="Q386" s="8"/>
      <c r="R386" s="4"/>
      <c r="S386" s="8"/>
      <c r="T386" s="4"/>
      <c r="U386" s="8"/>
      <c r="V386" s="4"/>
      <c r="W386" s="8"/>
      <c r="X386" s="4"/>
      <c r="Y386" s="8"/>
      <c r="Z386" s="4"/>
      <c r="AA386" s="2"/>
      <c r="AB386" s="4"/>
      <c r="AC386" s="8"/>
      <c r="AD386" s="4"/>
    </row>
    <row r="387">
      <c r="B387" s="4"/>
      <c r="C387" s="4"/>
      <c r="D387" s="4"/>
      <c r="F387" s="4"/>
      <c r="G387" s="8"/>
      <c r="H387" s="4"/>
      <c r="I387" s="4"/>
      <c r="J387" s="4"/>
      <c r="K387" s="4"/>
      <c r="L387" s="4"/>
      <c r="M387" s="8"/>
      <c r="N387" s="4"/>
      <c r="O387" s="8"/>
      <c r="P387" s="4"/>
      <c r="Q387" s="8"/>
      <c r="R387" s="4"/>
      <c r="S387" s="8"/>
      <c r="T387" s="4"/>
      <c r="U387" s="8"/>
      <c r="V387" s="4"/>
      <c r="W387" s="8"/>
      <c r="X387" s="4"/>
      <c r="Y387" s="8"/>
      <c r="Z387" s="4"/>
      <c r="AA387" s="2"/>
      <c r="AB387" s="4"/>
      <c r="AC387" s="8"/>
      <c r="AD387" s="4"/>
    </row>
    <row r="388">
      <c r="B388" s="4"/>
      <c r="C388" s="4"/>
      <c r="D388" s="4"/>
      <c r="F388" s="4"/>
      <c r="G388" s="8"/>
      <c r="H388" s="4"/>
      <c r="I388" s="4"/>
      <c r="J388" s="4"/>
      <c r="K388" s="4"/>
      <c r="L388" s="4"/>
      <c r="M388" s="8"/>
      <c r="N388" s="4"/>
      <c r="O388" s="8"/>
      <c r="P388" s="4"/>
      <c r="Q388" s="8"/>
      <c r="R388" s="4"/>
      <c r="S388" s="8"/>
      <c r="T388" s="4"/>
      <c r="U388" s="8"/>
      <c r="V388" s="4"/>
      <c r="W388" s="8"/>
      <c r="X388" s="4"/>
      <c r="Y388" s="8"/>
      <c r="Z388" s="4"/>
      <c r="AA388" s="2"/>
      <c r="AB388" s="4"/>
      <c r="AC388" s="8"/>
      <c r="AD388" s="4"/>
    </row>
    <row r="389">
      <c r="B389" s="4"/>
      <c r="C389" s="4"/>
      <c r="D389" s="4"/>
      <c r="F389" s="4"/>
      <c r="G389" s="8"/>
      <c r="H389" s="4"/>
      <c r="I389" s="4"/>
      <c r="J389" s="4"/>
      <c r="K389" s="4"/>
      <c r="L389" s="4"/>
      <c r="M389" s="8"/>
      <c r="N389" s="4"/>
      <c r="O389" s="8"/>
      <c r="P389" s="4"/>
      <c r="Q389" s="8"/>
      <c r="R389" s="4"/>
      <c r="S389" s="8"/>
      <c r="T389" s="4"/>
      <c r="U389" s="8"/>
      <c r="V389" s="4"/>
      <c r="W389" s="8"/>
      <c r="X389" s="4"/>
      <c r="Y389" s="8"/>
      <c r="Z389" s="4"/>
      <c r="AA389" s="2"/>
      <c r="AB389" s="4"/>
      <c r="AC389" s="8"/>
      <c r="AD389" s="4"/>
    </row>
    <row r="390">
      <c r="B390" s="4"/>
      <c r="C390" s="4"/>
      <c r="D390" s="4"/>
      <c r="F390" s="4"/>
      <c r="G390" s="8"/>
      <c r="H390" s="4"/>
      <c r="I390" s="4"/>
      <c r="J390" s="4"/>
      <c r="K390" s="4"/>
      <c r="L390" s="4"/>
      <c r="M390" s="8"/>
      <c r="N390" s="4"/>
      <c r="O390" s="8"/>
      <c r="P390" s="4"/>
      <c r="Q390" s="8"/>
      <c r="R390" s="4"/>
      <c r="S390" s="8"/>
      <c r="T390" s="4"/>
      <c r="U390" s="8"/>
      <c r="V390" s="4"/>
      <c r="W390" s="8"/>
      <c r="X390" s="4"/>
      <c r="Y390" s="8"/>
      <c r="Z390" s="4"/>
      <c r="AA390" s="2"/>
      <c r="AB390" s="4"/>
      <c r="AC390" s="8"/>
      <c r="AD390" s="4"/>
    </row>
    <row r="391">
      <c r="B391" s="4"/>
      <c r="C391" s="4"/>
      <c r="D391" s="4"/>
      <c r="F391" s="4"/>
      <c r="G391" s="8"/>
      <c r="H391" s="4"/>
      <c r="I391" s="4"/>
      <c r="J391" s="4"/>
      <c r="K391" s="4"/>
      <c r="L391" s="4"/>
      <c r="M391" s="8"/>
      <c r="N391" s="4"/>
      <c r="O391" s="8"/>
      <c r="P391" s="4"/>
      <c r="Q391" s="8"/>
      <c r="R391" s="4"/>
      <c r="S391" s="8"/>
      <c r="T391" s="4"/>
      <c r="U391" s="8"/>
      <c r="V391" s="4"/>
      <c r="W391" s="8"/>
      <c r="X391" s="4"/>
      <c r="Y391" s="8"/>
      <c r="Z391" s="4"/>
      <c r="AA391" s="2"/>
      <c r="AB391" s="4"/>
      <c r="AC391" s="8"/>
      <c r="AD391" s="4"/>
    </row>
    <row r="392">
      <c r="B392" s="4"/>
      <c r="C392" s="4"/>
      <c r="D392" s="4"/>
      <c r="F392" s="4"/>
      <c r="G392" s="8"/>
      <c r="H392" s="4"/>
      <c r="I392" s="4"/>
      <c r="J392" s="4"/>
      <c r="K392" s="4"/>
      <c r="L392" s="4"/>
      <c r="M392" s="8"/>
      <c r="N392" s="4"/>
      <c r="O392" s="8"/>
      <c r="P392" s="4"/>
      <c r="Q392" s="8"/>
      <c r="R392" s="4"/>
      <c r="S392" s="8"/>
      <c r="T392" s="4"/>
      <c r="U392" s="8"/>
      <c r="V392" s="4"/>
      <c r="W392" s="8"/>
      <c r="X392" s="4"/>
      <c r="Y392" s="8"/>
      <c r="Z392" s="4"/>
      <c r="AA392" s="2"/>
      <c r="AB392" s="4"/>
      <c r="AC392" s="8"/>
      <c r="AD392" s="4"/>
    </row>
    <row r="393">
      <c r="B393" s="4"/>
      <c r="C393" s="4"/>
      <c r="D393" s="4"/>
      <c r="F393" s="4"/>
      <c r="G393" s="8"/>
      <c r="H393" s="4"/>
      <c r="I393" s="4"/>
      <c r="J393" s="4"/>
      <c r="K393" s="4"/>
      <c r="L393" s="4"/>
      <c r="M393" s="8"/>
      <c r="N393" s="4"/>
      <c r="O393" s="8"/>
      <c r="P393" s="4"/>
      <c r="Q393" s="8"/>
      <c r="R393" s="4"/>
      <c r="S393" s="8"/>
      <c r="T393" s="4"/>
      <c r="U393" s="8"/>
      <c r="V393" s="4"/>
      <c r="W393" s="8"/>
      <c r="X393" s="4"/>
      <c r="Y393" s="8"/>
      <c r="Z393" s="4"/>
      <c r="AA393" s="2"/>
      <c r="AB393" s="4"/>
      <c r="AC393" s="8"/>
      <c r="AD393" s="4"/>
    </row>
    <row r="394">
      <c r="B394" s="4"/>
      <c r="C394" s="4"/>
      <c r="D394" s="4"/>
      <c r="F394" s="4"/>
      <c r="G394" s="8"/>
      <c r="H394" s="4"/>
      <c r="I394" s="4"/>
      <c r="J394" s="4"/>
      <c r="K394" s="4"/>
      <c r="L394" s="4"/>
      <c r="M394" s="8"/>
      <c r="N394" s="4"/>
      <c r="O394" s="8"/>
      <c r="P394" s="4"/>
      <c r="Q394" s="8"/>
      <c r="R394" s="4"/>
      <c r="S394" s="8"/>
      <c r="T394" s="4"/>
      <c r="U394" s="8"/>
      <c r="V394" s="4"/>
      <c r="W394" s="8"/>
      <c r="X394" s="4"/>
      <c r="Y394" s="8"/>
      <c r="Z394" s="4"/>
      <c r="AA394" s="2"/>
      <c r="AB394" s="4"/>
      <c r="AC394" s="8"/>
      <c r="AD394" s="4"/>
    </row>
    <row r="395">
      <c r="B395" s="4"/>
      <c r="C395" s="4"/>
      <c r="D395" s="4"/>
      <c r="F395" s="4"/>
      <c r="G395" s="8"/>
      <c r="H395" s="4"/>
      <c r="I395" s="4"/>
      <c r="J395" s="4"/>
      <c r="K395" s="4"/>
      <c r="L395" s="4"/>
      <c r="M395" s="8"/>
      <c r="N395" s="4"/>
      <c r="O395" s="8"/>
      <c r="P395" s="4"/>
      <c r="Q395" s="8"/>
      <c r="R395" s="4"/>
      <c r="S395" s="8"/>
      <c r="T395" s="4"/>
      <c r="U395" s="8"/>
      <c r="V395" s="4"/>
      <c r="W395" s="8"/>
      <c r="X395" s="4"/>
      <c r="Y395" s="8"/>
      <c r="Z395" s="4"/>
      <c r="AA395" s="2"/>
      <c r="AB395" s="4"/>
      <c r="AC395" s="8"/>
      <c r="AD395" s="4"/>
    </row>
    <row r="396">
      <c r="B396" s="4"/>
      <c r="C396" s="4"/>
      <c r="D396" s="4"/>
      <c r="F396" s="4"/>
      <c r="G396" s="8"/>
      <c r="H396" s="4"/>
      <c r="I396" s="4"/>
      <c r="J396" s="4"/>
      <c r="K396" s="4"/>
      <c r="L396" s="4"/>
      <c r="M396" s="8"/>
      <c r="N396" s="4"/>
      <c r="O396" s="8"/>
      <c r="P396" s="4"/>
      <c r="Q396" s="8"/>
      <c r="R396" s="4"/>
      <c r="S396" s="8"/>
      <c r="T396" s="4"/>
      <c r="U396" s="8"/>
      <c r="V396" s="4"/>
      <c r="W396" s="8"/>
      <c r="X396" s="4"/>
      <c r="Y396" s="8"/>
      <c r="Z396" s="4"/>
      <c r="AA396" s="2"/>
      <c r="AB396" s="4"/>
      <c r="AC396" s="8"/>
      <c r="AD396" s="4"/>
    </row>
    <row r="397">
      <c r="B397" s="4"/>
      <c r="C397" s="4"/>
      <c r="D397" s="4"/>
      <c r="F397" s="4"/>
      <c r="G397" s="8"/>
      <c r="H397" s="4"/>
      <c r="I397" s="4"/>
      <c r="J397" s="4"/>
      <c r="K397" s="4"/>
      <c r="L397" s="4"/>
      <c r="M397" s="8"/>
      <c r="N397" s="4"/>
      <c r="O397" s="8"/>
      <c r="P397" s="4"/>
      <c r="Q397" s="8"/>
      <c r="R397" s="4"/>
      <c r="S397" s="8"/>
      <c r="T397" s="4"/>
      <c r="U397" s="8"/>
      <c r="V397" s="4"/>
      <c r="W397" s="8"/>
      <c r="X397" s="4"/>
      <c r="Y397" s="8"/>
      <c r="Z397" s="4"/>
      <c r="AA397" s="2"/>
      <c r="AB397" s="4"/>
      <c r="AC397" s="8"/>
      <c r="AD397" s="4"/>
    </row>
    <row r="398">
      <c r="B398" s="4"/>
      <c r="C398" s="4"/>
      <c r="D398" s="4"/>
      <c r="F398" s="4"/>
      <c r="G398" s="8"/>
      <c r="H398" s="4"/>
      <c r="I398" s="4"/>
      <c r="J398" s="4"/>
      <c r="K398" s="4"/>
      <c r="L398" s="4"/>
      <c r="M398" s="8"/>
      <c r="N398" s="4"/>
      <c r="O398" s="8"/>
      <c r="P398" s="4"/>
      <c r="Q398" s="8"/>
      <c r="R398" s="4"/>
      <c r="S398" s="8"/>
      <c r="T398" s="4"/>
      <c r="U398" s="8"/>
      <c r="V398" s="4"/>
      <c r="W398" s="8"/>
      <c r="X398" s="4"/>
      <c r="Y398" s="8"/>
      <c r="Z398" s="4"/>
      <c r="AA398" s="2"/>
      <c r="AB398" s="4"/>
      <c r="AC398" s="8"/>
      <c r="AD398" s="4"/>
    </row>
    <row r="399">
      <c r="B399" s="4"/>
      <c r="C399" s="4"/>
      <c r="D399" s="4"/>
      <c r="F399" s="4"/>
      <c r="G399" s="8"/>
      <c r="H399" s="4"/>
      <c r="I399" s="4"/>
      <c r="J399" s="4"/>
      <c r="K399" s="4"/>
      <c r="L399" s="4"/>
      <c r="M399" s="8"/>
      <c r="N399" s="4"/>
      <c r="O399" s="8"/>
      <c r="P399" s="4"/>
      <c r="Q399" s="8"/>
      <c r="R399" s="4"/>
      <c r="S399" s="8"/>
      <c r="T399" s="4"/>
      <c r="U399" s="8"/>
      <c r="V399" s="4"/>
      <c r="W399" s="8"/>
      <c r="X399" s="4"/>
      <c r="Y399" s="8"/>
      <c r="Z399" s="4"/>
      <c r="AA399" s="2"/>
      <c r="AB399" s="4"/>
      <c r="AC399" s="8"/>
      <c r="AD399" s="4"/>
    </row>
    <row r="400">
      <c r="B400" s="4"/>
      <c r="C400" s="4"/>
      <c r="D400" s="4"/>
      <c r="F400" s="4"/>
      <c r="G400" s="8"/>
      <c r="H400" s="4"/>
      <c r="I400" s="4"/>
      <c r="J400" s="4"/>
      <c r="K400" s="4"/>
      <c r="L400" s="4"/>
      <c r="M400" s="8"/>
      <c r="N400" s="4"/>
      <c r="O400" s="8"/>
      <c r="P400" s="4"/>
      <c r="Q400" s="8"/>
      <c r="R400" s="4"/>
      <c r="S400" s="8"/>
      <c r="T400" s="4"/>
      <c r="U400" s="8"/>
      <c r="V400" s="4"/>
      <c r="W400" s="8"/>
      <c r="X400" s="4"/>
      <c r="Y400" s="8"/>
      <c r="Z400" s="4"/>
      <c r="AA400" s="2"/>
      <c r="AB400" s="4"/>
      <c r="AC400" s="8"/>
      <c r="AD400" s="4"/>
    </row>
    <row r="401">
      <c r="B401" s="4"/>
      <c r="C401" s="4"/>
      <c r="D401" s="4"/>
      <c r="F401" s="4"/>
      <c r="G401" s="8"/>
      <c r="H401" s="4"/>
      <c r="I401" s="4"/>
      <c r="J401" s="4"/>
      <c r="K401" s="4"/>
      <c r="L401" s="4"/>
      <c r="M401" s="8"/>
      <c r="N401" s="4"/>
      <c r="O401" s="8"/>
      <c r="P401" s="4"/>
      <c r="Q401" s="8"/>
      <c r="R401" s="4"/>
      <c r="S401" s="8"/>
      <c r="T401" s="4"/>
      <c r="U401" s="8"/>
      <c r="V401" s="4"/>
      <c r="W401" s="8"/>
      <c r="X401" s="4"/>
      <c r="Y401" s="8"/>
      <c r="Z401" s="4"/>
      <c r="AA401" s="2"/>
      <c r="AB401" s="4"/>
      <c r="AC401" s="8"/>
      <c r="AD401" s="4"/>
    </row>
    <row r="402">
      <c r="B402" s="4"/>
      <c r="C402" s="4"/>
      <c r="D402" s="4"/>
      <c r="F402" s="4"/>
      <c r="G402" s="8"/>
      <c r="H402" s="4"/>
      <c r="I402" s="4"/>
      <c r="J402" s="4"/>
      <c r="K402" s="4"/>
      <c r="L402" s="4"/>
      <c r="M402" s="8"/>
      <c r="N402" s="4"/>
      <c r="O402" s="8"/>
      <c r="P402" s="4"/>
      <c r="Q402" s="8"/>
      <c r="R402" s="4"/>
      <c r="S402" s="8"/>
      <c r="T402" s="4"/>
      <c r="U402" s="8"/>
      <c r="V402" s="4"/>
      <c r="W402" s="8"/>
      <c r="X402" s="4"/>
      <c r="Y402" s="8"/>
      <c r="Z402" s="4"/>
      <c r="AA402" s="2"/>
      <c r="AB402" s="4"/>
      <c r="AC402" s="8"/>
      <c r="AD402" s="4"/>
    </row>
    <row r="403">
      <c r="B403" s="4"/>
      <c r="C403" s="4"/>
      <c r="D403" s="4"/>
      <c r="F403" s="4"/>
      <c r="G403" s="8"/>
      <c r="H403" s="4"/>
      <c r="I403" s="4"/>
      <c r="J403" s="4"/>
      <c r="K403" s="4"/>
      <c r="L403" s="4"/>
      <c r="M403" s="8"/>
      <c r="N403" s="4"/>
      <c r="O403" s="8"/>
      <c r="P403" s="4"/>
      <c r="Q403" s="8"/>
      <c r="R403" s="4"/>
      <c r="S403" s="8"/>
      <c r="T403" s="4"/>
      <c r="U403" s="8"/>
      <c r="V403" s="4"/>
      <c r="W403" s="8"/>
      <c r="X403" s="4"/>
      <c r="Y403" s="8"/>
      <c r="Z403" s="4"/>
      <c r="AA403" s="2"/>
      <c r="AB403" s="4"/>
      <c r="AC403" s="8"/>
      <c r="AD403" s="4"/>
    </row>
    <row r="404">
      <c r="B404" s="4"/>
      <c r="C404" s="4"/>
      <c r="D404" s="4"/>
      <c r="F404" s="4"/>
      <c r="G404" s="8"/>
      <c r="H404" s="4"/>
      <c r="I404" s="4"/>
      <c r="J404" s="4"/>
      <c r="K404" s="4"/>
      <c r="L404" s="4"/>
      <c r="M404" s="8"/>
      <c r="N404" s="4"/>
      <c r="O404" s="8"/>
      <c r="P404" s="4"/>
      <c r="Q404" s="8"/>
      <c r="R404" s="4"/>
      <c r="S404" s="8"/>
      <c r="T404" s="4"/>
      <c r="U404" s="8"/>
      <c r="V404" s="4"/>
      <c r="W404" s="8"/>
      <c r="X404" s="4"/>
      <c r="Y404" s="8"/>
      <c r="Z404" s="4"/>
      <c r="AA404" s="2"/>
      <c r="AB404" s="4"/>
      <c r="AC404" s="8"/>
      <c r="AD404" s="4"/>
    </row>
    <row r="405">
      <c r="B405" s="4"/>
      <c r="C405" s="4"/>
      <c r="D405" s="4"/>
      <c r="F405" s="4"/>
      <c r="G405" s="8"/>
      <c r="H405" s="4"/>
      <c r="I405" s="4"/>
      <c r="J405" s="4"/>
      <c r="K405" s="4"/>
      <c r="L405" s="4"/>
      <c r="M405" s="8"/>
      <c r="N405" s="4"/>
      <c r="O405" s="8"/>
      <c r="P405" s="4"/>
      <c r="Q405" s="8"/>
      <c r="R405" s="4"/>
      <c r="S405" s="8"/>
      <c r="T405" s="4"/>
      <c r="U405" s="8"/>
      <c r="V405" s="4"/>
      <c r="W405" s="8"/>
      <c r="X405" s="4"/>
      <c r="Y405" s="8"/>
      <c r="Z405" s="4"/>
      <c r="AA405" s="2"/>
      <c r="AB405" s="4"/>
      <c r="AC405" s="8"/>
      <c r="AD405" s="4"/>
    </row>
    <row r="406">
      <c r="B406" s="4"/>
      <c r="C406" s="4"/>
      <c r="D406" s="4"/>
      <c r="F406" s="4"/>
      <c r="G406" s="8"/>
      <c r="H406" s="4"/>
      <c r="I406" s="4"/>
      <c r="J406" s="4"/>
      <c r="K406" s="4"/>
      <c r="L406" s="4"/>
      <c r="M406" s="8"/>
      <c r="N406" s="4"/>
      <c r="O406" s="8"/>
      <c r="P406" s="4"/>
      <c r="Q406" s="8"/>
      <c r="R406" s="4"/>
      <c r="S406" s="8"/>
      <c r="T406" s="4"/>
      <c r="U406" s="8"/>
      <c r="V406" s="4"/>
      <c r="W406" s="8"/>
      <c r="X406" s="4"/>
      <c r="Y406" s="8"/>
      <c r="Z406" s="4"/>
      <c r="AA406" s="2"/>
      <c r="AB406" s="4"/>
      <c r="AC406" s="8"/>
      <c r="AD406" s="4"/>
    </row>
    <row r="407">
      <c r="B407" s="4"/>
      <c r="C407" s="4"/>
      <c r="D407" s="4"/>
      <c r="F407" s="4"/>
      <c r="G407" s="8"/>
      <c r="H407" s="4"/>
      <c r="I407" s="4"/>
      <c r="J407" s="4"/>
      <c r="K407" s="4"/>
      <c r="L407" s="4"/>
      <c r="M407" s="8"/>
      <c r="N407" s="4"/>
      <c r="O407" s="8"/>
      <c r="P407" s="4"/>
      <c r="Q407" s="8"/>
      <c r="R407" s="4"/>
      <c r="S407" s="8"/>
      <c r="T407" s="4"/>
      <c r="U407" s="8"/>
      <c r="V407" s="4"/>
      <c r="W407" s="8"/>
      <c r="X407" s="4"/>
      <c r="Y407" s="8"/>
      <c r="Z407" s="4"/>
      <c r="AA407" s="2"/>
      <c r="AB407" s="4"/>
      <c r="AC407" s="8"/>
      <c r="AD407" s="4"/>
    </row>
    <row r="408">
      <c r="B408" s="4"/>
      <c r="C408" s="4"/>
      <c r="D408" s="4"/>
      <c r="F408" s="4"/>
      <c r="G408" s="8"/>
      <c r="H408" s="4"/>
      <c r="I408" s="4"/>
      <c r="J408" s="4"/>
      <c r="K408" s="4"/>
      <c r="L408" s="4"/>
      <c r="M408" s="8"/>
      <c r="N408" s="4"/>
      <c r="O408" s="8"/>
      <c r="P408" s="4"/>
      <c r="Q408" s="8"/>
      <c r="R408" s="4"/>
      <c r="S408" s="8"/>
      <c r="T408" s="4"/>
      <c r="U408" s="8"/>
      <c r="V408" s="4"/>
      <c r="W408" s="8"/>
      <c r="X408" s="4"/>
      <c r="Y408" s="8"/>
      <c r="Z408" s="4"/>
      <c r="AA408" s="2"/>
      <c r="AB408" s="4"/>
      <c r="AC408" s="8"/>
      <c r="AD408" s="4"/>
    </row>
    <row r="409">
      <c r="B409" s="4"/>
      <c r="C409" s="4"/>
      <c r="D409" s="4"/>
      <c r="F409" s="4"/>
      <c r="G409" s="8"/>
      <c r="H409" s="4"/>
      <c r="I409" s="4"/>
      <c r="J409" s="4"/>
      <c r="K409" s="4"/>
      <c r="L409" s="4"/>
      <c r="M409" s="8"/>
      <c r="N409" s="4"/>
      <c r="O409" s="8"/>
      <c r="P409" s="4"/>
      <c r="Q409" s="8"/>
      <c r="R409" s="4"/>
      <c r="S409" s="8"/>
      <c r="T409" s="4"/>
      <c r="U409" s="8"/>
      <c r="V409" s="4"/>
      <c r="W409" s="8"/>
      <c r="X409" s="4"/>
      <c r="Y409" s="8"/>
      <c r="Z409" s="4"/>
      <c r="AA409" s="2"/>
      <c r="AB409" s="4"/>
      <c r="AC409" s="8"/>
      <c r="AD409" s="4"/>
    </row>
    <row r="410">
      <c r="B410" s="4"/>
      <c r="C410" s="4"/>
      <c r="D410" s="4"/>
      <c r="F410" s="4"/>
      <c r="G410" s="8"/>
      <c r="H410" s="4"/>
      <c r="I410" s="4"/>
      <c r="J410" s="4"/>
      <c r="K410" s="4"/>
      <c r="L410" s="4"/>
      <c r="M410" s="8"/>
      <c r="N410" s="4"/>
      <c r="O410" s="8"/>
      <c r="P410" s="4"/>
      <c r="Q410" s="8"/>
      <c r="R410" s="4"/>
      <c r="S410" s="8"/>
      <c r="T410" s="4"/>
      <c r="U410" s="8"/>
      <c r="V410" s="4"/>
      <c r="W410" s="8"/>
      <c r="X410" s="4"/>
      <c r="Y410" s="8"/>
      <c r="Z410" s="4"/>
      <c r="AA410" s="2"/>
      <c r="AB410" s="4"/>
      <c r="AC410" s="8"/>
      <c r="AD410" s="4"/>
    </row>
    <row r="411">
      <c r="B411" s="4"/>
      <c r="C411" s="4"/>
      <c r="D411" s="4"/>
      <c r="F411" s="4"/>
      <c r="G411" s="8"/>
      <c r="H411" s="4"/>
      <c r="I411" s="4"/>
      <c r="J411" s="4"/>
      <c r="K411" s="4"/>
      <c r="L411" s="4"/>
      <c r="M411" s="8"/>
      <c r="N411" s="4"/>
      <c r="O411" s="8"/>
      <c r="P411" s="4"/>
      <c r="Q411" s="8"/>
      <c r="R411" s="4"/>
      <c r="S411" s="8"/>
      <c r="T411" s="4"/>
      <c r="U411" s="8"/>
      <c r="V411" s="4"/>
      <c r="W411" s="8"/>
      <c r="X411" s="4"/>
      <c r="Y411" s="8"/>
      <c r="Z411" s="4"/>
      <c r="AA411" s="2"/>
      <c r="AB411" s="4"/>
      <c r="AC411" s="8"/>
      <c r="AD411" s="4"/>
    </row>
    <row r="412">
      <c r="B412" s="4"/>
      <c r="C412" s="4"/>
      <c r="D412" s="4"/>
      <c r="F412" s="4"/>
      <c r="G412" s="8"/>
      <c r="H412" s="4"/>
      <c r="I412" s="4"/>
      <c r="J412" s="4"/>
      <c r="K412" s="4"/>
      <c r="L412" s="4"/>
      <c r="M412" s="8"/>
      <c r="N412" s="4"/>
      <c r="O412" s="8"/>
      <c r="P412" s="4"/>
      <c r="Q412" s="8"/>
      <c r="R412" s="4"/>
      <c r="S412" s="8"/>
      <c r="T412" s="4"/>
      <c r="U412" s="8"/>
      <c r="V412" s="4"/>
      <c r="W412" s="8"/>
      <c r="X412" s="4"/>
      <c r="Y412" s="8"/>
      <c r="Z412" s="4"/>
      <c r="AA412" s="2"/>
      <c r="AB412" s="4"/>
      <c r="AC412" s="8"/>
      <c r="AD412" s="4"/>
    </row>
    <row r="413">
      <c r="B413" s="4"/>
      <c r="C413" s="4"/>
      <c r="D413" s="4"/>
      <c r="F413" s="4"/>
      <c r="G413" s="8"/>
      <c r="H413" s="4"/>
      <c r="I413" s="4"/>
      <c r="J413" s="4"/>
      <c r="K413" s="4"/>
      <c r="L413" s="4"/>
      <c r="M413" s="8"/>
      <c r="N413" s="4"/>
      <c r="O413" s="8"/>
      <c r="P413" s="4"/>
      <c r="Q413" s="8"/>
      <c r="R413" s="4"/>
      <c r="S413" s="8"/>
      <c r="T413" s="4"/>
      <c r="U413" s="8"/>
      <c r="V413" s="4"/>
      <c r="W413" s="8"/>
      <c r="X413" s="4"/>
      <c r="Y413" s="8"/>
      <c r="Z413" s="4"/>
      <c r="AA413" s="2"/>
      <c r="AB413" s="4"/>
      <c r="AC413" s="8"/>
      <c r="AD413" s="4"/>
    </row>
    <row r="414">
      <c r="B414" s="4"/>
      <c r="C414" s="4"/>
      <c r="D414" s="4"/>
      <c r="F414" s="4"/>
      <c r="G414" s="8"/>
      <c r="H414" s="4"/>
      <c r="I414" s="4"/>
      <c r="J414" s="4"/>
      <c r="K414" s="4"/>
      <c r="L414" s="4"/>
      <c r="M414" s="8"/>
      <c r="N414" s="4"/>
      <c r="O414" s="8"/>
      <c r="P414" s="4"/>
      <c r="Q414" s="8"/>
      <c r="R414" s="4"/>
      <c r="S414" s="8"/>
      <c r="T414" s="4"/>
      <c r="U414" s="8"/>
      <c r="V414" s="4"/>
      <c r="W414" s="8"/>
      <c r="X414" s="4"/>
      <c r="Y414" s="8"/>
      <c r="Z414" s="4"/>
      <c r="AA414" s="2"/>
      <c r="AB414" s="4"/>
      <c r="AC414" s="8"/>
      <c r="AD414" s="4"/>
    </row>
    <row r="415">
      <c r="B415" s="4"/>
      <c r="C415" s="4"/>
      <c r="D415" s="4"/>
      <c r="F415" s="4"/>
      <c r="G415" s="8"/>
      <c r="H415" s="4"/>
      <c r="I415" s="4"/>
      <c r="J415" s="4"/>
      <c r="K415" s="4"/>
      <c r="L415" s="4"/>
      <c r="M415" s="8"/>
      <c r="N415" s="4"/>
      <c r="O415" s="8"/>
      <c r="P415" s="4"/>
      <c r="Q415" s="8"/>
      <c r="R415" s="4"/>
      <c r="S415" s="8"/>
      <c r="T415" s="4"/>
      <c r="U415" s="8"/>
      <c r="V415" s="4"/>
      <c r="W415" s="8"/>
      <c r="X415" s="4"/>
      <c r="Y415" s="8"/>
      <c r="Z415" s="4"/>
      <c r="AA415" s="2"/>
      <c r="AB415" s="4"/>
      <c r="AC415" s="8"/>
      <c r="AD415" s="4"/>
    </row>
    <row r="416">
      <c r="B416" s="4"/>
      <c r="C416" s="4"/>
      <c r="D416" s="4"/>
      <c r="F416" s="4"/>
      <c r="G416" s="8"/>
      <c r="H416" s="4"/>
      <c r="I416" s="4"/>
      <c r="J416" s="4"/>
      <c r="K416" s="4"/>
      <c r="L416" s="4"/>
      <c r="M416" s="8"/>
      <c r="N416" s="4"/>
      <c r="O416" s="8"/>
      <c r="P416" s="4"/>
      <c r="Q416" s="8"/>
      <c r="R416" s="4"/>
      <c r="S416" s="8"/>
      <c r="T416" s="4"/>
      <c r="U416" s="8"/>
      <c r="V416" s="4"/>
      <c r="W416" s="8"/>
      <c r="X416" s="4"/>
      <c r="Y416" s="8"/>
      <c r="Z416" s="4"/>
      <c r="AA416" s="2"/>
      <c r="AB416" s="4"/>
      <c r="AC416" s="8"/>
      <c r="AD416" s="4"/>
    </row>
    <row r="417">
      <c r="B417" s="4"/>
      <c r="C417" s="4"/>
      <c r="D417" s="4"/>
      <c r="F417" s="4"/>
      <c r="G417" s="8"/>
      <c r="H417" s="4"/>
      <c r="I417" s="4"/>
      <c r="J417" s="4"/>
      <c r="K417" s="4"/>
      <c r="L417" s="4"/>
      <c r="M417" s="8"/>
      <c r="N417" s="4"/>
      <c r="O417" s="8"/>
      <c r="P417" s="4"/>
      <c r="Q417" s="8"/>
      <c r="R417" s="4"/>
      <c r="S417" s="8"/>
      <c r="T417" s="4"/>
      <c r="U417" s="8"/>
      <c r="V417" s="4"/>
      <c r="W417" s="8"/>
      <c r="X417" s="4"/>
      <c r="Y417" s="8"/>
      <c r="Z417" s="4"/>
      <c r="AA417" s="2"/>
      <c r="AB417" s="4"/>
      <c r="AC417" s="8"/>
      <c r="AD417" s="4"/>
    </row>
    <row r="418">
      <c r="B418" s="4"/>
      <c r="C418" s="4"/>
      <c r="D418" s="4"/>
      <c r="F418" s="4"/>
      <c r="G418" s="8"/>
      <c r="H418" s="4"/>
      <c r="I418" s="4"/>
      <c r="J418" s="4"/>
      <c r="K418" s="4"/>
      <c r="L418" s="4"/>
      <c r="M418" s="8"/>
      <c r="N418" s="4"/>
      <c r="O418" s="8"/>
      <c r="P418" s="4"/>
      <c r="Q418" s="8"/>
      <c r="R418" s="4"/>
      <c r="S418" s="8"/>
      <c r="T418" s="4"/>
      <c r="U418" s="8"/>
      <c r="V418" s="4"/>
      <c r="W418" s="8"/>
      <c r="X418" s="4"/>
      <c r="Y418" s="8"/>
      <c r="Z418" s="4"/>
      <c r="AA418" s="2"/>
      <c r="AB418" s="4"/>
      <c r="AC418" s="8"/>
      <c r="AD418" s="4"/>
    </row>
    <row r="419">
      <c r="B419" s="4"/>
      <c r="C419" s="4"/>
      <c r="D419" s="4"/>
      <c r="F419" s="4"/>
      <c r="G419" s="8"/>
      <c r="H419" s="4"/>
      <c r="I419" s="4"/>
      <c r="J419" s="4"/>
      <c r="K419" s="4"/>
      <c r="L419" s="4"/>
      <c r="M419" s="8"/>
      <c r="N419" s="4"/>
      <c r="O419" s="8"/>
      <c r="P419" s="4"/>
      <c r="Q419" s="8"/>
      <c r="R419" s="4"/>
      <c r="S419" s="8"/>
      <c r="T419" s="4"/>
      <c r="U419" s="8"/>
      <c r="V419" s="4"/>
      <c r="W419" s="8"/>
      <c r="X419" s="4"/>
      <c r="Y419" s="8"/>
      <c r="Z419" s="4"/>
      <c r="AA419" s="2"/>
      <c r="AB419" s="4"/>
      <c r="AC419" s="8"/>
      <c r="AD419" s="4"/>
    </row>
    <row r="420">
      <c r="B420" s="4"/>
      <c r="C420" s="4"/>
      <c r="D420" s="4"/>
      <c r="F420" s="4"/>
      <c r="G420" s="8"/>
      <c r="H420" s="4"/>
      <c r="I420" s="4"/>
      <c r="J420" s="4"/>
      <c r="K420" s="4"/>
      <c r="L420" s="4"/>
      <c r="M420" s="8"/>
      <c r="N420" s="4"/>
      <c r="O420" s="8"/>
      <c r="P420" s="4"/>
      <c r="Q420" s="8"/>
      <c r="R420" s="4"/>
      <c r="S420" s="8"/>
      <c r="T420" s="4"/>
      <c r="U420" s="8"/>
      <c r="V420" s="4"/>
      <c r="W420" s="8"/>
      <c r="X420" s="4"/>
      <c r="Y420" s="8"/>
      <c r="Z420" s="4"/>
      <c r="AA420" s="2"/>
      <c r="AB420" s="4"/>
      <c r="AC420" s="8"/>
      <c r="AD420" s="4"/>
    </row>
    <row r="421">
      <c r="B421" s="4"/>
      <c r="C421" s="4"/>
      <c r="D421" s="4"/>
      <c r="F421" s="4"/>
      <c r="G421" s="8"/>
      <c r="H421" s="4"/>
      <c r="I421" s="4"/>
      <c r="J421" s="4"/>
      <c r="K421" s="4"/>
      <c r="L421" s="4"/>
      <c r="M421" s="8"/>
      <c r="N421" s="4"/>
      <c r="O421" s="8"/>
      <c r="P421" s="4"/>
      <c r="Q421" s="8"/>
      <c r="R421" s="4"/>
      <c r="S421" s="8"/>
      <c r="T421" s="4"/>
      <c r="U421" s="8"/>
      <c r="V421" s="4"/>
      <c r="W421" s="8"/>
      <c r="X421" s="4"/>
      <c r="Y421" s="8"/>
      <c r="Z421" s="4"/>
      <c r="AA421" s="2"/>
      <c r="AB421" s="4"/>
      <c r="AC421" s="8"/>
      <c r="AD421" s="4"/>
    </row>
    <row r="422">
      <c r="B422" s="4"/>
      <c r="C422" s="4"/>
      <c r="D422" s="4"/>
      <c r="F422" s="4"/>
      <c r="G422" s="8"/>
      <c r="H422" s="4"/>
      <c r="I422" s="4"/>
      <c r="J422" s="4"/>
      <c r="K422" s="4"/>
      <c r="L422" s="4"/>
      <c r="M422" s="8"/>
      <c r="N422" s="4"/>
      <c r="O422" s="8"/>
      <c r="P422" s="4"/>
      <c r="Q422" s="8"/>
      <c r="R422" s="4"/>
      <c r="S422" s="8"/>
      <c r="T422" s="4"/>
      <c r="U422" s="8"/>
      <c r="V422" s="4"/>
      <c r="W422" s="8"/>
      <c r="X422" s="4"/>
      <c r="Y422" s="8"/>
      <c r="Z422" s="4"/>
      <c r="AA422" s="2"/>
      <c r="AB422" s="4"/>
      <c r="AC422" s="8"/>
      <c r="AD422" s="4"/>
    </row>
    <row r="423">
      <c r="B423" s="4"/>
      <c r="C423" s="4"/>
      <c r="D423" s="4"/>
      <c r="F423" s="4"/>
      <c r="G423" s="8"/>
      <c r="H423" s="4"/>
      <c r="I423" s="4"/>
      <c r="J423" s="4"/>
      <c r="K423" s="4"/>
      <c r="L423" s="4"/>
      <c r="M423" s="8"/>
      <c r="N423" s="4"/>
      <c r="O423" s="8"/>
      <c r="P423" s="4"/>
      <c r="Q423" s="8"/>
      <c r="R423" s="4"/>
      <c r="S423" s="8"/>
      <c r="T423" s="4"/>
      <c r="U423" s="8"/>
      <c r="V423" s="4"/>
      <c r="W423" s="8"/>
      <c r="X423" s="4"/>
      <c r="Y423" s="8"/>
      <c r="Z423" s="4"/>
      <c r="AA423" s="2"/>
      <c r="AB423" s="4"/>
      <c r="AC423" s="8"/>
      <c r="AD423" s="4"/>
    </row>
    <row r="424">
      <c r="B424" s="4"/>
      <c r="C424" s="4"/>
      <c r="D424" s="4"/>
      <c r="F424" s="4"/>
      <c r="G424" s="8"/>
      <c r="H424" s="4"/>
      <c r="I424" s="4"/>
      <c r="J424" s="4"/>
      <c r="K424" s="4"/>
      <c r="L424" s="4"/>
      <c r="M424" s="8"/>
      <c r="N424" s="4"/>
      <c r="O424" s="8"/>
      <c r="P424" s="4"/>
      <c r="Q424" s="8"/>
      <c r="R424" s="4"/>
      <c r="S424" s="8"/>
      <c r="T424" s="4"/>
      <c r="U424" s="8"/>
      <c r="V424" s="4"/>
      <c r="W424" s="8"/>
      <c r="X424" s="4"/>
      <c r="Y424" s="8"/>
      <c r="Z424" s="4"/>
      <c r="AA424" s="2"/>
      <c r="AB424" s="4"/>
      <c r="AC424" s="8"/>
      <c r="AD424" s="4"/>
    </row>
    <row r="425">
      <c r="B425" s="4"/>
      <c r="C425" s="4"/>
      <c r="D425" s="4"/>
      <c r="F425" s="4"/>
      <c r="G425" s="8"/>
      <c r="H425" s="4"/>
      <c r="I425" s="4"/>
      <c r="J425" s="4"/>
      <c r="K425" s="4"/>
      <c r="L425" s="4"/>
      <c r="M425" s="8"/>
      <c r="N425" s="4"/>
      <c r="O425" s="8"/>
      <c r="P425" s="4"/>
      <c r="Q425" s="8"/>
      <c r="R425" s="4"/>
      <c r="S425" s="8"/>
      <c r="T425" s="4"/>
      <c r="U425" s="8"/>
      <c r="V425" s="4"/>
      <c r="W425" s="8"/>
      <c r="X425" s="4"/>
      <c r="Y425" s="8"/>
      <c r="Z425" s="4"/>
      <c r="AA425" s="2"/>
      <c r="AB425" s="4"/>
      <c r="AC425" s="8"/>
      <c r="AD425" s="4"/>
    </row>
    <row r="426">
      <c r="B426" s="4"/>
      <c r="C426" s="4"/>
      <c r="D426" s="4"/>
      <c r="F426" s="4"/>
      <c r="G426" s="8"/>
      <c r="H426" s="4"/>
      <c r="I426" s="4"/>
      <c r="J426" s="4"/>
      <c r="K426" s="4"/>
      <c r="L426" s="4"/>
      <c r="M426" s="8"/>
      <c r="N426" s="4"/>
      <c r="O426" s="8"/>
      <c r="P426" s="4"/>
      <c r="Q426" s="8"/>
      <c r="R426" s="4"/>
      <c r="S426" s="8"/>
      <c r="T426" s="4"/>
      <c r="U426" s="8"/>
      <c r="V426" s="4"/>
      <c r="W426" s="8"/>
      <c r="X426" s="4"/>
      <c r="Y426" s="8"/>
      <c r="Z426" s="4"/>
      <c r="AA426" s="2"/>
      <c r="AB426" s="4"/>
      <c r="AC426" s="8"/>
      <c r="AD426" s="4"/>
    </row>
    <row r="427">
      <c r="B427" s="4"/>
      <c r="C427" s="4"/>
      <c r="D427" s="4"/>
      <c r="F427" s="4"/>
      <c r="G427" s="8"/>
      <c r="H427" s="4"/>
      <c r="I427" s="4"/>
      <c r="J427" s="4"/>
      <c r="K427" s="4"/>
      <c r="L427" s="4"/>
      <c r="M427" s="8"/>
      <c r="N427" s="4"/>
      <c r="O427" s="8"/>
      <c r="P427" s="4"/>
      <c r="Q427" s="8"/>
      <c r="R427" s="4"/>
      <c r="S427" s="8"/>
      <c r="T427" s="4"/>
      <c r="U427" s="8"/>
      <c r="V427" s="4"/>
      <c r="W427" s="8"/>
      <c r="X427" s="4"/>
      <c r="Y427" s="8"/>
      <c r="Z427" s="4"/>
      <c r="AA427" s="2"/>
      <c r="AB427" s="4"/>
      <c r="AC427" s="8"/>
      <c r="AD427" s="4"/>
    </row>
    <row r="428">
      <c r="B428" s="4"/>
      <c r="C428" s="4"/>
      <c r="D428" s="4"/>
      <c r="F428" s="4"/>
      <c r="G428" s="8"/>
      <c r="H428" s="4"/>
      <c r="I428" s="4"/>
      <c r="J428" s="4"/>
      <c r="K428" s="4"/>
      <c r="L428" s="4"/>
      <c r="M428" s="8"/>
      <c r="N428" s="4"/>
      <c r="O428" s="8"/>
      <c r="P428" s="4"/>
      <c r="Q428" s="8"/>
      <c r="R428" s="4"/>
      <c r="S428" s="8"/>
      <c r="T428" s="4"/>
      <c r="U428" s="8"/>
      <c r="V428" s="4"/>
      <c r="W428" s="8"/>
      <c r="X428" s="4"/>
      <c r="Y428" s="8"/>
      <c r="Z428" s="4"/>
      <c r="AA428" s="2"/>
      <c r="AB428" s="4"/>
      <c r="AC428" s="8"/>
      <c r="AD428" s="4"/>
    </row>
    <row r="429">
      <c r="B429" s="4"/>
      <c r="C429" s="4"/>
      <c r="D429" s="4"/>
      <c r="F429" s="4"/>
      <c r="G429" s="8"/>
      <c r="H429" s="4"/>
      <c r="I429" s="4"/>
      <c r="J429" s="4"/>
      <c r="K429" s="4"/>
      <c r="L429" s="4"/>
      <c r="M429" s="8"/>
      <c r="N429" s="4"/>
      <c r="O429" s="8"/>
      <c r="P429" s="4"/>
      <c r="Q429" s="8"/>
      <c r="R429" s="4"/>
      <c r="S429" s="8"/>
      <c r="T429" s="4"/>
      <c r="U429" s="8"/>
      <c r="V429" s="4"/>
      <c r="W429" s="8"/>
      <c r="X429" s="4"/>
      <c r="Y429" s="8"/>
      <c r="Z429" s="4"/>
      <c r="AA429" s="2"/>
      <c r="AB429" s="4"/>
      <c r="AC429" s="8"/>
      <c r="AD429" s="4"/>
    </row>
    <row r="430">
      <c r="B430" s="4"/>
      <c r="C430" s="4"/>
      <c r="D430" s="4"/>
      <c r="F430" s="4"/>
      <c r="G430" s="8"/>
      <c r="H430" s="4"/>
      <c r="I430" s="4"/>
      <c r="J430" s="4"/>
      <c r="K430" s="4"/>
      <c r="L430" s="4"/>
      <c r="M430" s="8"/>
      <c r="N430" s="4"/>
      <c r="O430" s="8"/>
      <c r="P430" s="4"/>
      <c r="Q430" s="8"/>
      <c r="R430" s="4"/>
      <c r="S430" s="8"/>
      <c r="T430" s="4"/>
      <c r="U430" s="8"/>
      <c r="V430" s="4"/>
      <c r="W430" s="8"/>
      <c r="X430" s="4"/>
      <c r="Y430" s="8"/>
      <c r="Z430" s="4"/>
      <c r="AA430" s="2"/>
      <c r="AB430" s="4"/>
      <c r="AC430" s="8"/>
      <c r="AD430" s="4"/>
    </row>
    <row r="431">
      <c r="B431" s="4"/>
      <c r="C431" s="4"/>
      <c r="D431" s="4"/>
      <c r="F431" s="4"/>
      <c r="G431" s="8"/>
      <c r="H431" s="4"/>
      <c r="I431" s="4"/>
      <c r="J431" s="4"/>
      <c r="K431" s="4"/>
      <c r="L431" s="4"/>
      <c r="M431" s="8"/>
      <c r="N431" s="4"/>
      <c r="O431" s="8"/>
      <c r="P431" s="4"/>
      <c r="Q431" s="8"/>
      <c r="R431" s="4"/>
      <c r="S431" s="8"/>
      <c r="T431" s="4"/>
      <c r="U431" s="8"/>
      <c r="V431" s="4"/>
      <c r="W431" s="8"/>
      <c r="X431" s="4"/>
      <c r="Y431" s="8"/>
      <c r="Z431" s="4"/>
      <c r="AA431" s="2"/>
      <c r="AB431" s="4"/>
      <c r="AC431" s="8"/>
      <c r="AD431" s="4"/>
    </row>
    <row r="432">
      <c r="B432" s="4"/>
      <c r="C432" s="4"/>
      <c r="D432" s="4"/>
      <c r="F432" s="4"/>
      <c r="G432" s="8"/>
      <c r="H432" s="4"/>
      <c r="I432" s="4"/>
      <c r="J432" s="4"/>
      <c r="K432" s="4"/>
      <c r="L432" s="4"/>
      <c r="M432" s="8"/>
      <c r="N432" s="4"/>
      <c r="O432" s="8"/>
      <c r="P432" s="4"/>
      <c r="Q432" s="8"/>
      <c r="R432" s="4"/>
      <c r="S432" s="8"/>
      <c r="T432" s="4"/>
      <c r="U432" s="8"/>
      <c r="V432" s="4"/>
      <c r="W432" s="8"/>
      <c r="X432" s="4"/>
      <c r="Y432" s="8"/>
      <c r="Z432" s="4"/>
      <c r="AA432" s="2"/>
      <c r="AB432" s="4"/>
      <c r="AC432" s="8"/>
      <c r="AD432" s="4"/>
    </row>
    <row r="433">
      <c r="B433" s="4"/>
      <c r="C433" s="4"/>
      <c r="D433" s="4"/>
      <c r="F433" s="4"/>
      <c r="G433" s="8"/>
      <c r="H433" s="4"/>
      <c r="I433" s="4"/>
      <c r="J433" s="4"/>
      <c r="K433" s="4"/>
      <c r="L433" s="4"/>
      <c r="M433" s="8"/>
      <c r="N433" s="4"/>
      <c r="O433" s="8"/>
      <c r="P433" s="4"/>
      <c r="Q433" s="8"/>
      <c r="R433" s="4"/>
      <c r="S433" s="8"/>
      <c r="T433" s="4"/>
      <c r="U433" s="8"/>
      <c r="V433" s="4"/>
      <c r="W433" s="8"/>
      <c r="X433" s="4"/>
      <c r="Y433" s="8"/>
      <c r="Z433" s="4"/>
      <c r="AA433" s="2"/>
      <c r="AB433" s="4"/>
      <c r="AC433" s="8"/>
      <c r="AD433" s="4"/>
    </row>
    <row r="434">
      <c r="B434" s="4"/>
      <c r="C434" s="4"/>
      <c r="D434" s="4"/>
      <c r="F434" s="4"/>
      <c r="G434" s="8"/>
      <c r="H434" s="4"/>
      <c r="I434" s="4"/>
      <c r="J434" s="4"/>
      <c r="K434" s="4"/>
      <c r="L434" s="4"/>
      <c r="M434" s="8"/>
      <c r="N434" s="4"/>
      <c r="O434" s="8"/>
      <c r="P434" s="4"/>
      <c r="Q434" s="8"/>
      <c r="R434" s="4"/>
      <c r="S434" s="8"/>
      <c r="T434" s="4"/>
      <c r="U434" s="8"/>
      <c r="V434" s="4"/>
      <c r="W434" s="8"/>
      <c r="X434" s="4"/>
      <c r="Y434" s="8"/>
      <c r="Z434" s="4"/>
      <c r="AA434" s="2"/>
      <c r="AB434" s="4"/>
      <c r="AC434" s="8"/>
      <c r="AD434" s="4"/>
    </row>
    <row r="435">
      <c r="B435" s="4"/>
      <c r="C435" s="4"/>
      <c r="D435" s="4"/>
      <c r="F435" s="4"/>
      <c r="G435" s="8"/>
      <c r="H435" s="4"/>
      <c r="I435" s="4"/>
      <c r="J435" s="4"/>
      <c r="K435" s="4"/>
      <c r="L435" s="4"/>
      <c r="M435" s="8"/>
      <c r="N435" s="4"/>
      <c r="O435" s="8"/>
      <c r="P435" s="4"/>
      <c r="Q435" s="8"/>
      <c r="R435" s="4"/>
      <c r="S435" s="8"/>
      <c r="T435" s="4"/>
      <c r="U435" s="8"/>
      <c r="V435" s="4"/>
      <c r="W435" s="8"/>
      <c r="X435" s="4"/>
      <c r="Y435" s="8"/>
      <c r="Z435" s="4"/>
      <c r="AA435" s="2"/>
      <c r="AB435" s="4"/>
      <c r="AC435" s="8"/>
      <c r="AD435" s="4"/>
    </row>
    <row r="436">
      <c r="B436" s="4"/>
      <c r="C436" s="4"/>
      <c r="D436" s="4"/>
      <c r="F436" s="4"/>
      <c r="G436" s="8"/>
      <c r="H436" s="4"/>
      <c r="I436" s="4"/>
      <c r="J436" s="4"/>
      <c r="K436" s="4"/>
      <c r="L436" s="4"/>
      <c r="M436" s="8"/>
      <c r="N436" s="4"/>
      <c r="O436" s="8"/>
      <c r="P436" s="4"/>
      <c r="Q436" s="8"/>
      <c r="R436" s="4"/>
      <c r="S436" s="8"/>
      <c r="T436" s="4"/>
      <c r="U436" s="8"/>
      <c r="V436" s="4"/>
      <c r="W436" s="8"/>
      <c r="X436" s="4"/>
      <c r="Y436" s="8"/>
      <c r="Z436" s="4"/>
      <c r="AA436" s="2"/>
      <c r="AB436" s="4"/>
      <c r="AC436" s="8"/>
      <c r="AD436" s="4"/>
    </row>
    <row r="437">
      <c r="B437" s="4"/>
      <c r="C437" s="4"/>
      <c r="D437" s="4"/>
      <c r="F437" s="4"/>
      <c r="G437" s="8"/>
      <c r="H437" s="4"/>
      <c r="I437" s="4"/>
      <c r="J437" s="4"/>
      <c r="K437" s="4"/>
      <c r="L437" s="4"/>
      <c r="M437" s="8"/>
      <c r="N437" s="4"/>
      <c r="O437" s="8"/>
      <c r="P437" s="4"/>
      <c r="Q437" s="8"/>
      <c r="R437" s="4"/>
      <c r="S437" s="8"/>
      <c r="T437" s="4"/>
      <c r="U437" s="8"/>
      <c r="V437" s="4"/>
      <c r="W437" s="8"/>
      <c r="X437" s="4"/>
      <c r="Y437" s="8"/>
      <c r="Z437" s="4"/>
      <c r="AA437" s="2"/>
      <c r="AB437" s="4"/>
      <c r="AC437" s="8"/>
      <c r="AD437" s="4"/>
    </row>
    <row r="438">
      <c r="B438" s="4"/>
      <c r="C438" s="4"/>
      <c r="D438" s="4"/>
      <c r="F438" s="4"/>
      <c r="G438" s="8"/>
      <c r="H438" s="4"/>
      <c r="I438" s="4"/>
      <c r="J438" s="4"/>
      <c r="K438" s="4"/>
      <c r="L438" s="4"/>
      <c r="M438" s="8"/>
      <c r="N438" s="4"/>
      <c r="O438" s="8"/>
      <c r="P438" s="4"/>
      <c r="Q438" s="8"/>
      <c r="R438" s="4"/>
      <c r="S438" s="8"/>
      <c r="T438" s="4"/>
      <c r="U438" s="8"/>
      <c r="V438" s="4"/>
      <c r="W438" s="8"/>
      <c r="X438" s="4"/>
      <c r="Y438" s="8"/>
      <c r="Z438" s="4"/>
      <c r="AA438" s="2"/>
      <c r="AB438" s="4"/>
      <c r="AC438" s="8"/>
      <c r="AD438" s="4"/>
    </row>
    <row r="439">
      <c r="B439" s="4"/>
      <c r="C439" s="4"/>
      <c r="D439" s="4"/>
      <c r="F439" s="4"/>
      <c r="G439" s="8"/>
      <c r="H439" s="4"/>
      <c r="I439" s="4"/>
      <c r="J439" s="4"/>
      <c r="K439" s="4"/>
      <c r="L439" s="4"/>
      <c r="M439" s="8"/>
      <c r="N439" s="4"/>
      <c r="O439" s="8"/>
      <c r="P439" s="4"/>
      <c r="Q439" s="8"/>
      <c r="R439" s="4"/>
      <c r="S439" s="8"/>
      <c r="T439" s="4"/>
      <c r="U439" s="8"/>
      <c r="V439" s="4"/>
      <c r="W439" s="8"/>
      <c r="X439" s="4"/>
      <c r="Y439" s="8"/>
      <c r="Z439" s="4"/>
      <c r="AA439" s="2"/>
      <c r="AB439" s="4"/>
      <c r="AC439" s="8"/>
      <c r="AD439" s="4"/>
    </row>
    <row r="440">
      <c r="B440" s="4"/>
      <c r="C440" s="4"/>
      <c r="D440" s="4"/>
      <c r="F440" s="4"/>
      <c r="G440" s="8"/>
      <c r="H440" s="4"/>
      <c r="I440" s="4"/>
      <c r="J440" s="4"/>
      <c r="K440" s="4"/>
      <c r="L440" s="4"/>
      <c r="M440" s="8"/>
      <c r="N440" s="4"/>
      <c r="O440" s="8"/>
      <c r="P440" s="4"/>
      <c r="Q440" s="8"/>
      <c r="R440" s="4"/>
      <c r="S440" s="8"/>
      <c r="T440" s="4"/>
      <c r="U440" s="8"/>
      <c r="V440" s="4"/>
      <c r="W440" s="8"/>
      <c r="X440" s="4"/>
      <c r="Y440" s="8"/>
      <c r="Z440" s="4"/>
      <c r="AA440" s="2"/>
      <c r="AB440" s="4"/>
      <c r="AC440" s="8"/>
      <c r="AD440" s="4"/>
    </row>
    <row r="441">
      <c r="B441" s="4"/>
      <c r="C441" s="4"/>
      <c r="D441" s="4"/>
      <c r="F441" s="4"/>
      <c r="G441" s="8"/>
      <c r="H441" s="4"/>
      <c r="I441" s="4"/>
      <c r="J441" s="4"/>
      <c r="K441" s="4"/>
      <c r="L441" s="4"/>
      <c r="M441" s="8"/>
      <c r="N441" s="4"/>
      <c r="O441" s="8"/>
      <c r="P441" s="4"/>
      <c r="Q441" s="8"/>
      <c r="R441" s="4"/>
      <c r="S441" s="8"/>
      <c r="T441" s="4"/>
      <c r="U441" s="8"/>
      <c r="V441" s="4"/>
      <c r="W441" s="8"/>
      <c r="X441" s="4"/>
      <c r="Y441" s="8"/>
      <c r="Z441" s="4"/>
      <c r="AA441" s="2"/>
      <c r="AB441" s="4"/>
      <c r="AC441" s="8"/>
      <c r="AD441" s="4"/>
    </row>
    <row r="442">
      <c r="B442" s="4"/>
      <c r="C442" s="4"/>
      <c r="D442" s="4"/>
      <c r="F442" s="4"/>
      <c r="G442" s="8"/>
      <c r="H442" s="4"/>
      <c r="I442" s="4"/>
      <c r="J442" s="4"/>
      <c r="K442" s="4"/>
      <c r="L442" s="4"/>
      <c r="M442" s="8"/>
      <c r="N442" s="4"/>
      <c r="O442" s="8"/>
      <c r="P442" s="4"/>
      <c r="Q442" s="8"/>
      <c r="R442" s="4"/>
      <c r="S442" s="8"/>
      <c r="T442" s="4"/>
      <c r="U442" s="8"/>
      <c r="V442" s="4"/>
      <c r="W442" s="8"/>
      <c r="X442" s="4"/>
      <c r="Y442" s="8"/>
      <c r="Z442" s="4"/>
      <c r="AA442" s="2"/>
      <c r="AB442" s="4"/>
      <c r="AC442" s="8"/>
      <c r="AD442" s="4"/>
    </row>
    <row r="443">
      <c r="B443" s="4"/>
      <c r="C443" s="4"/>
      <c r="D443" s="4"/>
      <c r="F443" s="4"/>
      <c r="G443" s="8"/>
      <c r="H443" s="4"/>
      <c r="I443" s="4"/>
      <c r="J443" s="4"/>
      <c r="K443" s="4"/>
      <c r="L443" s="4"/>
      <c r="M443" s="8"/>
      <c r="N443" s="4"/>
      <c r="O443" s="8"/>
      <c r="P443" s="4"/>
      <c r="Q443" s="8"/>
      <c r="R443" s="4"/>
      <c r="S443" s="8"/>
      <c r="T443" s="4"/>
      <c r="U443" s="8"/>
      <c r="V443" s="4"/>
      <c r="W443" s="8"/>
      <c r="X443" s="4"/>
      <c r="Y443" s="8"/>
      <c r="Z443" s="4"/>
      <c r="AA443" s="2"/>
      <c r="AB443" s="4"/>
      <c r="AC443" s="8"/>
      <c r="AD443" s="4"/>
    </row>
    <row r="444">
      <c r="B444" s="4"/>
      <c r="C444" s="4"/>
      <c r="D444" s="4"/>
      <c r="F444" s="4"/>
      <c r="G444" s="8"/>
      <c r="H444" s="4"/>
      <c r="I444" s="4"/>
      <c r="J444" s="4"/>
      <c r="K444" s="4"/>
      <c r="L444" s="4"/>
      <c r="M444" s="8"/>
      <c r="N444" s="4"/>
      <c r="O444" s="8"/>
      <c r="P444" s="4"/>
      <c r="Q444" s="8"/>
      <c r="R444" s="4"/>
      <c r="S444" s="8"/>
      <c r="T444" s="4"/>
      <c r="U444" s="8"/>
      <c r="V444" s="4"/>
      <c r="W444" s="8"/>
      <c r="X444" s="4"/>
      <c r="Y444" s="8"/>
      <c r="Z444" s="4"/>
      <c r="AA444" s="2"/>
      <c r="AB444" s="4"/>
      <c r="AC444" s="8"/>
      <c r="AD444" s="4"/>
    </row>
    <row r="445">
      <c r="B445" s="4"/>
      <c r="C445" s="4"/>
      <c r="D445" s="4"/>
      <c r="F445" s="4"/>
      <c r="G445" s="8"/>
      <c r="H445" s="4"/>
      <c r="I445" s="4"/>
      <c r="J445" s="4"/>
      <c r="K445" s="4"/>
      <c r="L445" s="4"/>
      <c r="M445" s="8"/>
      <c r="N445" s="4"/>
      <c r="O445" s="8"/>
      <c r="P445" s="4"/>
      <c r="Q445" s="8"/>
      <c r="R445" s="4"/>
      <c r="S445" s="8"/>
      <c r="T445" s="4"/>
      <c r="U445" s="8"/>
      <c r="V445" s="4"/>
      <c r="W445" s="8"/>
      <c r="X445" s="4"/>
      <c r="Y445" s="8"/>
      <c r="Z445" s="4"/>
      <c r="AA445" s="2"/>
      <c r="AB445" s="4"/>
      <c r="AC445" s="8"/>
      <c r="AD445" s="4"/>
    </row>
    <row r="446">
      <c r="B446" s="4"/>
      <c r="C446" s="4"/>
      <c r="D446" s="4"/>
      <c r="F446" s="4"/>
      <c r="G446" s="8"/>
      <c r="H446" s="4"/>
      <c r="I446" s="4"/>
      <c r="J446" s="4"/>
      <c r="K446" s="4"/>
      <c r="L446" s="4"/>
      <c r="M446" s="8"/>
      <c r="N446" s="4"/>
      <c r="O446" s="8"/>
      <c r="P446" s="4"/>
      <c r="Q446" s="8"/>
      <c r="R446" s="4"/>
      <c r="S446" s="8"/>
      <c r="T446" s="4"/>
      <c r="U446" s="8"/>
      <c r="V446" s="4"/>
      <c r="W446" s="8"/>
      <c r="X446" s="4"/>
      <c r="Y446" s="8"/>
      <c r="Z446" s="4"/>
      <c r="AA446" s="2"/>
      <c r="AB446" s="4"/>
      <c r="AC446" s="8"/>
      <c r="AD446" s="4"/>
    </row>
    <row r="447">
      <c r="B447" s="4"/>
      <c r="C447" s="4"/>
      <c r="D447" s="4"/>
      <c r="F447" s="4"/>
      <c r="G447" s="8"/>
      <c r="H447" s="4"/>
      <c r="I447" s="4"/>
      <c r="J447" s="4"/>
      <c r="K447" s="4"/>
      <c r="L447" s="4"/>
      <c r="M447" s="8"/>
      <c r="N447" s="4"/>
      <c r="O447" s="8"/>
      <c r="P447" s="4"/>
      <c r="Q447" s="8"/>
      <c r="R447" s="4"/>
      <c r="S447" s="8"/>
      <c r="T447" s="4"/>
      <c r="U447" s="8"/>
      <c r="V447" s="4"/>
      <c r="W447" s="8"/>
      <c r="X447" s="4"/>
      <c r="Y447" s="8"/>
      <c r="Z447" s="4"/>
      <c r="AA447" s="2"/>
      <c r="AB447" s="4"/>
      <c r="AC447" s="8"/>
      <c r="AD447" s="4"/>
    </row>
    <row r="448">
      <c r="B448" s="4"/>
      <c r="C448" s="4"/>
      <c r="D448" s="4"/>
      <c r="F448" s="4"/>
      <c r="G448" s="8"/>
      <c r="H448" s="4"/>
      <c r="I448" s="4"/>
      <c r="J448" s="4"/>
      <c r="K448" s="4"/>
      <c r="L448" s="4"/>
      <c r="M448" s="8"/>
      <c r="N448" s="4"/>
      <c r="O448" s="8"/>
      <c r="P448" s="4"/>
      <c r="Q448" s="8"/>
      <c r="R448" s="4"/>
      <c r="S448" s="8"/>
      <c r="T448" s="4"/>
      <c r="U448" s="8"/>
      <c r="V448" s="4"/>
      <c r="W448" s="8"/>
      <c r="X448" s="4"/>
      <c r="Y448" s="8"/>
      <c r="Z448" s="4"/>
      <c r="AA448" s="2"/>
      <c r="AB448" s="4"/>
      <c r="AC448" s="8"/>
      <c r="AD448" s="4"/>
    </row>
    <row r="449">
      <c r="B449" s="4"/>
      <c r="C449" s="4"/>
      <c r="D449" s="4"/>
      <c r="F449" s="4"/>
      <c r="G449" s="8"/>
      <c r="H449" s="4"/>
      <c r="I449" s="4"/>
      <c r="J449" s="4"/>
      <c r="K449" s="4"/>
      <c r="L449" s="4"/>
      <c r="M449" s="8"/>
      <c r="N449" s="4"/>
      <c r="O449" s="8"/>
      <c r="P449" s="4"/>
      <c r="Q449" s="8"/>
      <c r="R449" s="4"/>
      <c r="S449" s="8"/>
      <c r="T449" s="4"/>
      <c r="U449" s="8"/>
      <c r="V449" s="4"/>
      <c r="W449" s="8"/>
      <c r="X449" s="4"/>
      <c r="Y449" s="8"/>
      <c r="Z449" s="4"/>
      <c r="AA449" s="2"/>
      <c r="AB449" s="4"/>
      <c r="AC449" s="8"/>
      <c r="AD449" s="4"/>
    </row>
    <row r="450">
      <c r="B450" s="4"/>
      <c r="C450" s="4"/>
      <c r="D450" s="4"/>
      <c r="F450" s="4"/>
      <c r="G450" s="8"/>
      <c r="H450" s="4"/>
      <c r="I450" s="4"/>
      <c r="J450" s="4"/>
      <c r="K450" s="4"/>
      <c r="L450" s="4"/>
      <c r="M450" s="8"/>
      <c r="N450" s="4"/>
      <c r="O450" s="8"/>
      <c r="P450" s="4"/>
      <c r="Q450" s="8"/>
      <c r="R450" s="4"/>
      <c r="S450" s="8"/>
      <c r="T450" s="4"/>
      <c r="U450" s="8"/>
      <c r="V450" s="4"/>
      <c r="W450" s="8"/>
      <c r="X450" s="4"/>
      <c r="Y450" s="8"/>
      <c r="Z450" s="4"/>
      <c r="AA450" s="2"/>
      <c r="AB450" s="4"/>
      <c r="AC450" s="8"/>
      <c r="AD450" s="4"/>
    </row>
    <row r="451">
      <c r="B451" s="4"/>
      <c r="C451" s="4"/>
      <c r="D451" s="4"/>
      <c r="F451" s="4"/>
      <c r="G451" s="8"/>
      <c r="H451" s="4"/>
      <c r="I451" s="4"/>
      <c r="J451" s="4"/>
      <c r="K451" s="4"/>
      <c r="L451" s="4"/>
      <c r="M451" s="8"/>
      <c r="N451" s="4"/>
      <c r="O451" s="8"/>
      <c r="P451" s="4"/>
      <c r="Q451" s="8"/>
      <c r="R451" s="4"/>
      <c r="S451" s="8"/>
      <c r="T451" s="4"/>
      <c r="U451" s="8"/>
      <c r="V451" s="4"/>
      <c r="W451" s="8"/>
      <c r="X451" s="4"/>
      <c r="Y451" s="8"/>
      <c r="Z451" s="4"/>
      <c r="AA451" s="2"/>
      <c r="AB451" s="4"/>
      <c r="AC451" s="8"/>
      <c r="AD451" s="4"/>
    </row>
    <row r="452">
      <c r="B452" s="4"/>
      <c r="C452" s="4"/>
      <c r="D452" s="4"/>
      <c r="F452" s="4"/>
      <c r="G452" s="8"/>
      <c r="H452" s="4"/>
      <c r="I452" s="4"/>
      <c r="J452" s="4"/>
      <c r="K452" s="4"/>
      <c r="L452" s="4"/>
      <c r="M452" s="8"/>
      <c r="N452" s="4"/>
      <c r="O452" s="8"/>
      <c r="P452" s="4"/>
      <c r="Q452" s="8"/>
      <c r="R452" s="4"/>
      <c r="S452" s="8"/>
      <c r="T452" s="4"/>
      <c r="U452" s="8"/>
      <c r="V452" s="4"/>
      <c r="W452" s="8"/>
      <c r="X452" s="4"/>
      <c r="Y452" s="8"/>
      <c r="Z452" s="4"/>
      <c r="AA452" s="2"/>
      <c r="AB452" s="4"/>
      <c r="AC452" s="8"/>
      <c r="AD452" s="4"/>
    </row>
    <row r="453">
      <c r="B453" s="4"/>
      <c r="C453" s="4"/>
      <c r="D453" s="4"/>
      <c r="F453" s="4"/>
      <c r="G453" s="8"/>
      <c r="H453" s="4"/>
      <c r="I453" s="4"/>
      <c r="J453" s="4"/>
      <c r="K453" s="4"/>
      <c r="L453" s="4"/>
      <c r="M453" s="8"/>
      <c r="N453" s="4"/>
      <c r="O453" s="8"/>
      <c r="P453" s="4"/>
      <c r="Q453" s="8"/>
      <c r="R453" s="4"/>
      <c r="S453" s="8"/>
      <c r="T453" s="4"/>
      <c r="U453" s="8"/>
      <c r="V453" s="4"/>
      <c r="W453" s="8"/>
      <c r="X453" s="4"/>
      <c r="Y453" s="8"/>
      <c r="Z453" s="4"/>
      <c r="AA453" s="2"/>
      <c r="AB453" s="4"/>
      <c r="AC453" s="8"/>
      <c r="AD453" s="4"/>
    </row>
    <row r="454">
      <c r="B454" s="4"/>
      <c r="C454" s="4"/>
      <c r="D454" s="4"/>
      <c r="F454" s="4"/>
      <c r="G454" s="8"/>
      <c r="H454" s="4"/>
      <c r="I454" s="4"/>
      <c r="J454" s="4"/>
      <c r="K454" s="4"/>
      <c r="L454" s="4"/>
      <c r="M454" s="8"/>
      <c r="N454" s="4"/>
      <c r="O454" s="8"/>
      <c r="P454" s="4"/>
      <c r="Q454" s="8"/>
      <c r="R454" s="4"/>
      <c r="S454" s="8"/>
      <c r="T454" s="4"/>
      <c r="U454" s="8"/>
      <c r="V454" s="4"/>
      <c r="W454" s="8"/>
      <c r="X454" s="4"/>
      <c r="Y454" s="8"/>
      <c r="Z454" s="4"/>
      <c r="AA454" s="2"/>
      <c r="AB454" s="4"/>
      <c r="AC454" s="8"/>
      <c r="AD454" s="4"/>
    </row>
    <row r="455">
      <c r="B455" s="4"/>
      <c r="C455" s="4"/>
      <c r="D455" s="4"/>
      <c r="F455" s="4"/>
      <c r="G455" s="8"/>
      <c r="H455" s="4"/>
      <c r="I455" s="4"/>
      <c r="J455" s="4"/>
      <c r="K455" s="4"/>
      <c r="L455" s="4"/>
      <c r="M455" s="8"/>
      <c r="N455" s="4"/>
      <c r="O455" s="8"/>
      <c r="P455" s="4"/>
      <c r="Q455" s="8"/>
      <c r="R455" s="4"/>
      <c r="S455" s="8"/>
      <c r="T455" s="4"/>
      <c r="U455" s="8"/>
      <c r="V455" s="4"/>
      <c r="W455" s="8"/>
      <c r="X455" s="4"/>
      <c r="Y455" s="8"/>
      <c r="Z455" s="4"/>
      <c r="AA455" s="2"/>
      <c r="AB455" s="4"/>
      <c r="AC455" s="8"/>
      <c r="AD455" s="4"/>
    </row>
    <row r="456">
      <c r="B456" s="4"/>
      <c r="C456" s="4"/>
      <c r="D456" s="4"/>
      <c r="F456" s="4"/>
      <c r="G456" s="8"/>
      <c r="H456" s="4"/>
      <c r="I456" s="4"/>
      <c r="J456" s="4"/>
      <c r="K456" s="4"/>
      <c r="L456" s="4"/>
      <c r="M456" s="8"/>
      <c r="N456" s="4"/>
      <c r="O456" s="8"/>
      <c r="P456" s="4"/>
      <c r="Q456" s="8"/>
      <c r="R456" s="4"/>
      <c r="S456" s="8"/>
      <c r="T456" s="4"/>
      <c r="U456" s="8"/>
      <c r="V456" s="4"/>
      <c r="W456" s="8"/>
      <c r="X456" s="4"/>
      <c r="Y456" s="8"/>
      <c r="Z456" s="4"/>
      <c r="AA456" s="2"/>
      <c r="AB456" s="4"/>
      <c r="AC456" s="8"/>
      <c r="AD456" s="4"/>
    </row>
    <row r="457">
      <c r="B457" s="4"/>
      <c r="C457" s="4"/>
      <c r="D457" s="4"/>
      <c r="F457" s="4"/>
      <c r="G457" s="8"/>
      <c r="H457" s="4"/>
      <c r="I457" s="4"/>
      <c r="J457" s="4"/>
      <c r="K457" s="4"/>
      <c r="L457" s="4"/>
      <c r="M457" s="8"/>
      <c r="N457" s="4"/>
      <c r="O457" s="8"/>
      <c r="P457" s="4"/>
      <c r="Q457" s="8"/>
      <c r="R457" s="4"/>
      <c r="S457" s="8"/>
      <c r="T457" s="4"/>
      <c r="U457" s="8"/>
      <c r="V457" s="4"/>
      <c r="W457" s="8"/>
      <c r="X457" s="4"/>
      <c r="Y457" s="8"/>
      <c r="Z457" s="4"/>
      <c r="AA457" s="2"/>
      <c r="AB457" s="4"/>
      <c r="AC457" s="8"/>
      <c r="AD457" s="4"/>
    </row>
    <row r="458">
      <c r="B458" s="4"/>
      <c r="C458" s="4"/>
      <c r="D458" s="4"/>
      <c r="F458" s="4"/>
      <c r="G458" s="8"/>
      <c r="H458" s="4"/>
      <c r="I458" s="4"/>
      <c r="J458" s="4"/>
      <c r="K458" s="4"/>
      <c r="L458" s="4"/>
      <c r="M458" s="8"/>
      <c r="N458" s="4"/>
      <c r="O458" s="8"/>
      <c r="P458" s="4"/>
      <c r="Q458" s="8"/>
      <c r="R458" s="4"/>
      <c r="S458" s="8"/>
      <c r="T458" s="4"/>
      <c r="U458" s="8"/>
      <c r="V458" s="4"/>
      <c r="W458" s="8"/>
      <c r="X458" s="4"/>
      <c r="Y458" s="8"/>
      <c r="Z458" s="4"/>
      <c r="AA458" s="2"/>
      <c r="AB458" s="4"/>
      <c r="AC458" s="8"/>
      <c r="AD458" s="4"/>
    </row>
    <row r="459">
      <c r="B459" s="4"/>
      <c r="C459" s="4"/>
      <c r="D459" s="4"/>
      <c r="F459" s="4"/>
      <c r="G459" s="8"/>
      <c r="H459" s="4"/>
      <c r="I459" s="4"/>
      <c r="J459" s="4"/>
      <c r="K459" s="4"/>
      <c r="L459" s="4"/>
      <c r="M459" s="8"/>
      <c r="N459" s="4"/>
      <c r="O459" s="8"/>
      <c r="P459" s="4"/>
      <c r="Q459" s="8"/>
      <c r="R459" s="4"/>
      <c r="S459" s="8"/>
      <c r="T459" s="4"/>
      <c r="U459" s="8"/>
      <c r="V459" s="4"/>
      <c r="W459" s="8"/>
      <c r="X459" s="4"/>
      <c r="Y459" s="8"/>
      <c r="Z459" s="4"/>
      <c r="AA459" s="2"/>
      <c r="AB459" s="4"/>
      <c r="AC459" s="8"/>
      <c r="AD459" s="4"/>
    </row>
    <row r="460">
      <c r="B460" s="4"/>
      <c r="C460" s="4"/>
      <c r="D460" s="4"/>
      <c r="F460" s="4"/>
      <c r="G460" s="8"/>
      <c r="H460" s="4"/>
      <c r="I460" s="4"/>
      <c r="J460" s="4"/>
      <c r="K460" s="4"/>
      <c r="L460" s="4"/>
      <c r="M460" s="8"/>
      <c r="N460" s="4"/>
      <c r="O460" s="8"/>
      <c r="P460" s="4"/>
      <c r="Q460" s="8"/>
      <c r="R460" s="4"/>
      <c r="S460" s="8"/>
      <c r="T460" s="4"/>
      <c r="U460" s="8"/>
      <c r="V460" s="4"/>
      <c r="W460" s="8"/>
      <c r="X460" s="4"/>
      <c r="Y460" s="8"/>
      <c r="Z460" s="4"/>
      <c r="AA460" s="2"/>
      <c r="AB460" s="4"/>
      <c r="AC460" s="8"/>
      <c r="AD460" s="4"/>
    </row>
    <row r="461">
      <c r="B461" s="4"/>
      <c r="C461" s="4"/>
      <c r="D461" s="4"/>
      <c r="F461" s="4"/>
      <c r="G461" s="8"/>
      <c r="H461" s="4"/>
      <c r="I461" s="4"/>
      <c r="J461" s="4"/>
      <c r="K461" s="4"/>
      <c r="L461" s="4"/>
      <c r="M461" s="8"/>
      <c r="N461" s="4"/>
      <c r="O461" s="8"/>
      <c r="P461" s="4"/>
      <c r="Q461" s="8"/>
      <c r="R461" s="4"/>
      <c r="S461" s="8"/>
      <c r="T461" s="4"/>
      <c r="U461" s="8"/>
      <c r="V461" s="4"/>
      <c r="W461" s="8"/>
      <c r="X461" s="4"/>
      <c r="Y461" s="8"/>
      <c r="Z461" s="4"/>
      <c r="AA461" s="2"/>
      <c r="AB461" s="4"/>
      <c r="AC461" s="8"/>
      <c r="AD461" s="4"/>
    </row>
    <row r="462">
      <c r="B462" s="4"/>
      <c r="C462" s="4"/>
      <c r="D462" s="4"/>
      <c r="F462" s="4"/>
      <c r="G462" s="8"/>
      <c r="H462" s="4"/>
      <c r="I462" s="4"/>
      <c r="J462" s="4"/>
      <c r="K462" s="4"/>
      <c r="L462" s="4"/>
      <c r="M462" s="8"/>
      <c r="N462" s="4"/>
      <c r="O462" s="8"/>
      <c r="P462" s="4"/>
      <c r="Q462" s="8"/>
      <c r="R462" s="4"/>
      <c r="S462" s="8"/>
      <c r="T462" s="4"/>
      <c r="U462" s="8"/>
      <c r="V462" s="4"/>
      <c r="W462" s="8"/>
      <c r="X462" s="4"/>
      <c r="Y462" s="8"/>
      <c r="Z462" s="4"/>
      <c r="AA462" s="2"/>
      <c r="AB462" s="4"/>
      <c r="AC462" s="8"/>
      <c r="AD462" s="4"/>
    </row>
    <row r="463">
      <c r="B463" s="4"/>
      <c r="C463" s="4"/>
      <c r="D463" s="4"/>
      <c r="F463" s="4"/>
      <c r="G463" s="8"/>
      <c r="H463" s="4"/>
      <c r="I463" s="4"/>
      <c r="J463" s="4"/>
      <c r="K463" s="4"/>
      <c r="L463" s="4"/>
      <c r="M463" s="8"/>
      <c r="N463" s="4"/>
      <c r="O463" s="8"/>
      <c r="P463" s="4"/>
      <c r="Q463" s="8"/>
      <c r="R463" s="4"/>
      <c r="S463" s="8"/>
      <c r="T463" s="4"/>
      <c r="U463" s="8"/>
      <c r="V463" s="4"/>
      <c r="W463" s="8"/>
      <c r="X463" s="4"/>
      <c r="Y463" s="8"/>
      <c r="Z463" s="4"/>
      <c r="AA463" s="2"/>
      <c r="AB463" s="4"/>
      <c r="AC463" s="8"/>
      <c r="AD463" s="4"/>
    </row>
    <row r="464">
      <c r="B464" s="4"/>
      <c r="C464" s="4"/>
      <c r="D464" s="4"/>
      <c r="F464" s="4"/>
      <c r="G464" s="8"/>
      <c r="H464" s="4"/>
      <c r="I464" s="4"/>
      <c r="J464" s="4"/>
      <c r="K464" s="4"/>
      <c r="L464" s="4"/>
      <c r="M464" s="8"/>
      <c r="N464" s="4"/>
      <c r="O464" s="8"/>
      <c r="P464" s="4"/>
      <c r="Q464" s="8"/>
      <c r="R464" s="4"/>
      <c r="S464" s="8"/>
      <c r="T464" s="4"/>
      <c r="U464" s="8"/>
      <c r="V464" s="4"/>
      <c r="W464" s="8"/>
      <c r="X464" s="4"/>
      <c r="Y464" s="8"/>
      <c r="Z464" s="4"/>
      <c r="AA464" s="2"/>
      <c r="AB464" s="4"/>
      <c r="AC464" s="8"/>
      <c r="AD464" s="4"/>
    </row>
    <row r="465">
      <c r="B465" s="4"/>
      <c r="C465" s="4"/>
      <c r="D465" s="4"/>
      <c r="F465" s="4"/>
      <c r="G465" s="8"/>
      <c r="H465" s="4"/>
      <c r="I465" s="4"/>
      <c r="J465" s="4"/>
      <c r="K465" s="4"/>
      <c r="L465" s="4"/>
      <c r="M465" s="8"/>
      <c r="N465" s="4"/>
      <c r="O465" s="8"/>
      <c r="P465" s="4"/>
      <c r="Q465" s="8"/>
      <c r="R465" s="4"/>
      <c r="S465" s="8"/>
      <c r="T465" s="4"/>
      <c r="U465" s="8"/>
      <c r="V465" s="4"/>
      <c r="W465" s="8"/>
      <c r="X465" s="4"/>
      <c r="Y465" s="8"/>
      <c r="Z465" s="4"/>
      <c r="AA465" s="2"/>
      <c r="AB465" s="4"/>
      <c r="AC465" s="8"/>
      <c r="AD465" s="4"/>
    </row>
    <row r="466">
      <c r="B466" s="4"/>
      <c r="C466" s="4"/>
      <c r="D466" s="4"/>
      <c r="F466" s="4"/>
      <c r="G466" s="8"/>
      <c r="H466" s="4"/>
      <c r="I466" s="4"/>
      <c r="J466" s="4"/>
      <c r="K466" s="4"/>
      <c r="L466" s="4"/>
      <c r="M466" s="8"/>
      <c r="N466" s="4"/>
      <c r="O466" s="8"/>
      <c r="P466" s="4"/>
      <c r="Q466" s="8"/>
      <c r="R466" s="4"/>
      <c r="S466" s="8"/>
      <c r="T466" s="4"/>
      <c r="U466" s="8"/>
      <c r="V466" s="4"/>
      <c r="W466" s="8"/>
      <c r="X466" s="4"/>
      <c r="Y466" s="8"/>
      <c r="Z466" s="4"/>
      <c r="AA466" s="2"/>
      <c r="AB466" s="4"/>
      <c r="AC466" s="8"/>
      <c r="AD466" s="4"/>
    </row>
    <row r="467">
      <c r="B467" s="4"/>
      <c r="C467" s="4"/>
      <c r="D467" s="4"/>
      <c r="F467" s="4"/>
      <c r="G467" s="8"/>
      <c r="H467" s="4"/>
      <c r="I467" s="4"/>
      <c r="J467" s="4"/>
      <c r="K467" s="4"/>
      <c r="L467" s="4"/>
      <c r="M467" s="8"/>
      <c r="N467" s="4"/>
      <c r="O467" s="8"/>
      <c r="P467" s="4"/>
      <c r="Q467" s="8"/>
      <c r="R467" s="4"/>
      <c r="S467" s="8"/>
      <c r="T467" s="4"/>
      <c r="U467" s="8"/>
      <c r="V467" s="4"/>
      <c r="W467" s="8"/>
      <c r="X467" s="4"/>
      <c r="Y467" s="8"/>
      <c r="Z467" s="4"/>
      <c r="AA467" s="2"/>
      <c r="AB467" s="4"/>
      <c r="AC467" s="8"/>
      <c r="AD467" s="4"/>
    </row>
    <row r="468">
      <c r="B468" s="4"/>
      <c r="C468" s="4"/>
      <c r="D468" s="4"/>
      <c r="F468" s="4"/>
      <c r="G468" s="8"/>
      <c r="H468" s="4"/>
      <c r="I468" s="4"/>
      <c r="J468" s="4"/>
      <c r="K468" s="4"/>
      <c r="L468" s="4"/>
      <c r="M468" s="8"/>
      <c r="N468" s="4"/>
      <c r="O468" s="8"/>
      <c r="P468" s="4"/>
      <c r="Q468" s="8"/>
      <c r="R468" s="4"/>
      <c r="S468" s="8"/>
      <c r="T468" s="4"/>
      <c r="U468" s="8"/>
      <c r="V468" s="4"/>
      <c r="W468" s="8"/>
      <c r="X468" s="4"/>
      <c r="Y468" s="8"/>
      <c r="Z468" s="4"/>
      <c r="AA468" s="2"/>
      <c r="AB468" s="4"/>
      <c r="AC468" s="8"/>
      <c r="AD468" s="4"/>
    </row>
    <row r="469">
      <c r="B469" s="4"/>
      <c r="C469" s="4"/>
      <c r="D469" s="4"/>
      <c r="F469" s="4"/>
      <c r="G469" s="8"/>
      <c r="H469" s="4"/>
      <c r="I469" s="4"/>
      <c r="J469" s="4"/>
      <c r="K469" s="4"/>
      <c r="L469" s="4"/>
      <c r="M469" s="8"/>
      <c r="N469" s="4"/>
      <c r="O469" s="8"/>
      <c r="P469" s="4"/>
      <c r="Q469" s="8"/>
      <c r="R469" s="4"/>
      <c r="S469" s="8"/>
      <c r="T469" s="4"/>
      <c r="U469" s="8"/>
      <c r="V469" s="4"/>
      <c r="W469" s="8"/>
      <c r="X469" s="4"/>
      <c r="Y469" s="8"/>
      <c r="Z469" s="4"/>
      <c r="AA469" s="2"/>
      <c r="AB469" s="4"/>
      <c r="AC469" s="8"/>
      <c r="AD469" s="4"/>
    </row>
    <row r="470">
      <c r="B470" s="4"/>
      <c r="C470" s="4"/>
      <c r="D470" s="4"/>
      <c r="F470" s="4"/>
      <c r="G470" s="8"/>
      <c r="H470" s="4"/>
      <c r="I470" s="4"/>
      <c r="J470" s="4"/>
      <c r="K470" s="4"/>
      <c r="L470" s="4"/>
      <c r="M470" s="8"/>
      <c r="N470" s="4"/>
      <c r="O470" s="8"/>
      <c r="P470" s="4"/>
      <c r="Q470" s="8"/>
      <c r="R470" s="4"/>
      <c r="S470" s="8"/>
      <c r="T470" s="4"/>
      <c r="U470" s="8"/>
      <c r="V470" s="4"/>
      <c r="W470" s="8"/>
      <c r="X470" s="4"/>
      <c r="Y470" s="8"/>
      <c r="Z470" s="4"/>
      <c r="AA470" s="2"/>
      <c r="AB470" s="4"/>
      <c r="AC470" s="8"/>
      <c r="AD470" s="4"/>
    </row>
    <row r="471">
      <c r="B471" s="4"/>
      <c r="C471" s="4"/>
      <c r="D471" s="4"/>
      <c r="F471" s="4"/>
      <c r="G471" s="8"/>
      <c r="H471" s="4"/>
      <c r="I471" s="4"/>
      <c r="J471" s="4"/>
      <c r="K471" s="4"/>
      <c r="L471" s="4"/>
      <c r="M471" s="8"/>
      <c r="N471" s="4"/>
      <c r="O471" s="8"/>
      <c r="P471" s="4"/>
      <c r="Q471" s="8"/>
      <c r="R471" s="4"/>
      <c r="S471" s="8"/>
      <c r="T471" s="4"/>
      <c r="U471" s="8"/>
      <c r="V471" s="4"/>
      <c r="W471" s="8"/>
      <c r="X471" s="4"/>
      <c r="Y471" s="8"/>
      <c r="Z471" s="4"/>
      <c r="AA471" s="2"/>
      <c r="AB471" s="4"/>
      <c r="AC471" s="8"/>
      <c r="AD471" s="4"/>
    </row>
    <row r="472">
      <c r="B472" s="4"/>
      <c r="C472" s="4"/>
      <c r="D472" s="4"/>
      <c r="F472" s="4"/>
      <c r="G472" s="8"/>
      <c r="H472" s="4"/>
      <c r="I472" s="4"/>
      <c r="J472" s="4"/>
      <c r="K472" s="4"/>
      <c r="L472" s="4"/>
      <c r="M472" s="8"/>
      <c r="N472" s="4"/>
      <c r="O472" s="8"/>
      <c r="P472" s="4"/>
      <c r="Q472" s="8"/>
      <c r="R472" s="4"/>
      <c r="S472" s="8"/>
      <c r="T472" s="4"/>
      <c r="U472" s="8"/>
      <c r="V472" s="4"/>
      <c r="W472" s="8"/>
      <c r="X472" s="4"/>
      <c r="Y472" s="8"/>
      <c r="Z472" s="4"/>
      <c r="AA472" s="2"/>
      <c r="AB472" s="4"/>
      <c r="AC472" s="8"/>
      <c r="AD472" s="4"/>
    </row>
    <row r="473">
      <c r="B473" s="4"/>
      <c r="C473" s="4"/>
      <c r="D473" s="4"/>
      <c r="F473" s="4"/>
      <c r="G473" s="8"/>
      <c r="H473" s="4"/>
      <c r="I473" s="4"/>
      <c r="J473" s="4"/>
      <c r="K473" s="4"/>
      <c r="L473" s="4"/>
      <c r="M473" s="8"/>
      <c r="N473" s="4"/>
      <c r="O473" s="8"/>
      <c r="P473" s="4"/>
      <c r="Q473" s="8"/>
      <c r="R473" s="4"/>
      <c r="S473" s="8"/>
      <c r="T473" s="4"/>
      <c r="U473" s="8"/>
      <c r="V473" s="4"/>
      <c r="W473" s="8"/>
      <c r="X473" s="4"/>
      <c r="Y473" s="8"/>
      <c r="Z473" s="4"/>
      <c r="AA473" s="2"/>
      <c r="AB473" s="4"/>
      <c r="AC473" s="8"/>
      <c r="AD473" s="4"/>
    </row>
    <row r="474">
      <c r="B474" s="4"/>
      <c r="C474" s="4"/>
      <c r="D474" s="4"/>
      <c r="F474" s="4"/>
      <c r="G474" s="8"/>
      <c r="H474" s="4"/>
      <c r="I474" s="4"/>
      <c r="J474" s="4"/>
      <c r="K474" s="4"/>
      <c r="L474" s="4"/>
      <c r="M474" s="8"/>
      <c r="N474" s="4"/>
      <c r="O474" s="8"/>
      <c r="P474" s="4"/>
      <c r="Q474" s="8"/>
      <c r="R474" s="4"/>
      <c r="S474" s="8"/>
      <c r="T474" s="4"/>
      <c r="U474" s="8"/>
      <c r="V474" s="4"/>
      <c r="W474" s="8"/>
      <c r="X474" s="4"/>
      <c r="Y474" s="8"/>
      <c r="Z474" s="4"/>
      <c r="AA474" s="2"/>
      <c r="AB474" s="4"/>
      <c r="AC474" s="8"/>
      <c r="AD474" s="4"/>
    </row>
    <row r="475">
      <c r="B475" s="4"/>
      <c r="C475" s="4"/>
      <c r="D475" s="4"/>
      <c r="F475" s="4"/>
      <c r="G475" s="8"/>
      <c r="H475" s="4"/>
      <c r="I475" s="4"/>
      <c r="J475" s="4"/>
      <c r="K475" s="4"/>
      <c r="L475" s="4"/>
      <c r="M475" s="8"/>
      <c r="N475" s="4"/>
      <c r="O475" s="8"/>
      <c r="P475" s="4"/>
      <c r="Q475" s="8"/>
      <c r="R475" s="4"/>
      <c r="S475" s="8"/>
      <c r="T475" s="4"/>
      <c r="U475" s="8"/>
      <c r="V475" s="4"/>
      <c r="W475" s="8"/>
      <c r="X475" s="4"/>
      <c r="Y475" s="8"/>
      <c r="Z475" s="4"/>
      <c r="AA475" s="2"/>
      <c r="AB475" s="4"/>
      <c r="AC475" s="8"/>
      <c r="AD475" s="4"/>
    </row>
    <row r="476">
      <c r="B476" s="4"/>
      <c r="C476" s="4"/>
      <c r="D476" s="4"/>
      <c r="F476" s="4"/>
      <c r="G476" s="8"/>
      <c r="H476" s="4"/>
      <c r="I476" s="4"/>
      <c r="J476" s="4"/>
      <c r="K476" s="4"/>
      <c r="L476" s="4"/>
      <c r="M476" s="8"/>
      <c r="N476" s="4"/>
      <c r="O476" s="8"/>
      <c r="P476" s="4"/>
      <c r="Q476" s="8"/>
      <c r="R476" s="4"/>
      <c r="S476" s="8"/>
      <c r="T476" s="4"/>
      <c r="U476" s="8"/>
      <c r="V476" s="4"/>
      <c r="W476" s="8"/>
      <c r="X476" s="4"/>
      <c r="Y476" s="8"/>
      <c r="Z476" s="4"/>
      <c r="AA476" s="2"/>
      <c r="AB476" s="4"/>
      <c r="AC476" s="8"/>
      <c r="AD476" s="4"/>
    </row>
    <row r="477">
      <c r="B477" s="4"/>
      <c r="C477" s="4"/>
      <c r="D477" s="4"/>
      <c r="F477" s="4"/>
      <c r="G477" s="8"/>
      <c r="H477" s="4"/>
      <c r="I477" s="4"/>
      <c r="J477" s="4"/>
      <c r="K477" s="4"/>
      <c r="L477" s="4"/>
      <c r="M477" s="8"/>
      <c r="N477" s="4"/>
      <c r="O477" s="8"/>
      <c r="P477" s="4"/>
      <c r="Q477" s="8"/>
      <c r="R477" s="4"/>
      <c r="S477" s="8"/>
      <c r="T477" s="4"/>
      <c r="U477" s="8"/>
      <c r="V477" s="4"/>
      <c r="W477" s="8"/>
      <c r="X477" s="4"/>
      <c r="Y477" s="8"/>
      <c r="Z477" s="4"/>
      <c r="AA477" s="2"/>
      <c r="AB477" s="4"/>
      <c r="AC477" s="8"/>
      <c r="AD477" s="4"/>
    </row>
    <row r="478">
      <c r="B478" s="4"/>
      <c r="C478" s="4"/>
      <c r="D478" s="4"/>
      <c r="F478" s="4"/>
      <c r="G478" s="8"/>
      <c r="H478" s="4"/>
      <c r="I478" s="4"/>
      <c r="J478" s="4"/>
      <c r="K478" s="4"/>
      <c r="L478" s="4"/>
      <c r="M478" s="8"/>
      <c r="N478" s="4"/>
      <c r="O478" s="8"/>
      <c r="P478" s="4"/>
      <c r="Q478" s="8"/>
      <c r="R478" s="4"/>
      <c r="S478" s="8"/>
      <c r="T478" s="4"/>
      <c r="U478" s="8"/>
      <c r="V478" s="4"/>
      <c r="W478" s="8"/>
      <c r="X478" s="4"/>
      <c r="Y478" s="8"/>
      <c r="Z478" s="4"/>
      <c r="AA478" s="2"/>
      <c r="AB478" s="4"/>
      <c r="AC478" s="8"/>
      <c r="AD478" s="4"/>
    </row>
    <row r="479">
      <c r="B479" s="4"/>
      <c r="C479" s="4"/>
      <c r="D479" s="4"/>
      <c r="F479" s="4"/>
      <c r="G479" s="8"/>
      <c r="H479" s="4"/>
      <c r="I479" s="4"/>
      <c r="J479" s="4"/>
      <c r="K479" s="4"/>
      <c r="L479" s="4"/>
      <c r="M479" s="8"/>
      <c r="N479" s="4"/>
      <c r="O479" s="8"/>
      <c r="P479" s="4"/>
      <c r="Q479" s="8"/>
      <c r="R479" s="4"/>
      <c r="S479" s="8"/>
      <c r="T479" s="4"/>
      <c r="U479" s="8"/>
      <c r="V479" s="4"/>
      <c r="W479" s="8"/>
      <c r="X479" s="4"/>
      <c r="Y479" s="8"/>
      <c r="Z479" s="4"/>
      <c r="AA479" s="2"/>
      <c r="AB479" s="4"/>
      <c r="AC479" s="8"/>
      <c r="AD479" s="4"/>
    </row>
    <row r="480">
      <c r="B480" s="4"/>
      <c r="C480" s="4"/>
      <c r="D480" s="4"/>
      <c r="F480" s="4"/>
      <c r="G480" s="8"/>
      <c r="H480" s="4"/>
      <c r="I480" s="4"/>
      <c r="J480" s="4"/>
      <c r="K480" s="4"/>
      <c r="L480" s="4"/>
      <c r="M480" s="8"/>
      <c r="N480" s="4"/>
      <c r="O480" s="8"/>
      <c r="P480" s="4"/>
      <c r="Q480" s="8"/>
      <c r="R480" s="4"/>
      <c r="S480" s="8"/>
      <c r="T480" s="4"/>
      <c r="U480" s="8"/>
      <c r="V480" s="4"/>
      <c r="W480" s="8"/>
      <c r="X480" s="4"/>
      <c r="Y480" s="8"/>
      <c r="Z480" s="4"/>
      <c r="AA480" s="2"/>
      <c r="AB480" s="4"/>
      <c r="AC480" s="8"/>
      <c r="AD480" s="4"/>
    </row>
    <row r="481">
      <c r="B481" s="4"/>
      <c r="C481" s="4"/>
      <c r="D481" s="4"/>
      <c r="F481" s="4"/>
      <c r="G481" s="8"/>
      <c r="H481" s="4"/>
      <c r="I481" s="4"/>
      <c r="J481" s="4"/>
      <c r="K481" s="4"/>
      <c r="L481" s="4"/>
      <c r="M481" s="8"/>
      <c r="N481" s="4"/>
      <c r="O481" s="8"/>
      <c r="P481" s="4"/>
      <c r="Q481" s="8"/>
      <c r="R481" s="4"/>
      <c r="S481" s="8"/>
      <c r="T481" s="4"/>
      <c r="U481" s="8"/>
      <c r="V481" s="4"/>
      <c r="W481" s="8"/>
      <c r="X481" s="4"/>
      <c r="Y481" s="8"/>
      <c r="Z481" s="4"/>
      <c r="AA481" s="2"/>
      <c r="AB481" s="4"/>
      <c r="AC481" s="8"/>
      <c r="AD481" s="4"/>
    </row>
    <row r="482">
      <c r="B482" s="4"/>
      <c r="C482" s="4"/>
      <c r="D482" s="4"/>
      <c r="F482" s="4"/>
      <c r="G482" s="8"/>
      <c r="H482" s="4"/>
      <c r="I482" s="4"/>
      <c r="J482" s="4"/>
      <c r="K482" s="4"/>
      <c r="L482" s="4"/>
      <c r="M482" s="8"/>
      <c r="N482" s="4"/>
      <c r="O482" s="8"/>
      <c r="P482" s="4"/>
      <c r="Q482" s="8"/>
      <c r="R482" s="4"/>
      <c r="S482" s="8"/>
      <c r="T482" s="4"/>
      <c r="U482" s="8"/>
      <c r="V482" s="4"/>
      <c r="W482" s="8"/>
      <c r="X482" s="4"/>
      <c r="Y482" s="8"/>
      <c r="Z482" s="4"/>
      <c r="AA482" s="2"/>
      <c r="AB482" s="4"/>
      <c r="AC482" s="8"/>
      <c r="AD482" s="4"/>
    </row>
    <row r="483">
      <c r="B483" s="4"/>
      <c r="C483" s="4"/>
      <c r="D483" s="4"/>
      <c r="F483" s="4"/>
      <c r="G483" s="8"/>
      <c r="H483" s="4"/>
      <c r="I483" s="4"/>
      <c r="J483" s="4"/>
      <c r="K483" s="4"/>
      <c r="L483" s="4"/>
      <c r="M483" s="8"/>
      <c r="N483" s="4"/>
      <c r="O483" s="8"/>
      <c r="P483" s="4"/>
      <c r="Q483" s="8"/>
      <c r="R483" s="4"/>
      <c r="S483" s="8"/>
      <c r="T483" s="4"/>
      <c r="U483" s="8"/>
      <c r="V483" s="4"/>
      <c r="W483" s="8"/>
      <c r="X483" s="4"/>
      <c r="Y483" s="8"/>
      <c r="Z483" s="4"/>
      <c r="AA483" s="2"/>
      <c r="AB483" s="4"/>
      <c r="AC483" s="8"/>
      <c r="AD483" s="4"/>
    </row>
    <row r="484">
      <c r="B484" s="4"/>
      <c r="C484" s="4"/>
      <c r="D484" s="4"/>
      <c r="F484" s="4"/>
      <c r="G484" s="8"/>
      <c r="H484" s="4"/>
      <c r="I484" s="4"/>
      <c r="J484" s="4"/>
      <c r="K484" s="4"/>
      <c r="L484" s="4"/>
      <c r="M484" s="8"/>
      <c r="N484" s="4"/>
      <c r="O484" s="8"/>
      <c r="P484" s="4"/>
      <c r="Q484" s="8"/>
      <c r="R484" s="4"/>
      <c r="S484" s="8"/>
      <c r="T484" s="4"/>
      <c r="U484" s="8"/>
      <c r="V484" s="4"/>
      <c r="W484" s="8"/>
      <c r="X484" s="4"/>
      <c r="Y484" s="8"/>
      <c r="Z484" s="4"/>
      <c r="AA484" s="2"/>
      <c r="AB484" s="4"/>
      <c r="AC484" s="8"/>
      <c r="AD484" s="4"/>
    </row>
    <row r="485">
      <c r="B485" s="4"/>
      <c r="C485" s="4"/>
      <c r="D485" s="4"/>
      <c r="F485" s="4"/>
      <c r="G485" s="8"/>
      <c r="H485" s="4"/>
      <c r="I485" s="4"/>
      <c r="J485" s="4"/>
      <c r="K485" s="4"/>
      <c r="L485" s="4"/>
      <c r="M485" s="8"/>
      <c r="N485" s="4"/>
      <c r="O485" s="8"/>
      <c r="P485" s="4"/>
      <c r="Q485" s="8"/>
      <c r="R485" s="4"/>
      <c r="S485" s="8"/>
      <c r="T485" s="4"/>
      <c r="U485" s="8"/>
      <c r="V485" s="4"/>
      <c r="W485" s="8"/>
      <c r="X485" s="4"/>
      <c r="Y485" s="8"/>
      <c r="Z485" s="4"/>
      <c r="AA485" s="2"/>
      <c r="AB485" s="4"/>
      <c r="AC485" s="8"/>
      <c r="AD485" s="4"/>
    </row>
    <row r="486">
      <c r="B486" s="4"/>
      <c r="C486" s="4"/>
      <c r="D486" s="4"/>
      <c r="F486" s="4"/>
      <c r="G486" s="8"/>
      <c r="H486" s="4"/>
      <c r="I486" s="4"/>
      <c r="J486" s="4"/>
      <c r="K486" s="4"/>
      <c r="L486" s="4"/>
      <c r="M486" s="8"/>
      <c r="N486" s="4"/>
      <c r="O486" s="8"/>
      <c r="P486" s="4"/>
      <c r="Q486" s="8"/>
      <c r="R486" s="4"/>
      <c r="S486" s="8"/>
      <c r="T486" s="4"/>
      <c r="U486" s="8"/>
      <c r="V486" s="4"/>
      <c r="W486" s="8"/>
      <c r="X486" s="4"/>
      <c r="Y486" s="8"/>
      <c r="Z486" s="4"/>
      <c r="AA486" s="2"/>
      <c r="AB486" s="4"/>
      <c r="AC486" s="8"/>
      <c r="AD486" s="4"/>
    </row>
    <row r="487">
      <c r="B487" s="4"/>
      <c r="C487" s="4"/>
      <c r="D487" s="4"/>
      <c r="F487" s="4"/>
      <c r="G487" s="8"/>
      <c r="H487" s="4"/>
      <c r="I487" s="4"/>
      <c r="J487" s="4"/>
      <c r="K487" s="4"/>
      <c r="L487" s="4"/>
      <c r="M487" s="8"/>
      <c r="N487" s="4"/>
      <c r="O487" s="8"/>
      <c r="P487" s="4"/>
      <c r="Q487" s="8"/>
      <c r="R487" s="4"/>
      <c r="S487" s="8"/>
      <c r="T487" s="4"/>
      <c r="U487" s="8"/>
      <c r="V487" s="4"/>
      <c r="W487" s="8"/>
      <c r="X487" s="4"/>
      <c r="Y487" s="8"/>
      <c r="Z487" s="4"/>
      <c r="AA487" s="2"/>
      <c r="AB487" s="4"/>
      <c r="AC487" s="8"/>
      <c r="AD487" s="4"/>
    </row>
    <row r="488">
      <c r="B488" s="4"/>
      <c r="C488" s="4"/>
      <c r="D488" s="4"/>
      <c r="F488" s="4"/>
      <c r="G488" s="8"/>
      <c r="H488" s="4"/>
      <c r="I488" s="4"/>
      <c r="J488" s="4"/>
      <c r="K488" s="4"/>
      <c r="L488" s="4"/>
      <c r="M488" s="8"/>
      <c r="N488" s="4"/>
      <c r="O488" s="8"/>
      <c r="P488" s="4"/>
      <c r="Q488" s="8"/>
      <c r="R488" s="4"/>
      <c r="S488" s="8"/>
      <c r="T488" s="4"/>
      <c r="U488" s="8"/>
      <c r="V488" s="4"/>
      <c r="W488" s="8"/>
      <c r="X488" s="4"/>
      <c r="Y488" s="8"/>
      <c r="Z488" s="4"/>
      <c r="AA488" s="2"/>
      <c r="AB488" s="4"/>
      <c r="AC488" s="8"/>
      <c r="AD488" s="4"/>
    </row>
    <row r="489">
      <c r="B489" s="4"/>
      <c r="C489" s="4"/>
      <c r="D489" s="4"/>
      <c r="F489" s="4"/>
      <c r="G489" s="8"/>
      <c r="H489" s="4"/>
      <c r="I489" s="4"/>
      <c r="J489" s="4"/>
      <c r="K489" s="4"/>
      <c r="L489" s="4"/>
      <c r="M489" s="8"/>
      <c r="N489" s="4"/>
      <c r="O489" s="8"/>
      <c r="P489" s="4"/>
      <c r="Q489" s="8"/>
      <c r="R489" s="4"/>
      <c r="S489" s="8"/>
      <c r="T489" s="4"/>
      <c r="U489" s="8"/>
      <c r="V489" s="4"/>
      <c r="W489" s="8"/>
      <c r="X489" s="4"/>
      <c r="Y489" s="8"/>
      <c r="Z489" s="4"/>
      <c r="AA489" s="2"/>
      <c r="AB489" s="4"/>
      <c r="AC489" s="8"/>
      <c r="AD489" s="4"/>
    </row>
    <row r="490">
      <c r="B490" s="4"/>
      <c r="C490" s="4"/>
      <c r="D490" s="4"/>
      <c r="F490" s="4"/>
      <c r="G490" s="8"/>
      <c r="H490" s="4"/>
      <c r="I490" s="4"/>
      <c r="J490" s="4"/>
      <c r="K490" s="4"/>
      <c r="L490" s="4"/>
      <c r="M490" s="8"/>
      <c r="N490" s="4"/>
      <c r="O490" s="8"/>
      <c r="P490" s="4"/>
      <c r="Q490" s="8"/>
      <c r="R490" s="4"/>
      <c r="S490" s="8"/>
      <c r="T490" s="4"/>
      <c r="U490" s="8"/>
      <c r="V490" s="4"/>
      <c r="W490" s="8"/>
      <c r="X490" s="4"/>
      <c r="Y490" s="8"/>
      <c r="Z490" s="4"/>
      <c r="AA490" s="2"/>
      <c r="AB490" s="4"/>
      <c r="AC490" s="8"/>
      <c r="AD490" s="4"/>
    </row>
    <row r="491">
      <c r="B491" s="4"/>
      <c r="C491" s="4"/>
      <c r="D491" s="4"/>
      <c r="F491" s="4"/>
      <c r="G491" s="8"/>
      <c r="H491" s="4"/>
      <c r="I491" s="4"/>
      <c r="J491" s="4"/>
      <c r="K491" s="4"/>
      <c r="L491" s="4"/>
      <c r="M491" s="8"/>
      <c r="N491" s="4"/>
      <c r="O491" s="8"/>
      <c r="P491" s="4"/>
      <c r="Q491" s="8"/>
      <c r="R491" s="4"/>
      <c r="S491" s="8"/>
      <c r="T491" s="4"/>
      <c r="U491" s="8"/>
      <c r="V491" s="4"/>
      <c r="W491" s="8"/>
      <c r="X491" s="4"/>
      <c r="Y491" s="8"/>
      <c r="Z491" s="4"/>
      <c r="AA491" s="2"/>
      <c r="AB491" s="4"/>
      <c r="AC491" s="8"/>
      <c r="AD491" s="4"/>
    </row>
    <row r="492">
      <c r="B492" s="4"/>
      <c r="C492" s="4"/>
      <c r="D492" s="4"/>
      <c r="F492" s="4"/>
      <c r="G492" s="8"/>
      <c r="H492" s="4"/>
      <c r="I492" s="4"/>
      <c r="J492" s="4"/>
      <c r="K492" s="4"/>
      <c r="L492" s="4"/>
      <c r="M492" s="8"/>
      <c r="N492" s="4"/>
      <c r="O492" s="8"/>
      <c r="P492" s="4"/>
      <c r="Q492" s="8"/>
      <c r="R492" s="4"/>
      <c r="S492" s="8"/>
      <c r="T492" s="4"/>
      <c r="U492" s="8"/>
      <c r="V492" s="4"/>
      <c r="W492" s="8"/>
      <c r="X492" s="4"/>
      <c r="Y492" s="8"/>
      <c r="Z492" s="4"/>
      <c r="AA492" s="2"/>
      <c r="AB492" s="4"/>
      <c r="AC492" s="8"/>
      <c r="AD492" s="4"/>
    </row>
    <row r="493">
      <c r="B493" s="4"/>
      <c r="C493" s="4"/>
      <c r="D493" s="4"/>
      <c r="F493" s="4"/>
      <c r="G493" s="8"/>
      <c r="H493" s="4"/>
      <c r="I493" s="4"/>
      <c r="J493" s="4"/>
      <c r="K493" s="4"/>
      <c r="L493" s="4"/>
      <c r="M493" s="8"/>
      <c r="N493" s="4"/>
      <c r="O493" s="8"/>
      <c r="P493" s="4"/>
      <c r="Q493" s="8"/>
      <c r="R493" s="4"/>
      <c r="S493" s="8"/>
      <c r="T493" s="4"/>
      <c r="U493" s="8"/>
      <c r="V493" s="4"/>
      <c r="W493" s="8"/>
      <c r="X493" s="4"/>
      <c r="Y493" s="8"/>
      <c r="Z493" s="4"/>
      <c r="AA493" s="2"/>
      <c r="AB493" s="4"/>
      <c r="AC493" s="8"/>
      <c r="AD493" s="4"/>
    </row>
    <row r="494">
      <c r="B494" s="4"/>
      <c r="C494" s="4"/>
      <c r="D494" s="4"/>
      <c r="F494" s="4"/>
      <c r="G494" s="8"/>
      <c r="H494" s="4"/>
      <c r="I494" s="4"/>
      <c r="J494" s="4"/>
      <c r="K494" s="4"/>
      <c r="L494" s="4"/>
      <c r="M494" s="8"/>
      <c r="N494" s="4"/>
      <c r="O494" s="8"/>
      <c r="P494" s="4"/>
      <c r="Q494" s="8"/>
      <c r="R494" s="4"/>
      <c r="S494" s="8"/>
      <c r="T494" s="4"/>
      <c r="U494" s="8"/>
      <c r="V494" s="4"/>
      <c r="W494" s="8"/>
      <c r="X494" s="4"/>
      <c r="Y494" s="8"/>
      <c r="Z494" s="4"/>
      <c r="AA494" s="2"/>
      <c r="AB494" s="4"/>
      <c r="AC494" s="8"/>
      <c r="AD494" s="4"/>
    </row>
    <row r="495">
      <c r="B495" s="4"/>
      <c r="C495" s="4"/>
      <c r="D495" s="4"/>
      <c r="F495" s="4"/>
      <c r="G495" s="8"/>
      <c r="H495" s="4"/>
      <c r="I495" s="4"/>
      <c r="J495" s="4"/>
      <c r="K495" s="4"/>
      <c r="L495" s="4"/>
      <c r="M495" s="8"/>
      <c r="N495" s="4"/>
      <c r="O495" s="8"/>
      <c r="P495" s="4"/>
      <c r="Q495" s="8"/>
      <c r="R495" s="4"/>
      <c r="S495" s="8"/>
      <c r="T495" s="4"/>
      <c r="U495" s="8"/>
      <c r="V495" s="4"/>
      <c r="W495" s="8"/>
      <c r="X495" s="4"/>
      <c r="Y495" s="8"/>
      <c r="Z495" s="4"/>
      <c r="AA495" s="2"/>
      <c r="AB495" s="4"/>
      <c r="AC495" s="8"/>
      <c r="AD495" s="4"/>
    </row>
    <row r="496">
      <c r="B496" s="4"/>
      <c r="C496" s="4"/>
      <c r="D496" s="4"/>
      <c r="F496" s="4"/>
      <c r="G496" s="8"/>
      <c r="H496" s="4"/>
      <c r="I496" s="4"/>
      <c r="J496" s="4"/>
      <c r="K496" s="4"/>
      <c r="L496" s="4"/>
      <c r="M496" s="8"/>
      <c r="N496" s="4"/>
      <c r="O496" s="8"/>
      <c r="P496" s="4"/>
      <c r="Q496" s="8"/>
      <c r="R496" s="4"/>
      <c r="S496" s="8"/>
      <c r="T496" s="4"/>
      <c r="U496" s="8"/>
      <c r="V496" s="4"/>
      <c r="W496" s="8"/>
      <c r="X496" s="4"/>
      <c r="Y496" s="8"/>
      <c r="Z496" s="4"/>
      <c r="AA496" s="2"/>
      <c r="AB496" s="4"/>
      <c r="AC496" s="8"/>
      <c r="AD496" s="4"/>
    </row>
    <row r="497">
      <c r="B497" s="4"/>
      <c r="C497" s="4"/>
      <c r="D497" s="4"/>
      <c r="F497" s="4"/>
      <c r="G497" s="8"/>
      <c r="H497" s="4"/>
      <c r="I497" s="4"/>
      <c r="J497" s="4"/>
      <c r="K497" s="4"/>
      <c r="L497" s="4"/>
      <c r="M497" s="8"/>
      <c r="N497" s="4"/>
      <c r="O497" s="8"/>
      <c r="P497" s="4"/>
      <c r="Q497" s="8"/>
      <c r="R497" s="4"/>
      <c r="S497" s="8"/>
      <c r="T497" s="4"/>
      <c r="U497" s="8"/>
      <c r="V497" s="4"/>
      <c r="W497" s="8"/>
      <c r="X497" s="4"/>
      <c r="Y497" s="8"/>
      <c r="Z497" s="4"/>
      <c r="AA497" s="2"/>
      <c r="AB497" s="4"/>
      <c r="AC497" s="8"/>
      <c r="AD497" s="4"/>
    </row>
    <row r="498">
      <c r="B498" s="4"/>
      <c r="C498" s="4"/>
      <c r="D498" s="4"/>
      <c r="F498" s="4"/>
      <c r="G498" s="8"/>
      <c r="H498" s="4"/>
      <c r="I498" s="4"/>
      <c r="J498" s="4"/>
      <c r="K498" s="4"/>
      <c r="L498" s="4"/>
      <c r="M498" s="8"/>
      <c r="N498" s="4"/>
      <c r="O498" s="8"/>
      <c r="P498" s="4"/>
      <c r="Q498" s="8"/>
      <c r="R498" s="4"/>
      <c r="S498" s="8"/>
      <c r="T498" s="4"/>
      <c r="U498" s="8"/>
      <c r="V498" s="4"/>
      <c r="W498" s="8"/>
      <c r="X498" s="4"/>
      <c r="Y498" s="8"/>
      <c r="Z498" s="4"/>
      <c r="AA498" s="2"/>
      <c r="AB498" s="4"/>
      <c r="AC498" s="8"/>
      <c r="AD498" s="4"/>
    </row>
    <row r="499">
      <c r="B499" s="4"/>
      <c r="C499" s="4"/>
      <c r="D499" s="4"/>
      <c r="F499" s="4"/>
      <c r="G499" s="8"/>
      <c r="H499" s="4"/>
      <c r="I499" s="4"/>
      <c r="J499" s="4"/>
      <c r="K499" s="4"/>
      <c r="L499" s="4"/>
      <c r="M499" s="8"/>
      <c r="N499" s="4"/>
      <c r="O499" s="8"/>
      <c r="P499" s="4"/>
      <c r="Q499" s="8"/>
      <c r="R499" s="4"/>
      <c r="S499" s="8"/>
      <c r="T499" s="4"/>
      <c r="U499" s="8"/>
      <c r="V499" s="4"/>
      <c r="W499" s="8"/>
      <c r="X499" s="4"/>
      <c r="Y499" s="8"/>
      <c r="Z499" s="4"/>
      <c r="AA499" s="2"/>
      <c r="AB499" s="4"/>
      <c r="AC499" s="8"/>
      <c r="AD499" s="4"/>
    </row>
    <row r="500">
      <c r="B500" s="4"/>
      <c r="C500" s="4"/>
      <c r="D500" s="4"/>
      <c r="F500" s="4"/>
      <c r="G500" s="8"/>
      <c r="H500" s="4"/>
      <c r="I500" s="4"/>
      <c r="J500" s="4"/>
      <c r="K500" s="4"/>
      <c r="L500" s="4"/>
      <c r="M500" s="8"/>
      <c r="N500" s="4"/>
      <c r="O500" s="8"/>
      <c r="P500" s="4"/>
      <c r="Q500" s="8"/>
      <c r="R500" s="4"/>
      <c r="S500" s="8"/>
      <c r="T500" s="4"/>
      <c r="U500" s="8"/>
      <c r="V500" s="4"/>
      <c r="W500" s="8"/>
      <c r="X500" s="4"/>
      <c r="Y500" s="8"/>
      <c r="Z500" s="4"/>
      <c r="AA500" s="2"/>
      <c r="AB500" s="4"/>
      <c r="AC500" s="8"/>
      <c r="AD500" s="4"/>
    </row>
    <row r="501">
      <c r="B501" s="4"/>
      <c r="C501" s="4"/>
      <c r="D501" s="4"/>
      <c r="F501" s="4"/>
      <c r="G501" s="8"/>
      <c r="H501" s="4"/>
      <c r="I501" s="4"/>
      <c r="J501" s="4"/>
      <c r="K501" s="4"/>
      <c r="L501" s="4"/>
      <c r="M501" s="8"/>
      <c r="N501" s="4"/>
      <c r="O501" s="8"/>
      <c r="P501" s="4"/>
      <c r="Q501" s="8"/>
      <c r="R501" s="4"/>
      <c r="S501" s="8"/>
      <c r="T501" s="4"/>
      <c r="U501" s="8"/>
      <c r="V501" s="4"/>
      <c r="W501" s="8"/>
      <c r="X501" s="4"/>
      <c r="Y501" s="8"/>
      <c r="Z501" s="4"/>
      <c r="AA501" s="2"/>
      <c r="AB501" s="4"/>
      <c r="AC501" s="8"/>
      <c r="AD501" s="4"/>
    </row>
    <row r="502">
      <c r="B502" s="4"/>
      <c r="C502" s="4"/>
      <c r="D502" s="4"/>
      <c r="F502" s="4"/>
      <c r="G502" s="8"/>
      <c r="H502" s="4"/>
      <c r="I502" s="4"/>
      <c r="J502" s="4"/>
      <c r="K502" s="4"/>
      <c r="L502" s="4"/>
      <c r="M502" s="8"/>
      <c r="N502" s="4"/>
      <c r="O502" s="8"/>
      <c r="P502" s="4"/>
      <c r="Q502" s="8"/>
      <c r="R502" s="4"/>
      <c r="S502" s="8"/>
      <c r="T502" s="4"/>
      <c r="U502" s="8"/>
      <c r="V502" s="4"/>
      <c r="W502" s="8"/>
      <c r="X502" s="4"/>
      <c r="Y502" s="8"/>
      <c r="Z502" s="4"/>
      <c r="AA502" s="2"/>
      <c r="AB502" s="4"/>
      <c r="AC502" s="8"/>
      <c r="AD502" s="4"/>
    </row>
    <row r="503">
      <c r="B503" s="4"/>
      <c r="C503" s="4"/>
      <c r="D503" s="4"/>
      <c r="F503" s="4"/>
      <c r="G503" s="8"/>
      <c r="H503" s="4"/>
      <c r="I503" s="4"/>
      <c r="J503" s="4"/>
      <c r="K503" s="4"/>
      <c r="L503" s="4"/>
      <c r="M503" s="8"/>
      <c r="N503" s="4"/>
      <c r="O503" s="8"/>
      <c r="P503" s="4"/>
      <c r="Q503" s="8"/>
      <c r="R503" s="4"/>
      <c r="S503" s="8"/>
      <c r="T503" s="4"/>
      <c r="U503" s="8"/>
      <c r="V503" s="4"/>
      <c r="W503" s="8"/>
      <c r="X503" s="4"/>
      <c r="Y503" s="8"/>
      <c r="Z503" s="4"/>
      <c r="AA503" s="2"/>
      <c r="AB503" s="4"/>
      <c r="AC503" s="8"/>
      <c r="AD503" s="4"/>
    </row>
    <row r="504">
      <c r="B504" s="4"/>
      <c r="C504" s="4"/>
      <c r="D504" s="4"/>
      <c r="F504" s="4"/>
      <c r="G504" s="8"/>
      <c r="H504" s="4"/>
      <c r="I504" s="4"/>
      <c r="J504" s="4"/>
      <c r="K504" s="4"/>
      <c r="L504" s="4"/>
      <c r="M504" s="8"/>
      <c r="N504" s="4"/>
      <c r="O504" s="8"/>
      <c r="P504" s="4"/>
      <c r="Q504" s="8"/>
      <c r="R504" s="4"/>
      <c r="S504" s="8"/>
      <c r="T504" s="4"/>
      <c r="U504" s="8"/>
      <c r="V504" s="4"/>
      <c r="W504" s="8"/>
      <c r="X504" s="4"/>
      <c r="Y504" s="8"/>
      <c r="Z504" s="4"/>
      <c r="AA504" s="2"/>
      <c r="AB504" s="4"/>
      <c r="AC504" s="8"/>
      <c r="AD504" s="4"/>
    </row>
    <row r="505">
      <c r="B505" s="4"/>
      <c r="C505" s="4"/>
      <c r="D505" s="4"/>
      <c r="F505" s="4"/>
      <c r="G505" s="8"/>
      <c r="H505" s="4"/>
      <c r="I505" s="4"/>
      <c r="J505" s="4"/>
      <c r="K505" s="4"/>
      <c r="L505" s="4"/>
      <c r="M505" s="8"/>
      <c r="N505" s="4"/>
      <c r="O505" s="8"/>
      <c r="P505" s="4"/>
      <c r="Q505" s="8"/>
      <c r="R505" s="4"/>
      <c r="S505" s="8"/>
      <c r="T505" s="4"/>
      <c r="U505" s="8"/>
      <c r="V505" s="4"/>
      <c r="W505" s="8"/>
      <c r="X505" s="4"/>
      <c r="Y505" s="8"/>
      <c r="Z505" s="4"/>
      <c r="AA505" s="2"/>
      <c r="AB505" s="4"/>
      <c r="AC505" s="8"/>
      <c r="AD505" s="4"/>
    </row>
    <row r="506">
      <c r="B506" s="4"/>
      <c r="C506" s="4"/>
      <c r="D506" s="4"/>
      <c r="F506" s="4"/>
      <c r="G506" s="8"/>
      <c r="H506" s="4"/>
      <c r="I506" s="4"/>
      <c r="J506" s="4"/>
      <c r="K506" s="4"/>
      <c r="L506" s="4"/>
      <c r="M506" s="8"/>
      <c r="N506" s="4"/>
      <c r="O506" s="8"/>
      <c r="P506" s="4"/>
      <c r="Q506" s="8"/>
      <c r="R506" s="4"/>
      <c r="S506" s="8"/>
      <c r="T506" s="4"/>
      <c r="U506" s="8"/>
      <c r="V506" s="4"/>
      <c r="W506" s="8"/>
      <c r="X506" s="4"/>
      <c r="Y506" s="8"/>
      <c r="Z506" s="4"/>
      <c r="AA506" s="2"/>
      <c r="AB506" s="4"/>
      <c r="AC506" s="8"/>
      <c r="AD506" s="4"/>
    </row>
    <row r="507">
      <c r="B507" s="4"/>
      <c r="C507" s="4"/>
      <c r="D507" s="4"/>
      <c r="F507" s="4"/>
      <c r="G507" s="8"/>
      <c r="H507" s="4"/>
      <c r="I507" s="4"/>
      <c r="J507" s="4"/>
      <c r="K507" s="4"/>
      <c r="L507" s="4"/>
      <c r="M507" s="8"/>
      <c r="N507" s="4"/>
      <c r="O507" s="8"/>
      <c r="P507" s="4"/>
      <c r="Q507" s="8"/>
      <c r="R507" s="4"/>
      <c r="S507" s="8"/>
      <c r="T507" s="4"/>
      <c r="U507" s="8"/>
      <c r="V507" s="4"/>
      <c r="W507" s="8"/>
      <c r="X507" s="4"/>
      <c r="Y507" s="8"/>
      <c r="Z507" s="4"/>
      <c r="AA507" s="2"/>
      <c r="AB507" s="4"/>
      <c r="AC507" s="8"/>
      <c r="AD507" s="4"/>
    </row>
    <row r="508">
      <c r="B508" s="4"/>
      <c r="C508" s="4"/>
      <c r="D508" s="4"/>
      <c r="F508" s="4"/>
      <c r="G508" s="8"/>
      <c r="H508" s="4"/>
      <c r="I508" s="4"/>
      <c r="J508" s="4"/>
      <c r="K508" s="4"/>
      <c r="L508" s="4"/>
      <c r="M508" s="8"/>
      <c r="N508" s="4"/>
      <c r="O508" s="8"/>
      <c r="P508" s="4"/>
      <c r="Q508" s="8"/>
      <c r="R508" s="4"/>
      <c r="S508" s="8"/>
      <c r="T508" s="4"/>
      <c r="U508" s="8"/>
      <c r="V508" s="4"/>
      <c r="W508" s="8"/>
      <c r="X508" s="4"/>
      <c r="Y508" s="8"/>
      <c r="Z508" s="4"/>
      <c r="AA508" s="2"/>
      <c r="AB508" s="4"/>
      <c r="AC508" s="8"/>
      <c r="AD508" s="4"/>
    </row>
    <row r="509">
      <c r="B509" s="4"/>
      <c r="C509" s="4"/>
      <c r="D509" s="4"/>
      <c r="F509" s="4"/>
      <c r="G509" s="8"/>
      <c r="H509" s="4"/>
      <c r="I509" s="4"/>
      <c r="J509" s="4"/>
      <c r="K509" s="4"/>
      <c r="L509" s="4"/>
      <c r="M509" s="8"/>
      <c r="N509" s="4"/>
      <c r="O509" s="8"/>
      <c r="P509" s="4"/>
      <c r="Q509" s="8"/>
      <c r="R509" s="4"/>
      <c r="S509" s="8"/>
      <c r="T509" s="4"/>
      <c r="U509" s="8"/>
      <c r="V509" s="4"/>
      <c r="W509" s="8"/>
      <c r="X509" s="4"/>
      <c r="Y509" s="8"/>
      <c r="Z509" s="4"/>
      <c r="AA509" s="2"/>
      <c r="AB509" s="4"/>
      <c r="AC509" s="8"/>
      <c r="AD509" s="4"/>
    </row>
    <row r="510">
      <c r="B510" s="4"/>
      <c r="C510" s="4"/>
      <c r="D510" s="4"/>
      <c r="F510" s="4"/>
      <c r="G510" s="8"/>
      <c r="H510" s="4"/>
      <c r="I510" s="4"/>
      <c r="J510" s="4"/>
      <c r="K510" s="4"/>
      <c r="L510" s="4"/>
      <c r="M510" s="8"/>
      <c r="N510" s="4"/>
      <c r="O510" s="8"/>
      <c r="P510" s="4"/>
      <c r="Q510" s="8"/>
      <c r="R510" s="4"/>
      <c r="S510" s="8"/>
      <c r="T510" s="4"/>
      <c r="U510" s="8"/>
      <c r="V510" s="4"/>
      <c r="W510" s="8"/>
      <c r="X510" s="4"/>
      <c r="Y510" s="8"/>
      <c r="Z510" s="4"/>
      <c r="AA510" s="2"/>
      <c r="AB510" s="4"/>
      <c r="AC510" s="8"/>
      <c r="AD510" s="4"/>
    </row>
    <row r="511">
      <c r="B511" s="4"/>
      <c r="C511" s="4"/>
      <c r="D511" s="4"/>
      <c r="F511" s="4"/>
      <c r="G511" s="8"/>
      <c r="H511" s="4"/>
      <c r="I511" s="4"/>
      <c r="J511" s="4"/>
      <c r="K511" s="4"/>
      <c r="L511" s="4"/>
      <c r="M511" s="8"/>
      <c r="N511" s="4"/>
      <c r="O511" s="8"/>
      <c r="P511" s="4"/>
      <c r="Q511" s="8"/>
      <c r="R511" s="4"/>
      <c r="S511" s="8"/>
      <c r="T511" s="4"/>
      <c r="U511" s="8"/>
      <c r="V511" s="4"/>
      <c r="W511" s="8"/>
      <c r="X511" s="4"/>
      <c r="Y511" s="8"/>
      <c r="Z511" s="4"/>
      <c r="AA511" s="2"/>
      <c r="AB511" s="4"/>
      <c r="AC511" s="8"/>
      <c r="AD511" s="4"/>
    </row>
    <row r="512">
      <c r="B512" s="4"/>
      <c r="C512" s="4"/>
      <c r="D512" s="4"/>
      <c r="F512" s="4"/>
      <c r="G512" s="8"/>
      <c r="H512" s="4"/>
      <c r="I512" s="4"/>
      <c r="J512" s="4"/>
      <c r="K512" s="4"/>
      <c r="L512" s="4"/>
      <c r="M512" s="8"/>
      <c r="N512" s="4"/>
      <c r="O512" s="8"/>
      <c r="P512" s="4"/>
      <c r="Q512" s="8"/>
      <c r="R512" s="4"/>
      <c r="S512" s="8"/>
      <c r="T512" s="4"/>
      <c r="U512" s="8"/>
      <c r="V512" s="4"/>
      <c r="W512" s="8"/>
      <c r="X512" s="4"/>
      <c r="Y512" s="8"/>
      <c r="Z512" s="4"/>
      <c r="AA512" s="2"/>
      <c r="AB512" s="4"/>
      <c r="AC512" s="8"/>
      <c r="AD512" s="4"/>
    </row>
    <row r="513">
      <c r="B513" s="4"/>
      <c r="C513" s="4"/>
      <c r="D513" s="4"/>
      <c r="F513" s="4"/>
      <c r="G513" s="8"/>
      <c r="H513" s="4"/>
      <c r="I513" s="4"/>
      <c r="J513" s="4"/>
      <c r="K513" s="4"/>
      <c r="L513" s="4"/>
      <c r="M513" s="8"/>
      <c r="N513" s="4"/>
      <c r="O513" s="8"/>
      <c r="P513" s="4"/>
      <c r="Q513" s="8"/>
      <c r="R513" s="4"/>
      <c r="S513" s="8"/>
      <c r="T513" s="4"/>
      <c r="U513" s="8"/>
      <c r="V513" s="4"/>
      <c r="W513" s="8"/>
      <c r="X513" s="4"/>
      <c r="Y513" s="8"/>
      <c r="Z513" s="4"/>
      <c r="AA513" s="2"/>
      <c r="AB513" s="4"/>
      <c r="AC513" s="8"/>
      <c r="AD513" s="4"/>
    </row>
    <row r="514">
      <c r="B514" s="4"/>
      <c r="C514" s="4"/>
      <c r="D514" s="4"/>
      <c r="F514" s="4"/>
      <c r="G514" s="8"/>
      <c r="H514" s="4"/>
      <c r="I514" s="4"/>
      <c r="J514" s="4"/>
      <c r="K514" s="4"/>
      <c r="L514" s="4"/>
      <c r="M514" s="8"/>
      <c r="N514" s="4"/>
      <c r="O514" s="8"/>
      <c r="P514" s="4"/>
      <c r="Q514" s="8"/>
      <c r="R514" s="4"/>
      <c r="S514" s="8"/>
      <c r="T514" s="4"/>
      <c r="U514" s="8"/>
      <c r="V514" s="4"/>
      <c r="W514" s="8"/>
      <c r="X514" s="4"/>
      <c r="Y514" s="8"/>
      <c r="Z514" s="4"/>
      <c r="AA514" s="2"/>
      <c r="AB514" s="4"/>
      <c r="AC514" s="8"/>
      <c r="AD514" s="4"/>
    </row>
    <row r="515">
      <c r="B515" s="4"/>
      <c r="C515" s="4"/>
      <c r="D515" s="4"/>
      <c r="F515" s="4"/>
      <c r="G515" s="8"/>
      <c r="H515" s="4"/>
      <c r="I515" s="4"/>
      <c r="J515" s="4"/>
      <c r="K515" s="4"/>
      <c r="L515" s="4"/>
      <c r="M515" s="8"/>
      <c r="N515" s="4"/>
      <c r="O515" s="8"/>
      <c r="P515" s="4"/>
      <c r="Q515" s="8"/>
      <c r="R515" s="4"/>
      <c r="S515" s="8"/>
      <c r="T515" s="4"/>
      <c r="U515" s="8"/>
      <c r="V515" s="4"/>
      <c r="W515" s="8"/>
      <c r="X515" s="4"/>
      <c r="Y515" s="8"/>
      <c r="Z515" s="4"/>
      <c r="AA515" s="2"/>
      <c r="AB515" s="4"/>
      <c r="AC515" s="8"/>
      <c r="AD515" s="4"/>
    </row>
    <row r="516">
      <c r="B516" s="4"/>
      <c r="C516" s="4"/>
      <c r="D516" s="4"/>
      <c r="F516" s="4"/>
      <c r="G516" s="8"/>
      <c r="H516" s="4"/>
      <c r="I516" s="4"/>
      <c r="J516" s="4"/>
      <c r="K516" s="4"/>
      <c r="L516" s="4"/>
      <c r="M516" s="8"/>
      <c r="N516" s="4"/>
      <c r="O516" s="8"/>
      <c r="P516" s="4"/>
      <c r="Q516" s="8"/>
      <c r="R516" s="4"/>
      <c r="S516" s="8"/>
      <c r="T516" s="4"/>
      <c r="U516" s="8"/>
      <c r="V516" s="4"/>
      <c r="W516" s="8"/>
      <c r="X516" s="4"/>
      <c r="Y516" s="8"/>
      <c r="Z516" s="4"/>
      <c r="AA516" s="2"/>
      <c r="AB516" s="4"/>
      <c r="AC516" s="8"/>
      <c r="AD516" s="4"/>
    </row>
    <row r="517">
      <c r="B517" s="4"/>
      <c r="C517" s="4"/>
      <c r="D517" s="4"/>
      <c r="F517" s="4"/>
      <c r="G517" s="8"/>
      <c r="H517" s="4"/>
      <c r="I517" s="4"/>
      <c r="J517" s="4"/>
      <c r="K517" s="4"/>
      <c r="L517" s="4"/>
      <c r="M517" s="8"/>
      <c r="N517" s="4"/>
      <c r="O517" s="8"/>
      <c r="P517" s="4"/>
      <c r="Q517" s="8"/>
      <c r="R517" s="4"/>
      <c r="S517" s="8"/>
      <c r="T517" s="4"/>
      <c r="U517" s="8"/>
      <c r="V517" s="4"/>
      <c r="W517" s="8"/>
      <c r="X517" s="4"/>
      <c r="Y517" s="8"/>
      <c r="Z517" s="4"/>
      <c r="AA517" s="2"/>
      <c r="AB517" s="4"/>
      <c r="AC517" s="8"/>
      <c r="AD517" s="4"/>
    </row>
    <row r="518">
      <c r="B518" s="4"/>
      <c r="C518" s="4"/>
      <c r="D518" s="4"/>
      <c r="F518" s="4"/>
      <c r="G518" s="8"/>
      <c r="H518" s="4"/>
      <c r="I518" s="4"/>
      <c r="J518" s="4"/>
      <c r="K518" s="4"/>
      <c r="L518" s="4"/>
      <c r="M518" s="8"/>
      <c r="N518" s="4"/>
      <c r="O518" s="8"/>
      <c r="P518" s="4"/>
      <c r="Q518" s="8"/>
      <c r="R518" s="4"/>
      <c r="S518" s="8"/>
      <c r="T518" s="4"/>
      <c r="U518" s="8"/>
      <c r="V518" s="4"/>
      <c r="W518" s="8"/>
      <c r="X518" s="4"/>
      <c r="Y518" s="8"/>
      <c r="Z518" s="4"/>
      <c r="AA518" s="2"/>
      <c r="AB518" s="4"/>
      <c r="AC518" s="8"/>
      <c r="AD518" s="4"/>
    </row>
    <row r="519">
      <c r="B519" s="4"/>
      <c r="C519" s="4"/>
      <c r="D519" s="4"/>
      <c r="F519" s="4"/>
      <c r="G519" s="8"/>
      <c r="H519" s="4"/>
      <c r="I519" s="4"/>
      <c r="J519" s="4"/>
      <c r="K519" s="4"/>
      <c r="L519" s="4"/>
      <c r="M519" s="8"/>
      <c r="N519" s="4"/>
      <c r="O519" s="8"/>
      <c r="P519" s="4"/>
      <c r="Q519" s="8"/>
      <c r="R519" s="4"/>
      <c r="S519" s="8"/>
      <c r="T519" s="4"/>
      <c r="U519" s="8"/>
      <c r="V519" s="4"/>
      <c r="W519" s="8"/>
      <c r="X519" s="4"/>
      <c r="Y519" s="8"/>
      <c r="Z519" s="4"/>
      <c r="AA519" s="2"/>
      <c r="AB519" s="4"/>
      <c r="AC519" s="8"/>
      <c r="AD519" s="4"/>
    </row>
    <row r="520">
      <c r="B520" s="4"/>
      <c r="C520" s="4"/>
      <c r="D520" s="4"/>
      <c r="F520" s="4"/>
      <c r="G520" s="8"/>
      <c r="H520" s="4"/>
      <c r="I520" s="4"/>
      <c r="J520" s="4"/>
      <c r="K520" s="4"/>
      <c r="L520" s="4"/>
      <c r="M520" s="8"/>
      <c r="N520" s="4"/>
      <c r="O520" s="8"/>
      <c r="P520" s="4"/>
      <c r="Q520" s="8"/>
      <c r="R520" s="4"/>
      <c r="S520" s="8"/>
      <c r="T520" s="4"/>
      <c r="U520" s="8"/>
      <c r="V520" s="4"/>
      <c r="W520" s="8"/>
      <c r="X520" s="4"/>
      <c r="Y520" s="8"/>
      <c r="Z520" s="4"/>
      <c r="AA520" s="2"/>
      <c r="AB520" s="4"/>
      <c r="AC520" s="8"/>
      <c r="AD520" s="4"/>
    </row>
    <row r="521">
      <c r="B521" s="4"/>
      <c r="C521" s="4"/>
      <c r="D521" s="4"/>
      <c r="F521" s="4"/>
      <c r="G521" s="8"/>
      <c r="H521" s="4"/>
      <c r="I521" s="4"/>
      <c r="J521" s="4"/>
      <c r="K521" s="4"/>
      <c r="L521" s="4"/>
      <c r="M521" s="8"/>
      <c r="N521" s="4"/>
      <c r="O521" s="8"/>
      <c r="P521" s="4"/>
      <c r="Q521" s="8"/>
      <c r="R521" s="4"/>
      <c r="S521" s="8"/>
      <c r="T521" s="4"/>
      <c r="U521" s="8"/>
      <c r="V521" s="4"/>
      <c r="W521" s="8"/>
      <c r="X521" s="4"/>
      <c r="Y521" s="8"/>
      <c r="Z521" s="4"/>
      <c r="AA521" s="2"/>
      <c r="AB521" s="4"/>
      <c r="AC521" s="8"/>
      <c r="AD521" s="4"/>
    </row>
    <row r="522">
      <c r="B522" s="4"/>
      <c r="C522" s="4"/>
      <c r="D522" s="4"/>
      <c r="F522" s="4"/>
      <c r="G522" s="8"/>
      <c r="H522" s="4"/>
      <c r="I522" s="4"/>
      <c r="J522" s="4"/>
      <c r="K522" s="4"/>
      <c r="L522" s="4"/>
      <c r="M522" s="8"/>
      <c r="N522" s="4"/>
      <c r="O522" s="8"/>
      <c r="P522" s="4"/>
      <c r="Q522" s="8"/>
      <c r="R522" s="4"/>
      <c r="S522" s="8"/>
      <c r="T522" s="4"/>
      <c r="U522" s="8"/>
      <c r="V522" s="4"/>
      <c r="W522" s="8"/>
      <c r="X522" s="4"/>
      <c r="Y522" s="8"/>
      <c r="Z522" s="4"/>
      <c r="AA522" s="2"/>
      <c r="AB522" s="4"/>
      <c r="AC522" s="8"/>
      <c r="AD522" s="4"/>
    </row>
    <row r="523">
      <c r="B523" s="4"/>
      <c r="C523" s="4"/>
      <c r="D523" s="4"/>
      <c r="F523" s="4"/>
      <c r="G523" s="8"/>
      <c r="H523" s="4"/>
      <c r="I523" s="4"/>
      <c r="J523" s="4"/>
      <c r="K523" s="4"/>
      <c r="L523" s="4"/>
      <c r="M523" s="8"/>
      <c r="N523" s="4"/>
      <c r="O523" s="8"/>
      <c r="P523" s="4"/>
      <c r="Q523" s="8"/>
      <c r="R523" s="4"/>
      <c r="S523" s="8"/>
      <c r="T523" s="4"/>
      <c r="U523" s="8"/>
      <c r="V523" s="4"/>
      <c r="W523" s="8"/>
      <c r="X523" s="4"/>
      <c r="Y523" s="8"/>
      <c r="Z523" s="4"/>
      <c r="AA523" s="2"/>
      <c r="AB523" s="4"/>
      <c r="AC523" s="8"/>
      <c r="AD523" s="4"/>
    </row>
    <row r="524">
      <c r="B524" s="4"/>
      <c r="C524" s="4"/>
      <c r="D524" s="4"/>
      <c r="F524" s="4"/>
      <c r="G524" s="8"/>
      <c r="H524" s="4"/>
      <c r="I524" s="4"/>
      <c r="J524" s="4"/>
      <c r="K524" s="4"/>
      <c r="L524" s="4"/>
      <c r="M524" s="8"/>
      <c r="N524" s="4"/>
      <c r="O524" s="8"/>
      <c r="P524" s="4"/>
      <c r="Q524" s="8"/>
      <c r="R524" s="4"/>
      <c r="S524" s="8"/>
      <c r="T524" s="4"/>
      <c r="U524" s="8"/>
      <c r="V524" s="4"/>
      <c r="W524" s="8"/>
      <c r="X524" s="4"/>
      <c r="Y524" s="8"/>
      <c r="Z524" s="4"/>
      <c r="AA524" s="2"/>
      <c r="AB524" s="4"/>
      <c r="AC524" s="8"/>
      <c r="AD524" s="4"/>
    </row>
    <row r="525">
      <c r="B525" s="4"/>
      <c r="C525" s="4"/>
      <c r="D525" s="4"/>
      <c r="F525" s="4"/>
      <c r="G525" s="8"/>
      <c r="H525" s="4"/>
      <c r="I525" s="4"/>
      <c r="J525" s="4"/>
      <c r="K525" s="4"/>
      <c r="L525" s="4"/>
      <c r="M525" s="8"/>
      <c r="N525" s="4"/>
      <c r="O525" s="8"/>
      <c r="P525" s="4"/>
      <c r="Q525" s="8"/>
      <c r="R525" s="4"/>
      <c r="S525" s="8"/>
      <c r="T525" s="4"/>
      <c r="U525" s="8"/>
      <c r="V525" s="4"/>
      <c r="W525" s="8"/>
      <c r="X525" s="4"/>
      <c r="Y525" s="8"/>
      <c r="Z525" s="4"/>
      <c r="AA525" s="2"/>
      <c r="AB525" s="4"/>
      <c r="AC525" s="8"/>
      <c r="AD525" s="4"/>
    </row>
    <row r="526">
      <c r="B526" s="4"/>
      <c r="C526" s="4"/>
      <c r="D526" s="4"/>
      <c r="F526" s="4"/>
      <c r="G526" s="8"/>
      <c r="H526" s="4"/>
      <c r="I526" s="4"/>
      <c r="J526" s="4"/>
      <c r="K526" s="4"/>
      <c r="L526" s="4"/>
      <c r="M526" s="8"/>
      <c r="N526" s="4"/>
      <c r="O526" s="8"/>
      <c r="P526" s="4"/>
      <c r="Q526" s="8"/>
      <c r="R526" s="4"/>
      <c r="S526" s="8"/>
      <c r="T526" s="4"/>
      <c r="U526" s="8"/>
      <c r="V526" s="4"/>
      <c r="W526" s="8"/>
      <c r="X526" s="4"/>
      <c r="Y526" s="8"/>
      <c r="Z526" s="4"/>
      <c r="AA526" s="2"/>
      <c r="AB526" s="4"/>
      <c r="AC526" s="8"/>
      <c r="AD526" s="4"/>
    </row>
    <row r="527">
      <c r="B527" s="4"/>
      <c r="C527" s="4"/>
      <c r="D527" s="4"/>
      <c r="F527" s="4"/>
      <c r="G527" s="8"/>
      <c r="H527" s="4"/>
      <c r="I527" s="4"/>
      <c r="J527" s="4"/>
      <c r="K527" s="4"/>
      <c r="L527" s="4"/>
      <c r="M527" s="8"/>
      <c r="N527" s="4"/>
      <c r="O527" s="8"/>
      <c r="P527" s="4"/>
      <c r="Q527" s="8"/>
      <c r="R527" s="4"/>
      <c r="S527" s="8"/>
      <c r="T527" s="4"/>
      <c r="U527" s="8"/>
      <c r="V527" s="4"/>
      <c r="W527" s="8"/>
      <c r="X527" s="4"/>
      <c r="Y527" s="8"/>
      <c r="Z527" s="4"/>
      <c r="AA527" s="2"/>
      <c r="AB527" s="4"/>
      <c r="AC527" s="8"/>
      <c r="AD527" s="4"/>
    </row>
    <row r="528">
      <c r="B528" s="4"/>
      <c r="C528" s="4"/>
      <c r="D528" s="4"/>
      <c r="F528" s="4"/>
      <c r="G528" s="8"/>
      <c r="H528" s="4"/>
      <c r="I528" s="4"/>
      <c r="J528" s="4"/>
      <c r="K528" s="4"/>
      <c r="L528" s="4"/>
      <c r="M528" s="8"/>
      <c r="N528" s="4"/>
      <c r="O528" s="8"/>
      <c r="P528" s="4"/>
      <c r="Q528" s="8"/>
      <c r="R528" s="4"/>
      <c r="S528" s="8"/>
      <c r="T528" s="4"/>
      <c r="U528" s="8"/>
      <c r="V528" s="4"/>
      <c r="W528" s="8"/>
      <c r="X528" s="4"/>
      <c r="Y528" s="8"/>
      <c r="Z528" s="4"/>
      <c r="AA528" s="2"/>
      <c r="AB528" s="4"/>
      <c r="AC528" s="8"/>
      <c r="AD528" s="4"/>
    </row>
    <row r="529">
      <c r="B529" s="4"/>
      <c r="C529" s="4"/>
      <c r="D529" s="4"/>
      <c r="F529" s="4"/>
      <c r="G529" s="8"/>
      <c r="H529" s="4"/>
      <c r="I529" s="4"/>
      <c r="J529" s="4"/>
      <c r="K529" s="4"/>
      <c r="L529" s="4"/>
      <c r="M529" s="8"/>
      <c r="N529" s="4"/>
      <c r="O529" s="8"/>
      <c r="P529" s="4"/>
      <c r="Q529" s="8"/>
      <c r="R529" s="4"/>
      <c r="S529" s="8"/>
      <c r="T529" s="4"/>
      <c r="U529" s="8"/>
      <c r="V529" s="4"/>
      <c r="W529" s="8"/>
      <c r="X529" s="4"/>
      <c r="Y529" s="8"/>
      <c r="Z529" s="4"/>
      <c r="AA529" s="2"/>
      <c r="AB529" s="4"/>
      <c r="AC529" s="8"/>
      <c r="AD529" s="4"/>
    </row>
    <row r="530">
      <c r="B530" s="4"/>
      <c r="C530" s="4"/>
      <c r="D530" s="4"/>
      <c r="F530" s="4"/>
      <c r="G530" s="8"/>
      <c r="H530" s="4"/>
      <c r="I530" s="4"/>
      <c r="J530" s="4"/>
      <c r="K530" s="4"/>
      <c r="L530" s="4"/>
      <c r="M530" s="8"/>
      <c r="N530" s="4"/>
      <c r="O530" s="8"/>
      <c r="P530" s="4"/>
      <c r="Q530" s="8"/>
      <c r="R530" s="4"/>
      <c r="S530" s="8"/>
      <c r="T530" s="4"/>
      <c r="U530" s="8"/>
      <c r="V530" s="4"/>
      <c r="W530" s="8"/>
      <c r="X530" s="4"/>
      <c r="Y530" s="8"/>
      <c r="Z530" s="4"/>
      <c r="AA530" s="2"/>
      <c r="AB530" s="4"/>
      <c r="AC530" s="8"/>
      <c r="AD530" s="4"/>
    </row>
    <row r="531">
      <c r="B531" s="4"/>
      <c r="C531" s="4"/>
      <c r="D531" s="4"/>
      <c r="F531" s="4"/>
      <c r="G531" s="8"/>
      <c r="H531" s="4"/>
      <c r="I531" s="4"/>
      <c r="J531" s="4"/>
      <c r="K531" s="4"/>
      <c r="L531" s="4"/>
      <c r="M531" s="8"/>
      <c r="N531" s="4"/>
      <c r="O531" s="8"/>
      <c r="P531" s="4"/>
      <c r="Q531" s="8"/>
      <c r="R531" s="4"/>
      <c r="S531" s="8"/>
      <c r="T531" s="4"/>
      <c r="U531" s="8"/>
      <c r="V531" s="4"/>
      <c r="W531" s="8"/>
      <c r="X531" s="4"/>
      <c r="Y531" s="8"/>
      <c r="Z531" s="4"/>
      <c r="AA531" s="2"/>
      <c r="AB531" s="4"/>
      <c r="AC531" s="8"/>
      <c r="AD531" s="4"/>
    </row>
    <row r="532">
      <c r="B532" s="4"/>
      <c r="C532" s="4"/>
      <c r="D532" s="4"/>
      <c r="F532" s="4"/>
      <c r="G532" s="8"/>
      <c r="H532" s="4"/>
      <c r="I532" s="4"/>
      <c r="J532" s="4"/>
      <c r="K532" s="4"/>
      <c r="L532" s="4"/>
      <c r="M532" s="8"/>
      <c r="N532" s="4"/>
      <c r="O532" s="8"/>
      <c r="P532" s="4"/>
      <c r="Q532" s="8"/>
      <c r="R532" s="4"/>
      <c r="S532" s="8"/>
      <c r="T532" s="4"/>
      <c r="U532" s="8"/>
      <c r="V532" s="4"/>
      <c r="W532" s="8"/>
      <c r="X532" s="4"/>
      <c r="Y532" s="8"/>
      <c r="Z532" s="4"/>
      <c r="AA532" s="2"/>
      <c r="AB532" s="4"/>
      <c r="AC532" s="8"/>
      <c r="AD532" s="4"/>
    </row>
    <row r="533">
      <c r="B533" s="4"/>
      <c r="C533" s="4"/>
      <c r="D533" s="4"/>
      <c r="F533" s="4"/>
      <c r="G533" s="8"/>
      <c r="H533" s="4"/>
      <c r="I533" s="4"/>
      <c r="J533" s="4"/>
      <c r="K533" s="4"/>
      <c r="L533" s="4"/>
      <c r="M533" s="8"/>
      <c r="N533" s="4"/>
      <c r="O533" s="8"/>
      <c r="P533" s="4"/>
      <c r="Q533" s="8"/>
      <c r="R533" s="4"/>
      <c r="S533" s="8"/>
      <c r="T533" s="4"/>
      <c r="U533" s="8"/>
      <c r="V533" s="4"/>
      <c r="W533" s="8"/>
      <c r="X533" s="4"/>
      <c r="Y533" s="8"/>
      <c r="Z533" s="4"/>
      <c r="AA533" s="2"/>
      <c r="AB533" s="4"/>
      <c r="AC533" s="8"/>
      <c r="AD533" s="4"/>
    </row>
    <row r="534">
      <c r="B534" s="4"/>
      <c r="C534" s="4"/>
      <c r="D534" s="4"/>
      <c r="F534" s="4"/>
      <c r="G534" s="8"/>
      <c r="H534" s="4"/>
      <c r="I534" s="4"/>
      <c r="J534" s="4"/>
      <c r="K534" s="4"/>
      <c r="L534" s="4"/>
      <c r="M534" s="8"/>
      <c r="N534" s="4"/>
      <c r="O534" s="8"/>
      <c r="P534" s="4"/>
      <c r="Q534" s="8"/>
      <c r="R534" s="4"/>
      <c r="S534" s="8"/>
      <c r="T534" s="4"/>
      <c r="U534" s="8"/>
      <c r="V534" s="4"/>
      <c r="W534" s="8"/>
      <c r="X534" s="4"/>
      <c r="Y534" s="8"/>
      <c r="Z534" s="4"/>
      <c r="AA534" s="2"/>
      <c r="AB534" s="4"/>
      <c r="AC534" s="8"/>
      <c r="AD534" s="4"/>
    </row>
    <row r="535">
      <c r="B535" s="4"/>
      <c r="C535" s="4"/>
      <c r="D535" s="4"/>
      <c r="F535" s="4"/>
      <c r="G535" s="8"/>
      <c r="H535" s="4"/>
      <c r="I535" s="4"/>
      <c r="J535" s="4"/>
      <c r="K535" s="4"/>
      <c r="L535" s="4"/>
      <c r="M535" s="8"/>
      <c r="N535" s="4"/>
      <c r="O535" s="8"/>
      <c r="P535" s="4"/>
      <c r="Q535" s="8"/>
      <c r="R535" s="4"/>
      <c r="S535" s="8"/>
      <c r="T535" s="4"/>
      <c r="U535" s="8"/>
      <c r="V535" s="4"/>
      <c r="W535" s="8"/>
      <c r="X535" s="4"/>
      <c r="Y535" s="8"/>
      <c r="Z535" s="4"/>
      <c r="AA535" s="2"/>
      <c r="AB535" s="4"/>
      <c r="AC535" s="8"/>
      <c r="AD535" s="4"/>
    </row>
    <row r="536">
      <c r="B536" s="4"/>
      <c r="C536" s="4"/>
      <c r="D536" s="4"/>
      <c r="F536" s="4"/>
      <c r="G536" s="8"/>
      <c r="H536" s="4"/>
      <c r="I536" s="4"/>
      <c r="J536" s="4"/>
      <c r="K536" s="4"/>
      <c r="L536" s="4"/>
      <c r="M536" s="8"/>
      <c r="N536" s="4"/>
      <c r="O536" s="8"/>
      <c r="P536" s="4"/>
      <c r="Q536" s="8"/>
      <c r="R536" s="4"/>
      <c r="S536" s="8"/>
      <c r="T536" s="4"/>
      <c r="U536" s="8"/>
      <c r="V536" s="4"/>
      <c r="W536" s="8"/>
      <c r="X536" s="4"/>
      <c r="Y536" s="8"/>
      <c r="Z536" s="4"/>
      <c r="AA536" s="2"/>
      <c r="AB536" s="4"/>
      <c r="AC536" s="8"/>
      <c r="AD536" s="4"/>
    </row>
    <row r="537">
      <c r="B537" s="4"/>
      <c r="C537" s="4"/>
      <c r="D537" s="4"/>
      <c r="F537" s="4"/>
      <c r="G537" s="8"/>
      <c r="H537" s="4"/>
      <c r="I537" s="4"/>
      <c r="J537" s="4"/>
      <c r="K537" s="4"/>
      <c r="L537" s="4"/>
      <c r="M537" s="8"/>
      <c r="N537" s="4"/>
      <c r="O537" s="8"/>
      <c r="P537" s="4"/>
      <c r="Q537" s="8"/>
      <c r="R537" s="4"/>
      <c r="S537" s="8"/>
      <c r="T537" s="4"/>
      <c r="U537" s="8"/>
      <c r="V537" s="4"/>
      <c r="W537" s="8"/>
      <c r="X537" s="4"/>
      <c r="Y537" s="8"/>
      <c r="Z537" s="4"/>
      <c r="AA537" s="2"/>
      <c r="AB537" s="4"/>
      <c r="AC537" s="8"/>
      <c r="AD537" s="4"/>
    </row>
    <row r="538">
      <c r="B538" s="4"/>
      <c r="C538" s="4"/>
      <c r="D538" s="4"/>
      <c r="F538" s="4"/>
      <c r="G538" s="8"/>
      <c r="H538" s="4"/>
      <c r="I538" s="4"/>
      <c r="J538" s="4"/>
      <c r="K538" s="4"/>
      <c r="L538" s="4"/>
      <c r="M538" s="8"/>
      <c r="N538" s="4"/>
      <c r="O538" s="8"/>
      <c r="P538" s="4"/>
      <c r="Q538" s="8"/>
      <c r="R538" s="4"/>
      <c r="S538" s="8"/>
      <c r="T538" s="4"/>
      <c r="U538" s="8"/>
      <c r="V538" s="4"/>
      <c r="W538" s="8"/>
      <c r="X538" s="4"/>
      <c r="Y538" s="8"/>
      <c r="Z538" s="4"/>
      <c r="AA538" s="2"/>
      <c r="AB538" s="4"/>
      <c r="AC538" s="8"/>
      <c r="AD538" s="4"/>
    </row>
    <row r="539">
      <c r="B539" s="4"/>
      <c r="C539" s="4"/>
      <c r="D539" s="4"/>
      <c r="F539" s="4"/>
      <c r="G539" s="8"/>
      <c r="H539" s="4"/>
      <c r="I539" s="4"/>
      <c r="J539" s="4"/>
      <c r="K539" s="4"/>
      <c r="L539" s="4"/>
      <c r="M539" s="8"/>
      <c r="N539" s="4"/>
      <c r="O539" s="8"/>
      <c r="P539" s="4"/>
      <c r="Q539" s="8"/>
      <c r="R539" s="4"/>
      <c r="S539" s="8"/>
      <c r="T539" s="4"/>
      <c r="U539" s="8"/>
      <c r="V539" s="4"/>
      <c r="W539" s="8"/>
      <c r="X539" s="4"/>
      <c r="Y539" s="8"/>
      <c r="Z539" s="4"/>
      <c r="AA539" s="2"/>
      <c r="AB539" s="4"/>
      <c r="AC539" s="8"/>
      <c r="AD539" s="4"/>
    </row>
    <row r="540">
      <c r="B540" s="4"/>
      <c r="C540" s="4"/>
      <c r="D540" s="4"/>
      <c r="F540" s="4"/>
      <c r="G540" s="8"/>
      <c r="H540" s="4"/>
      <c r="I540" s="4"/>
      <c r="J540" s="4"/>
      <c r="K540" s="4"/>
      <c r="L540" s="4"/>
      <c r="M540" s="8"/>
      <c r="N540" s="4"/>
      <c r="O540" s="8"/>
      <c r="P540" s="4"/>
      <c r="Q540" s="8"/>
      <c r="R540" s="4"/>
      <c r="S540" s="8"/>
      <c r="T540" s="4"/>
      <c r="U540" s="8"/>
      <c r="V540" s="4"/>
      <c r="W540" s="8"/>
      <c r="X540" s="4"/>
      <c r="Y540" s="8"/>
      <c r="Z540" s="4"/>
      <c r="AA540" s="2"/>
      <c r="AB540" s="4"/>
      <c r="AC540" s="8"/>
      <c r="AD540" s="4"/>
    </row>
    <row r="541">
      <c r="B541" s="4"/>
      <c r="C541" s="4"/>
      <c r="D541" s="4"/>
      <c r="F541" s="4"/>
      <c r="G541" s="8"/>
      <c r="H541" s="4"/>
      <c r="I541" s="4"/>
      <c r="J541" s="4"/>
      <c r="K541" s="4"/>
      <c r="L541" s="4"/>
      <c r="M541" s="8"/>
      <c r="N541" s="4"/>
      <c r="O541" s="8"/>
      <c r="P541" s="4"/>
      <c r="Q541" s="8"/>
      <c r="R541" s="4"/>
      <c r="S541" s="8"/>
      <c r="T541" s="4"/>
      <c r="U541" s="8"/>
      <c r="V541" s="4"/>
      <c r="W541" s="8"/>
      <c r="X541" s="4"/>
      <c r="Y541" s="8"/>
      <c r="Z541" s="4"/>
      <c r="AA541" s="2"/>
      <c r="AB541" s="4"/>
      <c r="AC541" s="8"/>
      <c r="AD541" s="4"/>
    </row>
    <row r="542">
      <c r="B542" s="4"/>
      <c r="C542" s="4"/>
      <c r="D542" s="4"/>
      <c r="F542" s="4"/>
      <c r="G542" s="8"/>
      <c r="H542" s="4"/>
      <c r="I542" s="4"/>
      <c r="J542" s="4"/>
      <c r="K542" s="4"/>
      <c r="L542" s="4"/>
      <c r="M542" s="8"/>
      <c r="N542" s="4"/>
      <c r="O542" s="8"/>
      <c r="P542" s="4"/>
      <c r="Q542" s="8"/>
      <c r="R542" s="4"/>
      <c r="S542" s="8"/>
      <c r="T542" s="4"/>
      <c r="U542" s="8"/>
      <c r="V542" s="4"/>
      <c r="W542" s="8"/>
      <c r="X542" s="4"/>
      <c r="Y542" s="8"/>
      <c r="Z542" s="4"/>
      <c r="AA542" s="2"/>
      <c r="AB542" s="4"/>
      <c r="AC542" s="8"/>
      <c r="AD542" s="4"/>
    </row>
    <row r="543">
      <c r="B543" s="4"/>
      <c r="C543" s="4"/>
      <c r="D543" s="4"/>
      <c r="F543" s="4"/>
      <c r="G543" s="8"/>
      <c r="H543" s="4"/>
      <c r="I543" s="4"/>
      <c r="J543" s="4"/>
      <c r="K543" s="4"/>
      <c r="L543" s="4"/>
      <c r="M543" s="8"/>
      <c r="N543" s="4"/>
      <c r="O543" s="8"/>
      <c r="P543" s="4"/>
      <c r="Q543" s="8"/>
      <c r="R543" s="4"/>
      <c r="S543" s="8"/>
      <c r="T543" s="4"/>
      <c r="U543" s="8"/>
      <c r="V543" s="4"/>
      <c r="W543" s="8"/>
      <c r="X543" s="4"/>
      <c r="Y543" s="8"/>
      <c r="Z543" s="4"/>
      <c r="AA543" s="2"/>
      <c r="AB543" s="4"/>
      <c r="AC543" s="8"/>
      <c r="AD543" s="4"/>
    </row>
    <row r="544">
      <c r="B544" s="4"/>
      <c r="C544" s="4"/>
      <c r="D544" s="4"/>
      <c r="F544" s="4"/>
      <c r="G544" s="8"/>
      <c r="H544" s="4"/>
      <c r="I544" s="4"/>
      <c r="J544" s="4"/>
      <c r="K544" s="4"/>
      <c r="L544" s="4"/>
      <c r="M544" s="8"/>
      <c r="N544" s="4"/>
      <c r="O544" s="8"/>
      <c r="P544" s="4"/>
      <c r="Q544" s="8"/>
      <c r="R544" s="4"/>
      <c r="S544" s="8"/>
      <c r="T544" s="4"/>
      <c r="U544" s="8"/>
      <c r="V544" s="4"/>
      <c r="W544" s="8"/>
      <c r="X544" s="4"/>
      <c r="Y544" s="8"/>
      <c r="Z544" s="4"/>
      <c r="AA544" s="2"/>
      <c r="AB544" s="4"/>
      <c r="AC544" s="8"/>
      <c r="AD544" s="4"/>
    </row>
    <row r="545">
      <c r="B545" s="4"/>
      <c r="C545" s="4"/>
      <c r="D545" s="4"/>
      <c r="F545" s="4"/>
      <c r="G545" s="8"/>
      <c r="H545" s="4"/>
      <c r="I545" s="4"/>
      <c r="J545" s="4"/>
      <c r="K545" s="4"/>
      <c r="L545" s="4"/>
      <c r="M545" s="8"/>
      <c r="N545" s="4"/>
      <c r="O545" s="8"/>
      <c r="P545" s="4"/>
      <c r="Q545" s="8"/>
      <c r="R545" s="4"/>
      <c r="S545" s="8"/>
      <c r="T545" s="4"/>
      <c r="U545" s="8"/>
      <c r="V545" s="4"/>
      <c r="W545" s="8"/>
      <c r="X545" s="4"/>
      <c r="Y545" s="8"/>
      <c r="Z545" s="4"/>
      <c r="AA545" s="2"/>
      <c r="AB545" s="4"/>
      <c r="AC545" s="8"/>
      <c r="AD545" s="4"/>
    </row>
    <row r="546">
      <c r="B546" s="4"/>
      <c r="C546" s="4"/>
      <c r="D546" s="4"/>
      <c r="F546" s="4"/>
      <c r="G546" s="8"/>
      <c r="H546" s="4"/>
      <c r="I546" s="4"/>
      <c r="J546" s="4"/>
      <c r="K546" s="4"/>
      <c r="L546" s="4"/>
      <c r="M546" s="8"/>
      <c r="N546" s="4"/>
      <c r="O546" s="8"/>
      <c r="P546" s="4"/>
      <c r="Q546" s="8"/>
      <c r="R546" s="4"/>
      <c r="S546" s="8"/>
      <c r="T546" s="4"/>
      <c r="U546" s="8"/>
      <c r="V546" s="4"/>
      <c r="W546" s="8"/>
      <c r="X546" s="4"/>
      <c r="Y546" s="8"/>
      <c r="Z546" s="4"/>
      <c r="AA546" s="2"/>
      <c r="AB546" s="4"/>
      <c r="AC546" s="8"/>
      <c r="AD546" s="4"/>
    </row>
    <row r="547">
      <c r="B547" s="4"/>
      <c r="C547" s="4"/>
      <c r="D547" s="4"/>
      <c r="F547" s="4"/>
      <c r="G547" s="8"/>
      <c r="H547" s="4"/>
      <c r="I547" s="4"/>
      <c r="J547" s="4"/>
      <c r="K547" s="4"/>
      <c r="L547" s="4"/>
      <c r="M547" s="8"/>
      <c r="N547" s="4"/>
      <c r="O547" s="8"/>
      <c r="P547" s="4"/>
      <c r="Q547" s="8"/>
      <c r="R547" s="4"/>
      <c r="S547" s="8"/>
      <c r="T547" s="4"/>
      <c r="U547" s="8"/>
      <c r="V547" s="4"/>
      <c r="W547" s="8"/>
      <c r="X547" s="4"/>
      <c r="Y547" s="8"/>
      <c r="Z547" s="4"/>
      <c r="AA547" s="2"/>
      <c r="AB547" s="4"/>
      <c r="AC547" s="8"/>
      <c r="AD547" s="4"/>
    </row>
    <row r="548">
      <c r="B548" s="4"/>
      <c r="C548" s="4"/>
      <c r="D548" s="4"/>
      <c r="F548" s="4"/>
      <c r="G548" s="8"/>
      <c r="H548" s="4"/>
      <c r="I548" s="4"/>
      <c r="J548" s="4"/>
      <c r="K548" s="4"/>
      <c r="L548" s="4"/>
      <c r="M548" s="8"/>
      <c r="N548" s="4"/>
      <c r="O548" s="8"/>
      <c r="P548" s="4"/>
      <c r="Q548" s="8"/>
      <c r="R548" s="4"/>
      <c r="S548" s="8"/>
      <c r="T548" s="4"/>
      <c r="U548" s="8"/>
      <c r="V548" s="4"/>
      <c r="W548" s="8"/>
      <c r="X548" s="4"/>
      <c r="Y548" s="8"/>
      <c r="Z548" s="4"/>
      <c r="AA548" s="2"/>
      <c r="AB548" s="4"/>
      <c r="AC548" s="8"/>
      <c r="AD548" s="4"/>
    </row>
    <row r="549">
      <c r="B549" s="4"/>
      <c r="C549" s="4"/>
      <c r="D549" s="4"/>
      <c r="F549" s="4"/>
      <c r="G549" s="8"/>
      <c r="H549" s="4"/>
      <c r="I549" s="4"/>
      <c r="J549" s="4"/>
      <c r="K549" s="4"/>
      <c r="L549" s="4"/>
      <c r="M549" s="8"/>
      <c r="N549" s="4"/>
      <c r="O549" s="8"/>
      <c r="P549" s="4"/>
      <c r="Q549" s="8"/>
      <c r="R549" s="4"/>
      <c r="S549" s="8"/>
      <c r="T549" s="4"/>
      <c r="U549" s="8"/>
      <c r="V549" s="4"/>
      <c r="W549" s="8"/>
      <c r="X549" s="4"/>
      <c r="Y549" s="8"/>
      <c r="Z549" s="4"/>
      <c r="AA549" s="2"/>
      <c r="AB549" s="4"/>
      <c r="AC549" s="8"/>
      <c r="AD549" s="4"/>
    </row>
    <row r="550">
      <c r="B550" s="4"/>
      <c r="C550" s="4"/>
      <c r="D550" s="4"/>
      <c r="F550" s="4"/>
      <c r="G550" s="8"/>
      <c r="H550" s="4"/>
      <c r="I550" s="4"/>
      <c r="J550" s="4"/>
      <c r="K550" s="4"/>
      <c r="L550" s="4"/>
      <c r="M550" s="8"/>
      <c r="N550" s="4"/>
      <c r="O550" s="8"/>
      <c r="P550" s="4"/>
      <c r="Q550" s="8"/>
      <c r="R550" s="4"/>
      <c r="S550" s="8"/>
      <c r="T550" s="4"/>
      <c r="U550" s="8"/>
      <c r="V550" s="4"/>
      <c r="W550" s="8"/>
      <c r="X550" s="4"/>
      <c r="Y550" s="8"/>
      <c r="Z550" s="4"/>
      <c r="AA550" s="2"/>
      <c r="AB550" s="4"/>
      <c r="AC550" s="8"/>
      <c r="AD550" s="4"/>
    </row>
    <row r="551">
      <c r="B551" s="4"/>
      <c r="C551" s="4"/>
      <c r="D551" s="4"/>
      <c r="F551" s="4"/>
      <c r="G551" s="8"/>
      <c r="H551" s="4"/>
      <c r="I551" s="4"/>
      <c r="J551" s="4"/>
      <c r="K551" s="4"/>
      <c r="L551" s="4"/>
      <c r="M551" s="8"/>
      <c r="N551" s="4"/>
      <c r="O551" s="8"/>
      <c r="P551" s="4"/>
      <c r="Q551" s="8"/>
      <c r="R551" s="4"/>
      <c r="S551" s="8"/>
      <c r="T551" s="4"/>
      <c r="U551" s="8"/>
      <c r="V551" s="4"/>
      <c r="W551" s="8"/>
      <c r="X551" s="4"/>
      <c r="Y551" s="8"/>
      <c r="Z551" s="4"/>
      <c r="AA551" s="2"/>
      <c r="AB551" s="4"/>
      <c r="AC551" s="8"/>
      <c r="AD551" s="4"/>
    </row>
    <row r="552">
      <c r="B552" s="4"/>
      <c r="C552" s="4"/>
      <c r="D552" s="4"/>
      <c r="F552" s="4"/>
      <c r="G552" s="8"/>
      <c r="H552" s="4"/>
      <c r="I552" s="4"/>
      <c r="J552" s="4"/>
      <c r="K552" s="4"/>
      <c r="L552" s="4"/>
      <c r="M552" s="8"/>
      <c r="N552" s="4"/>
      <c r="O552" s="8"/>
      <c r="P552" s="4"/>
      <c r="Q552" s="8"/>
      <c r="R552" s="4"/>
      <c r="S552" s="8"/>
      <c r="T552" s="4"/>
      <c r="U552" s="8"/>
      <c r="V552" s="4"/>
      <c r="W552" s="8"/>
      <c r="X552" s="4"/>
      <c r="Y552" s="8"/>
      <c r="Z552" s="4"/>
      <c r="AA552" s="2"/>
      <c r="AB552" s="4"/>
      <c r="AC552" s="8"/>
      <c r="AD552" s="4"/>
    </row>
    <row r="553">
      <c r="B553" s="4"/>
      <c r="C553" s="4"/>
      <c r="D553" s="4"/>
      <c r="F553" s="4"/>
      <c r="G553" s="8"/>
      <c r="H553" s="4"/>
      <c r="I553" s="4"/>
      <c r="J553" s="4"/>
      <c r="K553" s="4"/>
      <c r="L553" s="4"/>
      <c r="M553" s="8"/>
      <c r="N553" s="4"/>
      <c r="O553" s="8"/>
      <c r="P553" s="4"/>
      <c r="Q553" s="8"/>
      <c r="R553" s="4"/>
      <c r="S553" s="8"/>
      <c r="T553" s="4"/>
      <c r="U553" s="8"/>
      <c r="V553" s="4"/>
      <c r="W553" s="8"/>
      <c r="X553" s="4"/>
      <c r="Y553" s="8"/>
      <c r="Z553" s="4"/>
      <c r="AA553" s="2"/>
      <c r="AB553" s="4"/>
      <c r="AC553" s="8"/>
      <c r="AD553" s="4"/>
    </row>
    <row r="554">
      <c r="B554" s="4"/>
      <c r="C554" s="4"/>
      <c r="D554" s="4"/>
      <c r="F554" s="4"/>
      <c r="G554" s="8"/>
      <c r="H554" s="4"/>
      <c r="I554" s="4"/>
      <c r="J554" s="4"/>
      <c r="K554" s="4"/>
      <c r="L554" s="4"/>
      <c r="M554" s="8"/>
      <c r="N554" s="4"/>
      <c r="O554" s="8"/>
      <c r="P554" s="4"/>
      <c r="Q554" s="8"/>
      <c r="R554" s="4"/>
      <c r="S554" s="8"/>
      <c r="T554" s="4"/>
      <c r="U554" s="8"/>
      <c r="V554" s="4"/>
      <c r="W554" s="8"/>
      <c r="X554" s="4"/>
      <c r="Y554" s="8"/>
      <c r="Z554" s="4"/>
      <c r="AA554" s="2"/>
      <c r="AB554" s="4"/>
      <c r="AC554" s="8"/>
      <c r="AD554" s="4"/>
    </row>
    <row r="555">
      <c r="B555" s="4"/>
      <c r="C555" s="4"/>
      <c r="D555" s="4"/>
      <c r="F555" s="4"/>
      <c r="G555" s="8"/>
      <c r="H555" s="4"/>
      <c r="I555" s="4"/>
      <c r="J555" s="4"/>
      <c r="K555" s="4"/>
      <c r="L555" s="4"/>
      <c r="M555" s="8"/>
      <c r="N555" s="4"/>
      <c r="O555" s="8"/>
      <c r="P555" s="4"/>
      <c r="Q555" s="8"/>
      <c r="R555" s="4"/>
      <c r="S555" s="8"/>
      <c r="T555" s="4"/>
      <c r="U555" s="8"/>
      <c r="V555" s="4"/>
      <c r="W555" s="8"/>
      <c r="X555" s="4"/>
      <c r="Y555" s="8"/>
      <c r="Z555" s="4"/>
      <c r="AA555" s="2"/>
      <c r="AB555" s="4"/>
      <c r="AC555" s="8"/>
      <c r="AD555" s="4"/>
    </row>
    <row r="556">
      <c r="B556" s="4"/>
      <c r="C556" s="4"/>
      <c r="D556" s="4"/>
      <c r="F556" s="4"/>
      <c r="G556" s="8"/>
      <c r="H556" s="4"/>
      <c r="I556" s="4"/>
      <c r="J556" s="4"/>
      <c r="K556" s="4"/>
      <c r="L556" s="4"/>
      <c r="M556" s="8"/>
      <c r="N556" s="4"/>
      <c r="O556" s="8"/>
      <c r="P556" s="4"/>
      <c r="Q556" s="8"/>
      <c r="R556" s="4"/>
      <c r="S556" s="8"/>
      <c r="T556" s="4"/>
      <c r="U556" s="8"/>
      <c r="V556" s="4"/>
      <c r="W556" s="8"/>
      <c r="X556" s="4"/>
      <c r="Y556" s="8"/>
      <c r="Z556" s="4"/>
      <c r="AA556" s="2"/>
      <c r="AB556" s="4"/>
      <c r="AC556" s="8"/>
      <c r="AD556" s="4"/>
    </row>
    <row r="557">
      <c r="B557" s="4"/>
      <c r="C557" s="4"/>
      <c r="D557" s="4"/>
      <c r="F557" s="4"/>
      <c r="G557" s="8"/>
      <c r="H557" s="4"/>
      <c r="I557" s="4"/>
      <c r="J557" s="4"/>
      <c r="K557" s="4"/>
      <c r="L557" s="4"/>
      <c r="M557" s="8"/>
      <c r="N557" s="4"/>
      <c r="O557" s="8"/>
      <c r="P557" s="4"/>
      <c r="Q557" s="8"/>
      <c r="R557" s="4"/>
      <c r="S557" s="8"/>
      <c r="T557" s="4"/>
      <c r="U557" s="8"/>
      <c r="V557" s="4"/>
      <c r="W557" s="8"/>
      <c r="X557" s="4"/>
      <c r="Y557" s="8"/>
      <c r="Z557" s="4"/>
      <c r="AA557" s="2"/>
      <c r="AB557" s="4"/>
      <c r="AC557" s="8"/>
      <c r="AD557" s="4"/>
    </row>
    <row r="558">
      <c r="B558" s="4"/>
      <c r="C558" s="4"/>
      <c r="D558" s="4"/>
      <c r="F558" s="4"/>
      <c r="G558" s="8"/>
      <c r="H558" s="4"/>
      <c r="I558" s="4"/>
      <c r="J558" s="4"/>
      <c r="K558" s="4"/>
      <c r="L558" s="4"/>
      <c r="M558" s="8"/>
      <c r="N558" s="4"/>
      <c r="O558" s="8"/>
      <c r="P558" s="4"/>
      <c r="Q558" s="8"/>
      <c r="R558" s="4"/>
      <c r="S558" s="8"/>
      <c r="T558" s="4"/>
      <c r="U558" s="8"/>
      <c r="V558" s="4"/>
      <c r="W558" s="8"/>
      <c r="X558" s="4"/>
      <c r="Y558" s="8"/>
      <c r="Z558" s="4"/>
      <c r="AA558" s="2"/>
      <c r="AB558" s="4"/>
      <c r="AC558" s="8"/>
      <c r="AD558" s="4"/>
    </row>
    <row r="559">
      <c r="B559" s="4"/>
      <c r="C559" s="4"/>
      <c r="D559" s="4"/>
      <c r="F559" s="4"/>
      <c r="G559" s="8"/>
      <c r="H559" s="4"/>
      <c r="I559" s="4"/>
      <c r="J559" s="4"/>
      <c r="K559" s="4"/>
      <c r="L559" s="4"/>
      <c r="M559" s="8"/>
      <c r="N559" s="4"/>
      <c r="O559" s="8"/>
      <c r="P559" s="4"/>
      <c r="Q559" s="8"/>
      <c r="R559" s="4"/>
      <c r="S559" s="8"/>
      <c r="T559" s="4"/>
      <c r="U559" s="8"/>
      <c r="V559" s="4"/>
      <c r="W559" s="8"/>
      <c r="X559" s="4"/>
      <c r="Y559" s="8"/>
      <c r="Z559" s="4"/>
      <c r="AA559" s="2"/>
      <c r="AB559" s="4"/>
      <c r="AC559" s="8"/>
      <c r="AD559" s="4"/>
    </row>
    <row r="560">
      <c r="B560" s="4"/>
      <c r="C560" s="4"/>
      <c r="D560" s="4"/>
      <c r="F560" s="4"/>
      <c r="G560" s="8"/>
      <c r="H560" s="4"/>
      <c r="I560" s="4"/>
      <c r="J560" s="4"/>
      <c r="K560" s="4"/>
      <c r="L560" s="4"/>
      <c r="M560" s="8"/>
      <c r="N560" s="4"/>
      <c r="O560" s="8"/>
      <c r="P560" s="4"/>
      <c r="Q560" s="8"/>
      <c r="R560" s="4"/>
      <c r="S560" s="8"/>
      <c r="T560" s="4"/>
      <c r="U560" s="8"/>
      <c r="V560" s="4"/>
      <c r="W560" s="8"/>
      <c r="X560" s="4"/>
      <c r="Y560" s="8"/>
      <c r="Z560" s="4"/>
      <c r="AA560" s="2"/>
      <c r="AB560" s="4"/>
      <c r="AC560" s="8"/>
      <c r="AD560" s="4"/>
    </row>
    <row r="561">
      <c r="B561" s="4"/>
      <c r="C561" s="4"/>
      <c r="D561" s="4"/>
      <c r="F561" s="4"/>
      <c r="G561" s="8"/>
      <c r="H561" s="4"/>
      <c r="I561" s="4"/>
      <c r="J561" s="4"/>
      <c r="K561" s="4"/>
      <c r="L561" s="4"/>
      <c r="M561" s="8"/>
      <c r="N561" s="4"/>
      <c r="O561" s="8"/>
      <c r="P561" s="4"/>
      <c r="Q561" s="8"/>
      <c r="R561" s="4"/>
      <c r="S561" s="8"/>
      <c r="T561" s="4"/>
      <c r="U561" s="8"/>
      <c r="V561" s="4"/>
      <c r="W561" s="8"/>
      <c r="X561" s="4"/>
      <c r="Y561" s="8"/>
      <c r="Z561" s="4"/>
      <c r="AA561" s="2"/>
      <c r="AB561" s="4"/>
      <c r="AC561" s="8"/>
      <c r="AD561" s="4"/>
    </row>
    <row r="562">
      <c r="B562" s="4"/>
      <c r="C562" s="4"/>
      <c r="D562" s="4"/>
      <c r="F562" s="4"/>
      <c r="G562" s="8"/>
      <c r="H562" s="4"/>
      <c r="I562" s="4"/>
      <c r="J562" s="4"/>
      <c r="K562" s="4"/>
      <c r="L562" s="4"/>
      <c r="M562" s="8"/>
      <c r="N562" s="4"/>
      <c r="O562" s="8"/>
      <c r="P562" s="4"/>
      <c r="Q562" s="8"/>
      <c r="R562" s="4"/>
      <c r="S562" s="8"/>
      <c r="T562" s="4"/>
      <c r="U562" s="8"/>
      <c r="V562" s="4"/>
      <c r="W562" s="8"/>
      <c r="X562" s="4"/>
      <c r="Y562" s="8"/>
      <c r="Z562" s="4"/>
      <c r="AA562" s="2"/>
      <c r="AB562" s="4"/>
      <c r="AC562" s="8"/>
      <c r="AD562" s="4"/>
    </row>
    <row r="563">
      <c r="B563" s="4"/>
      <c r="C563" s="4"/>
      <c r="D563" s="4"/>
      <c r="F563" s="4"/>
      <c r="G563" s="8"/>
      <c r="H563" s="4"/>
      <c r="I563" s="4"/>
      <c r="J563" s="4"/>
      <c r="K563" s="4"/>
      <c r="L563" s="4"/>
      <c r="M563" s="8"/>
      <c r="N563" s="4"/>
      <c r="O563" s="8"/>
      <c r="P563" s="4"/>
      <c r="Q563" s="8"/>
      <c r="R563" s="4"/>
      <c r="S563" s="8"/>
      <c r="T563" s="4"/>
      <c r="U563" s="8"/>
      <c r="V563" s="4"/>
      <c r="W563" s="8"/>
      <c r="X563" s="4"/>
      <c r="Y563" s="8"/>
      <c r="Z563" s="4"/>
      <c r="AA563" s="2"/>
      <c r="AB563" s="4"/>
      <c r="AC563" s="8"/>
      <c r="AD563" s="4"/>
    </row>
    <row r="564">
      <c r="B564" s="4"/>
      <c r="C564" s="4"/>
      <c r="D564" s="4"/>
      <c r="F564" s="4"/>
      <c r="G564" s="8"/>
      <c r="H564" s="4"/>
      <c r="I564" s="4"/>
      <c r="J564" s="4"/>
      <c r="K564" s="4"/>
      <c r="L564" s="4"/>
      <c r="M564" s="8"/>
      <c r="N564" s="4"/>
      <c r="O564" s="8"/>
      <c r="P564" s="4"/>
      <c r="Q564" s="8"/>
      <c r="R564" s="4"/>
      <c r="S564" s="8"/>
      <c r="T564" s="4"/>
      <c r="U564" s="8"/>
      <c r="V564" s="4"/>
      <c r="W564" s="8"/>
      <c r="X564" s="4"/>
      <c r="Y564" s="8"/>
      <c r="Z564" s="4"/>
      <c r="AA564" s="2"/>
      <c r="AB564" s="4"/>
      <c r="AC564" s="8"/>
      <c r="AD564" s="4"/>
    </row>
    <row r="565">
      <c r="B565" s="4"/>
      <c r="C565" s="4"/>
      <c r="D565" s="4"/>
      <c r="F565" s="4"/>
      <c r="G565" s="8"/>
      <c r="H565" s="4"/>
      <c r="I565" s="4"/>
      <c r="J565" s="4"/>
      <c r="K565" s="4"/>
      <c r="L565" s="4"/>
      <c r="M565" s="8"/>
      <c r="N565" s="4"/>
      <c r="O565" s="8"/>
      <c r="P565" s="4"/>
      <c r="Q565" s="8"/>
      <c r="R565" s="4"/>
      <c r="S565" s="8"/>
      <c r="T565" s="4"/>
      <c r="U565" s="8"/>
      <c r="V565" s="4"/>
      <c r="W565" s="8"/>
      <c r="X565" s="4"/>
      <c r="Y565" s="8"/>
      <c r="Z565" s="4"/>
      <c r="AA565" s="2"/>
      <c r="AB565" s="4"/>
      <c r="AC565" s="8"/>
      <c r="AD565" s="4"/>
    </row>
    <row r="566">
      <c r="B566" s="4"/>
      <c r="C566" s="4"/>
      <c r="D566" s="4"/>
      <c r="F566" s="4"/>
      <c r="G566" s="8"/>
      <c r="H566" s="4"/>
      <c r="I566" s="4"/>
      <c r="J566" s="4"/>
      <c r="K566" s="4"/>
      <c r="L566" s="4"/>
      <c r="M566" s="8"/>
      <c r="N566" s="4"/>
      <c r="O566" s="8"/>
      <c r="P566" s="4"/>
      <c r="Q566" s="8"/>
      <c r="R566" s="4"/>
      <c r="S566" s="8"/>
      <c r="T566" s="4"/>
      <c r="U566" s="8"/>
      <c r="V566" s="4"/>
      <c r="W566" s="8"/>
      <c r="X566" s="4"/>
      <c r="Y566" s="8"/>
      <c r="Z566" s="4"/>
      <c r="AA566" s="2"/>
      <c r="AB566" s="4"/>
      <c r="AC566" s="8"/>
      <c r="AD566" s="4"/>
    </row>
    <row r="567">
      <c r="B567" s="4"/>
      <c r="C567" s="4"/>
      <c r="D567" s="4"/>
      <c r="F567" s="4"/>
      <c r="G567" s="8"/>
      <c r="H567" s="4"/>
      <c r="I567" s="4"/>
      <c r="J567" s="4"/>
      <c r="K567" s="4"/>
      <c r="L567" s="4"/>
      <c r="M567" s="8"/>
      <c r="N567" s="4"/>
      <c r="O567" s="8"/>
      <c r="P567" s="4"/>
      <c r="Q567" s="8"/>
      <c r="R567" s="4"/>
      <c r="S567" s="8"/>
      <c r="T567" s="4"/>
      <c r="U567" s="8"/>
      <c r="V567" s="4"/>
      <c r="W567" s="8"/>
      <c r="X567" s="4"/>
      <c r="Y567" s="8"/>
      <c r="Z567" s="4"/>
      <c r="AA567" s="2"/>
      <c r="AB567" s="4"/>
      <c r="AC567" s="8"/>
      <c r="AD567" s="4"/>
    </row>
    <row r="568">
      <c r="B568" s="4"/>
      <c r="C568" s="4"/>
      <c r="D568" s="4"/>
      <c r="F568" s="4"/>
      <c r="G568" s="8"/>
      <c r="H568" s="4"/>
      <c r="I568" s="4"/>
      <c r="J568" s="4"/>
      <c r="K568" s="4"/>
      <c r="L568" s="4"/>
      <c r="M568" s="8"/>
      <c r="N568" s="4"/>
      <c r="O568" s="8"/>
      <c r="P568" s="4"/>
      <c r="Q568" s="8"/>
      <c r="R568" s="4"/>
      <c r="S568" s="8"/>
      <c r="T568" s="4"/>
      <c r="U568" s="8"/>
      <c r="V568" s="4"/>
      <c r="W568" s="8"/>
      <c r="X568" s="4"/>
      <c r="Y568" s="8"/>
      <c r="Z568" s="4"/>
      <c r="AA568" s="2"/>
      <c r="AB568" s="4"/>
      <c r="AC568" s="8"/>
      <c r="AD568" s="4"/>
    </row>
    <row r="569">
      <c r="B569" s="4"/>
      <c r="C569" s="4"/>
      <c r="D569" s="4"/>
      <c r="F569" s="4"/>
      <c r="G569" s="8"/>
      <c r="H569" s="4"/>
      <c r="I569" s="4"/>
      <c r="J569" s="4"/>
      <c r="K569" s="4"/>
      <c r="L569" s="4"/>
      <c r="M569" s="8"/>
      <c r="N569" s="4"/>
      <c r="O569" s="8"/>
      <c r="P569" s="4"/>
      <c r="Q569" s="8"/>
      <c r="R569" s="4"/>
      <c r="S569" s="8"/>
      <c r="T569" s="4"/>
      <c r="U569" s="8"/>
      <c r="V569" s="4"/>
      <c r="W569" s="8"/>
      <c r="X569" s="4"/>
      <c r="Y569" s="8"/>
      <c r="Z569" s="4"/>
      <c r="AA569" s="2"/>
      <c r="AB569" s="4"/>
      <c r="AC569" s="8"/>
      <c r="AD569" s="4"/>
    </row>
    <row r="570">
      <c r="B570" s="4"/>
      <c r="C570" s="4"/>
      <c r="D570" s="4"/>
      <c r="F570" s="4"/>
      <c r="G570" s="8"/>
      <c r="H570" s="4"/>
      <c r="I570" s="4"/>
      <c r="J570" s="4"/>
      <c r="K570" s="4"/>
      <c r="L570" s="4"/>
      <c r="M570" s="8"/>
      <c r="N570" s="4"/>
      <c r="O570" s="8"/>
      <c r="P570" s="4"/>
      <c r="Q570" s="8"/>
      <c r="R570" s="4"/>
      <c r="S570" s="8"/>
      <c r="T570" s="4"/>
      <c r="U570" s="8"/>
      <c r="V570" s="4"/>
      <c r="W570" s="8"/>
      <c r="X570" s="4"/>
      <c r="Y570" s="8"/>
      <c r="Z570" s="4"/>
      <c r="AA570" s="2"/>
      <c r="AB570" s="4"/>
      <c r="AC570" s="8"/>
      <c r="AD570" s="4"/>
    </row>
    <row r="571">
      <c r="B571" s="4"/>
      <c r="C571" s="4"/>
      <c r="D571" s="4"/>
      <c r="F571" s="4"/>
      <c r="G571" s="8"/>
      <c r="H571" s="4"/>
      <c r="I571" s="4"/>
      <c r="J571" s="4"/>
      <c r="K571" s="4"/>
      <c r="L571" s="4"/>
      <c r="M571" s="8"/>
      <c r="N571" s="4"/>
      <c r="O571" s="8"/>
      <c r="P571" s="4"/>
      <c r="Q571" s="8"/>
      <c r="R571" s="4"/>
      <c r="S571" s="8"/>
      <c r="T571" s="4"/>
      <c r="U571" s="8"/>
      <c r="V571" s="4"/>
      <c r="W571" s="8"/>
      <c r="X571" s="4"/>
      <c r="Y571" s="8"/>
      <c r="Z571" s="4"/>
      <c r="AA571" s="2"/>
      <c r="AB571" s="4"/>
      <c r="AC571" s="8"/>
      <c r="AD571" s="4"/>
    </row>
    <row r="572">
      <c r="B572" s="4"/>
      <c r="C572" s="4"/>
      <c r="D572" s="4"/>
      <c r="F572" s="4"/>
      <c r="G572" s="8"/>
      <c r="H572" s="4"/>
      <c r="I572" s="4"/>
      <c r="J572" s="4"/>
      <c r="K572" s="4"/>
      <c r="L572" s="4"/>
      <c r="M572" s="8"/>
      <c r="N572" s="4"/>
      <c r="O572" s="8"/>
      <c r="P572" s="4"/>
      <c r="Q572" s="8"/>
      <c r="R572" s="4"/>
      <c r="S572" s="8"/>
      <c r="T572" s="4"/>
      <c r="U572" s="8"/>
      <c r="V572" s="4"/>
      <c r="W572" s="8"/>
      <c r="X572" s="4"/>
      <c r="Y572" s="8"/>
      <c r="Z572" s="4"/>
      <c r="AA572" s="2"/>
      <c r="AB572" s="4"/>
      <c r="AC572" s="8"/>
      <c r="AD572" s="4"/>
    </row>
    <row r="573">
      <c r="B573" s="4"/>
      <c r="C573" s="4"/>
      <c r="D573" s="4"/>
      <c r="F573" s="4"/>
      <c r="G573" s="8"/>
      <c r="H573" s="4"/>
      <c r="I573" s="4"/>
      <c r="J573" s="4"/>
      <c r="K573" s="4"/>
      <c r="L573" s="4"/>
      <c r="M573" s="8"/>
      <c r="N573" s="4"/>
      <c r="O573" s="8"/>
      <c r="P573" s="4"/>
      <c r="Q573" s="8"/>
      <c r="R573" s="4"/>
      <c r="S573" s="8"/>
      <c r="T573" s="4"/>
      <c r="U573" s="8"/>
      <c r="V573" s="4"/>
      <c r="W573" s="8"/>
      <c r="X573" s="4"/>
      <c r="Y573" s="8"/>
      <c r="Z573" s="4"/>
      <c r="AA573" s="2"/>
      <c r="AB573" s="4"/>
      <c r="AC573" s="8"/>
      <c r="AD573" s="4"/>
    </row>
    <row r="574">
      <c r="B574" s="4"/>
      <c r="C574" s="4"/>
      <c r="D574" s="4"/>
      <c r="F574" s="4"/>
      <c r="G574" s="8"/>
      <c r="H574" s="4"/>
      <c r="I574" s="4"/>
      <c r="J574" s="4"/>
      <c r="K574" s="4"/>
      <c r="L574" s="4"/>
      <c r="M574" s="8"/>
      <c r="N574" s="4"/>
      <c r="O574" s="8"/>
      <c r="P574" s="4"/>
      <c r="Q574" s="8"/>
      <c r="R574" s="4"/>
      <c r="S574" s="8"/>
      <c r="T574" s="4"/>
      <c r="U574" s="8"/>
      <c r="V574" s="4"/>
      <c r="W574" s="8"/>
      <c r="X574" s="4"/>
      <c r="Y574" s="8"/>
      <c r="Z574" s="4"/>
      <c r="AA574" s="2"/>
      <c r="AB574" s="4"/>
      <c r="AC574" s="8"/>
      <c r="AD574" s="4"/>
    </row>
    <row r="575">
      <c r="B575" s="4"/>
      <c r="C575" s="4"/>
      <c r="D575" s="4"/>
      <c r="F575" s="4"/>
      <c r="G575" s="8"/>
      <c r="H575" s="4"/>
      <c r="I575" s="4"/>
      <c r="J575" s="4"/>
      <c r="K575" s="4"/>
      <c r="L575" s="4"/>
      <c r="M575" s="8"/>
      <c r="N575" s="4"/>
      <c r="O575" s="8"/>
      <c r="P575" s="4"/>
      <c r="Q575" s="8"/>
      <c r="R575" s="4"/>
      <c r="S575" s="8"/>
      <c r="T575" s="4"/>
      <c r="U575" s="8"/>
      <c r="V575" s="4"/>
      <c r="W575" s="8"/>
      <c r="X575" s="4"/>
      <c r="Y575" s="8"/>
      <c r="Z575" s="4"/>
      <c r="AA575" s="2"/>
      <c r="AB575" s="4"/>
      <c r="AC575" s="8"/>
      <c r="AD575" s="4"/>
    </row>
    <row r="576">
      <c r="B576" s="4"/>
      <c r="C576" s="4"/>
      <c r="D576" s="4"/>
      <c r="F576" s="4"/>
      <c r="G576" s="8"/>
      <c r="H576" s="4"/>
      <c r="I576" s="4"/>
      <c r="J576" s="4"/>
      <c r="K576" s="4"/>
      <c r="L576" s="4"/>
      <c r="M576" s="8"/>
      <c r="N576" s="4"/>
      <c r="O576" s="8"/>
      <c r="P576" s="4"/>
      <c r="Q576" s="8"/>
      <c r="R576" s="4"/>
      <c r="S576" s="8"/>
      <c r="T576" s="4"/>
      <c r="U576" s="8"/>
      <c r="V576" s="4"/>
      <c r="W576" s="8"/>
      <c r="X576" s="4"/>
      <c r="Y576" s="8"/>
      <c r="Z576" s="4"/>
      <c r="AA576" s="2"/>
      <c r="AB576" s="4"/>
      <c r="AC576" s="8"/>
      <c r="AD576" s="4"/>
    </row>
    <row r="577">
      <c r="B577" s="4"/>
      <c r="C577" s="4"/>
      <c r="D577" s="4"/>
      <c r="F577" s="4"/>
      <c r="G577" s="8"/>
      <c r="H577" s="4"/>
      <c r="I577" s="4"/>
      <c r="J577" s="4"/>
      <c r="K577" s="4"/>
      <c r="L577" s="4"/>
      <c r="M577" s="8"/>
      <c r="N577" s="4"/>
      <c r="O577" s="8"/>
      <c r="P577" s="4"/>
      <c r="Q577" s="8"/>
      <c r="R577" s="4"/>
      <c r="S577" s="8"/>
      <c r="T577" s="4"/>
      <c r="U577" s="8"/>
      <c r="V577" s="4"/>
      <c r="W577" s="8"/>
      <c r="X577" s="4"/>
      <c r="Y577" s="8"/>
      <c r="Z577" s="4"/>
      <c r="AA577" s="2"/>
      <c r="AB577" s="4"/>
      <c r="AC577" s="8"/>
      <c r="AD577" s="4"/>
    </row>
    <row r="578">
      <c r="B578" s="4"/>
      <c r="C578" s="4"/>
      <c r="D578" s="4"/>
      <c r="F578" s="4"/>
      <c r="G578" s="8"/>
      <c r="H578" s="4"/>
      <c r="I578" s="4"/>
      <c r="J578" s="4"/>
      <c r="K578" s="4"/>
      <c r="L578" s="4"/>
      <c r="M578" s="8"/>
      <c r="N578" s="4"/>
      <c r="O578" s="8"/>
      <c r="P578" s="4"/>
      <c r="Q578" s="8"/>
      <c r="R578" s="4"/>
      <c r="S578" s="8"/>
      <c r="T578" s="4"/>
      <c r="U578" s="8"/>
      <c r="V578" s="4"/>
      <c r="W578" s="8"/>
      <c r="X578" s="4"/>
      <c r="Y578" s="8"/>
      <c r="Z578" s="4"/>
      <c r="AA578" s="2"/>
      <c r="AB578" s="4"/>
      <c r="AC578" s="8"/>
      <c r="AD578" s="4"/>
    </row>
    <row r="579">
      <c r="B579" s="4"/>
      <c r="C579" s="4"/>
      <c r="D579" s="4"/>
      <c r="F579" s="4"/>
      <c r="G579" s="8"/>
      <c r="H579" s="4"/>
      <c r="I579" s="4"/>
      <c r="J579" s="4"/>
      <c r="K579" s="4"/>
      <c r="L579" s="4"/>
      <c r="M579" s="8"/>
      <c r="N579" s="4"/>
      <c r="O579" s="8"/>
      <c r="P579" s="4"/>
      <c r="Q579" s="8"/>
      <c r="R579" s="4"/>
      <c r="S579" s="8"/>
      <c r="T579" s="4"/>
      <c r="U579" s="8"/>
      <c r="V579" s="4"/>
      <c r="W579" s="8"/>
      <c r="X579" s="4"/>
      <c r="Y579" s="8"/>
      <c r="Z579" s="4"/>
      <c r="AA579" s="2"/>
      <c r="AB579" s="4"/>
      <c r="AC579" s="8"/>
      <c r="AD579" s="4"/>
    </row>
    <row r="580">
      <c r="B580" s="4"/>
      <c r="C580" s="4"/>
      <c r="D580" s="4"/>
      <c r="F580" s="4"/>
      <c r="G580" s="8"/>
      <c r="H580" s="4"/>
      <c r="I580" s="4"/>
      <c r="J580" s="4"/>
      <c r="K580" s="4"/>
      <c r="L580" s="4"/>
      <c r="M580" s="8"/>
      <c r="N580" s="4"/>
      <c r="O580" s="8"/>
      <c r="P580" s="4"/>
      <c r="Q580" s="8"/>
      <c r="R580" s="4"/>
      <c r="S580" s="8"/>
      <c r="T580" s="4"/>
      <c r="U580" s="8"/>
      <c r="V580" s="4"/>
      <c r="W580" s="8"/>
      <c r="X580" s="4"/>
      <c r="Y580" s="8"/>
      <c r="Z580" s="4"/>
      <c r="AA580" s="2"/>
      <c r="AB580" s="4"/>
      <c r="AC580" s="8"/>
      <c r="AD580" s="4"/>
    </row>
    <row r="581">
      <c r="B581" s="4"/>
      <c r="C581" s="4"/>
      <c r="D581" s="4"/>
      <c r="F581" s="4"/>
      <c r="G581" s="8"/>
      <c r="H581" s="4"/>
      <c r="I581" s="4"/>
      <c r="J581" s="4"/>
      <c r="K581" s="4"/>
      <c r="L581" s="4"/>
      <c r="M581" s="8"/>
      <c r="N581" s="4"/>
      <c r="O581" s="8"/>
      <c r="P581" s="4"/>
      <c r="Q581" s="8"/>
      <c r="R581" s="4"/>
      <c r="S581" s="8"/>
      <c r="T581" s="4"/>
      <c r="U581" s="8"/>
      <c r="V581" s="4"/>
      <c r="W581" s="8"/>
      <c r="X581" s="4"/>
      <c r="Y581" s="8"/>
      <c r="Z581" s="4"/>
      <c r="AA581" s="2"/>
      <c r="AB581" s="4"/>
      <c r="AC581" s="8"/>
      <c r="AD581" s="4"/>
    </row>
    <row r="582">
      <c r="B582" s="4"/>
      <c r="C582" s="4"/>
      <c r="D582" s="4"/>
      <c r="F582" s="4"/>
      <c r="G582" s="8"/>
      <c r="H582" s="4"/>
      <c r="I582" s="4"/>
      <c r="J582" s="4"/>
      <c r="K582" s="4"/>
      <c r="L582" s="4"/>
      <c r="M582" s="8"/>
      <c r="N582" s="4"/>
      <c r="O582" s="8"/>
      <c r="P582" s="4"/>
      <c r="Q582" s="8"/>
      <c r="R582" s="4"/>
      <c r="S582" s="8"/>
      <c r="T582" s="4"/>
      <c r="U582" s="8"/>
      <c r="V582" s="4"/>
      <c r="W582" s="8"/>
      <c r="X582" s="4"/>
      <c r="Y582" s="8"/>
      <c r="Z582" s="4"/>
      <c r="AA582" s="2"/>
      <c r="AB582" s="4"/>
      <c r="AC582" s="8"/>
      <c r="AD582" s="4"/>
    </row>
    <row r="583">
      <c r="B583" s="4"/>
      <c r="C583" s="4"/>
      <c r="D583" s="4"/>
      <c r="F583" s="4"/>
      <c r="G583" s="8"/>
      <c r="H583" s="4"/>
      <c r="I583" s="4"/>
      <c r="J583" s="4"/>
      <c r="K583" s="4"/>
      <c r="L583" s="4"/>
      <c r="M583" s="8"/>
      <c r="N583" s="4"/>
      <c r="O583" s="8"/>
      <c r="P583" s="4"/>
      <c r="Q583" s="8"/>
      <c r="R583" s="4"/>
      <c r="S583" s="8"/>
      <c r="T583" s="4"/>
      <c r="U583" s="8"/>
      <c r="V583" s="4"/>
      <c r="W583" s="8"/>
      <c r="X583" s="4"/>
      <c r="Y583" s="8"/>
      <c r="Z583" s="4"/>
      <c r="AA583" s="2"/>
      <c r="AB583" s="4"/>
      <c r="AC583" s="8"/>
      <c r="AD583" s="4"/>
    </row>
    <row r="584">
      <c r="B584" s="4"/>
      <c r="C584" s="4"/>
      <c r="D584" s="4"/>
      <c r="F584" s="4"/>
      <c r="G584" s="8"/>
      <c r="H584" s="4"/>
      <c r="I584" s="4"/>
      <c r="J584" s="4"/>
      <c r="K584" s="4"/>
      <c r="L584" s="4"/>
      <c r="M584" s="8"/>
      <c r="N584" s="4"/>
      <c r="O584" s="8"/>
      <c r="P584" s="4"/>
      <c r="Q584" s="8"/>
      <c r="R584" s="4"/>
      <c r="S584" s="8"/>
      <c r="T584" s="4"/>
      <c r="U584" s="8"/>
      <c r="V584" s="4"/>
      <c r="W584" s="8"/>
      <c r="X584" s="4"/>
      <c r="Y584" s="8"/>
      <c r="Z584" s="4"/>
      <c r="AA584" s="2"/>
      <c r="AB584" s="4"/>
      <c r="AC584" s="8"/>
      <c r="AD584" s="4"/>
    </row>
    <row r="585">
      <c r="B585" s="4"/>
      <c r="C585" s="4"/>
      <c r="D585" s="4"/>
      <c r="F585" s="4"/>
      <c r="G585" s="8"/>
      <c r="H585" s="4"/>
      <c r="I585" s="4"/>
      <c r="J585" s="4"/>
      <c r="K585" s="4"/>
      <c r="L585" s="4"/>
      <c r="M585" s="8"/>
      <c r="N585" s="4"/>
      <c r="O585" s="8"/>
      <c r="P585" s="4"/>
      <c r="Q585" s="8"/>
      <c r="R585" s="4"/>
      <c r="S585" s="8"/>
      <c r="T585" s="4"/>
      <c r="U585" s="8"/>
      <c r="V585" s="4"/>
      <c r="W585" s="8"/>
      <c r="X585" s="4"/>
      <c r="Y585" s="8"/>
      <c r="Z585" s="4"/>
      <c r="AA585" s="2"/>
      <c r="AB585" s="4"/>
      <c r="AC585" s="8"/>
      <c r="AD585" s="4"/>
    </row>
    <row r="586">
      <c r="B586" s="4"/>
      <c r="C586" s="4"/>
      <c r="D586" s="4"/>
      <c r="F586" s="4"/>
      <c r="G586" s="8"/>
      <c r="H586" s="4"/>
      <c r="I586" s="4"/>
      <c r="J586" s="4"/>
      <c r="K586" s="4"/>
      <c r="L586" s="4"/>
      <c r="M586" s="8"/>
      <c r="N586" s="4"/>
      <c r="O586" s="8"/>
      <c r="P586" s="4"/>
      <c r="Q586" s="8"/>
      <c r="R586" s="4"/>
      <c r="S586" s="8"/>
      <c r="T586" s="4"/>
      <c r="U586" s="8"/>
      <c r="V586" s="4"/>
      <c r="W586" s="8"/>
      <c r="X586" s="4"/>
      <c r="Y586" s="8"/>
      <c r="Z586" s="4"/>
      <c r="AA586" s="2"/>
      <c r="AB586" s="4"/>
      <c r="AC586" s="8"/>
      <c r="AD586" s="4"/>
    </row>
    <row r="587">
      <c r="B587" s="4"/>
      <c r="C587" s="4"/>
      <c r="D587" s="4"/>
      <c r="F587" s="4"/>
      <c r="G587" s="8"/>
      <c r="H587" s="4"/>
      <c r="I587" s="4"/>
      <c r="J587" s="4"/>
      <c r="K587" s="4"/>
      <c r="L587" s="4"/>
      <c r="M587" s="8"/>
      <c r="N587" s="4"/>
      <c r="O587" s="8"/>
      <c r="P587" s="4"/>
      <c r="Q587" s="8"/>
      <c r="R587" s="4"/>
      <c r="S587" s="8"/>
      <c r="T587" s="4"/>
      <c r="U587" s="8"/>
      <c r="V587" s="4"/>
      <c r="W587" s="8"/>
      <c r="X587" s="4"/>
      <c r="Y587" s="8"/>
      <c r="Z587" s="4"/>
      <c r="AA587" s="2"/>
      <c r="AB587" s="4"/>
      <c r="AC587" s="8"/>
      <c r="AD587" s="4"/>
    </row>
    <row r="588">
      <c r="B588" s="4"/>
      <c r="C588" s="4"/>
      <c r="D588" s="4"/>
      <c r="F588" s="4"/>
      <c r="G588" s="8"/>
      <c r="H588" s="4"/>
      <c r="I588" s="4"/>
      <c r="J588" s="4"/>
      <c r="K588" s="4"/>
      <c r="L588" s="4"/>
      <c r="M588" s="8"/>
      <c r="N588" s="4"/>
      <c r="O588" s="8"/>
      <c r="P588" s="4"/>
      <c r="Q588" s="8"/>
      <c r="R588" s="4"/>
      <c r="S588" s="8"/>
      <c r="T588" s="4"/>
      <c r="U588" s="8"/>
      <c r="V588" s="4"/>
      <c r="W588" s="8"/>
      <c r="X588" s="4"/>
      <c r="Y588" s="8"/>
      <c r="Z588" s="4"/>
      <c r="AA588" s="2"/>
      <c r="AB588" s="4"/>
      <c r="AC588" s="8"/>
      <c r="AD588" s="4"/>
    </row>
    <row r="589">
      <c r="B589" s="4"/>
      <c r="C589" s="4"/>
      <c r="D589" s="4"/>
      <c r="F589" s="4"/>
      <c r="G589" s="8"/>
      <c r="H589" s="4"/>
      <c r="I589" s="4"/>
      <c r="J589" s="4"/>
      <c r="K589" s="4"/>
      <c r="L589" s="4"/>
      <c r="M589" s="8"/>
      <c r="N589" s="4"/>
      <c r="O589" s="8"/>
      <c r="P589" s="4"/>
      <c r="Q589" s="8"/>
      <c r="R589" s="4"/>
      <c r="S589" s="8"/>
      <c r="T589" s="4"/>
      <c r="U589" s="8"/>
      <c r="V589" s="4"/>
      <c r="W589" s="8"/>
      <c r="X589" s="4"/>
      <c r="Y589" s="8"/>
      <c r="Z589" s="4"/>
      <c r="AA589" s="2"/>
      <c r="AB589" s="4"/>
      <c r="AC589" s="8"/>
      <c r="AD589" s="4"/>
    </row>
    <row r="590">
      <c r="B590" s="4"/>
      <c r="C590" s="4"/>
      <c r="D590" s="4"/>
      <c r="F590" s="4"/>
      <c r="G590" s="8"/>
      <c r="H590" s="4"/>
      <c r="I590" s="4"/>
      <c r="J590" s="4"/>
      <c r="K590" s="4"/>
      <c r="L590" s="4"/>
      <c r="M590" s="8"/>
      <c r="N590" s="4"/>
      <c r="O590" s="8"/>
      <c r="P590" s="4"/>
      <c r="Q590" s="8"/>
      <c r="R590" s="4"/>
      <c r="S590" s="8"/>
      <c r="T590" s="4"/>
      <c r="U590" s="8"/>
      <c r="V590" s="4"/>
      <c r="W590" s="8"/>
      <c r="X590" s="4"/>
      <c r="Y590" s="8"/>
      <c r="Z590" s="4"/>
      <c r="AA590" s="2"/>
      <c r="AB590" s="4"/>
      <c r="AC590" s="8"/>
      <c r="AD590" s="4"/>
    </row>
    <row r="591">
      <c r="B591" s="4"/>
      <c r="C591" s="4"/>
      <c r="D591" s="4"/>
      <c r="F591" s="4"/>
      <c r="G591" s="8"/>
      <c r="H591" s="4"/>
      <c r="I591" s="4"/>
      <c r="J591" s="4"/>
      <c r="K591" s="4"/>
      <c r="L591" s="4"/>
      <c r="M591" s="8"/>
      <c r="N591" s="4"/>
      <c r="O591" s="8"/>
      <c r="P591" s="4"/>
      <c r="Q591" s="8"/>
      <c r="R591" s="4"/>
      <c r="S591" s="8"/>
      <c r="T591" s="4"/>
      <c r="U591" s="8"/>
      <c r="V591" s="4"/>
      <c r="W591" s="8"/>
      <c r="X591" s="4"/>
      <c r="Y591" s="8"/>
      <c r="Z591" s="4"/>
      <c r="AA591" s="2"/>
      <c r="AB591" s="4"/>
      <c r="AC591" s="8"/>
      <c r="AD591" s="4"/>
    </row>
    <row r="592">
      <c r="B592" s="4"/>
      <c r="C592" s="4"/>
      <c r="D592" s="4"/>
      <c r="F592" s="4"/>
      <c r="G592" s="8"/>
      <c r="H592" s="4"/>
      <c r="I592" s="4"/>
      <c r="J592" s="4"/>
      <c r="K592" s="4"/>
      <c r="L592" s="4"/>
      <c r="M592" s="8"/>
      <c r="N592" s="4"/>
      <c r="O592" s="8"/>
      <c r="P592" s="4"/>
      <c r="Q592" s="8"/>
      <c r="R592" s="4"/>
      <c r="S592" s="8"/>
      <c r="T592" s="4"/>
      <c r="U592" s="8"/>
      <c r="V592" s="4"/>
      <c r="W592" s="8"/>
      <c r="X592" s="4"/>
      <c r="Y592" s="8"/>
      <c r="Z592" s="4"/>
      <c r="AA592" s="2"/>
      <c r="AB592" s="4"/>
      <c r="AC592" s="8"/>
      <c r="AD592" s="4"/>
    </row>
    <row r="593">
      <c r="B593" s="4"/>
      <c r="C593" s="4"/>
      <c r="D593" s="4"/>
      <c r="F593" s="4"/>
      <c r="G593" s="8"/>
      <c r="H593" s="4"/>
      <c r="I593" s="4"/>
      <c r="J593" s="4"/>
      <c r="K593" s="4"/>
      <c r="L593" s="4"/>
      <c r="M593" s="8"/>
      <c r="N593" s="4"/>
      <c r="O593" s="8"/>
      <c r="P593" s="4"/>
      <c r="Q593" s="8"/>
      <c r="R593" s="4"/>
      <c r="S593" s="8"/>
      <c r="T593" s="4"/>
      <c r="U593" s="8"/>
      <c r="V593" s="4"/>
      <c r="W593" s="8"/>
      <c r="X593" s="4"/>
      <c r="Y593" s="8"/>
      <c r="Z593" s="4"/>
      <c r="AA593" s="2"/>
      <c r="AB593" s="4"/>
      <c r="AC593" s="8"/>
      <c r="AD593" s="4"/>
    </row>
    <row r="594">
      <c r="B594" s="4"/>
      <c r="C594" s="4"/>
      <c r="D594" s="4"/>
      <c r="F594" s="4"/>
      <c r="G594" s="8"/>
      <c r="H594" s="4"/>
      <c r="I594" s="4"/>
      <c r="J594" s="4"/>
      <c r="K594" s="4"/>
      <c r="L594" s="4"/>
      <c r="M594" s="8"/>
      <c r="N594" s="4"/>
      <c r="O594" s="8"/>
      <c r="P594" s="4"/>
      <c r="Q594" s="8"/>
      <c r="R594" s="4"/>
      <c r="S594" s="8"/>
      <c r="T594" s="4"/>
      <c r="U594" s="8"/>
      <c r="V594" s="4"/>
      <c r="W594" s="8"/>
      <c r="X594" s="4"/>
      <c r="Y594" s="8"/>
      <c r="Z594" s="4"/>
      <c r="AA594" s="2"/>
      <c r="AB594" s="4"/>
      <c r="AC594" s="8"/>
      <c r="AD594" s="4"/>
    </row>
    <row r="595">
      <c r="B595" s="4"/>
      <c r="C595" s="4"/>
      <c r="D595" s="4"/>
      <c r="F595" s="4"/>
      <c r="G595" s="8"/>
      <c r="H595" s="4"/>
      <c r="I595" s="4"/>
      <c r="J595" s="4"/>
      <c r="K595" s="4"/>
      <c r="L595" s="4"/>
      <c r="M595" s="8"/>
      <c r="N595" s="4"/>
      <c r="O595" s="8"/>
      <c r="P595" s="4"/>
      <c r="Q595" s="8"/>
      <c r="R595" s="4"/>
      <c r="S595" s="8"/>
      <c r="T595" s="4"/>
      <c r="U595" s="8"/>
      <c r="V595" s="4"/>
      <c r="W595" s="8"/>
      <c r="X595" s="4"/>
      <c r="Y595" s="8"/>
      <c r="Z595" s="4"/>
      <c r="AA595" s="2"/>
      <c r="AB595" s="4"/>
      <c r="AC595" s="8"/>
      <c r="AD595" s="4"/>
    </row>
    <row r="596">
      <c r="B596" s="4"/>
      <c r="C596" s="4"/>
      <c r="D596" s="4"/>
      <c r="F596" s="4"/>
      <c r="G596" s="8"/>
      <c r="H596" s="4"/>
      <c r="I596" s="4"/>
      <c r="J596" s="4"/>
      <c r="K596" s="4"/>
      <c r="L596" s="4"/>
      <c r="M596" s="8"/>
      <c r="N596" s="4"/>
      <c r="O596" s="8"/>
      <c r="P596" s="4"/>
      <c r="Q596" s="8"/>
      <c r="R596" s="4"/>
      <c r="S596" s="8"/>
      <c r="T596" s="4"/>
      <c r="U596" s="8"/>
      <c r="V596" s="4"/>
      <c r="W596" s="8"/>
      <c r="X596" s="4"/>
      <c r="Y596" s="8"/>
      <c r="Z596" s="4"/>
      <c r="AA596" s="2"/>
      <c r="AB596" s="4"/>
      <c r="AC596" s="8"/>
      <c r="AD596" s="4"/>
    </row>
    <row r="597">
      <c r="B597" s="4"/>
      <c r="C597" s="4"/>
      <c r="D597" s="4"/>
      <c r="F597" s="4"/>
      <c r="G597" s="8"/>
      <c r="H597" s="4"/>
      <c r="I597" s="4"/>
      <c r="J597" s="4"/>
      <c r="K597" s="4"/>
      <c r="L597" s="4"/>
      <c r="M597" s="8"/>
      <c r="N597" s="4"/>
      <c r="O597" s="8"/>
      <c r="P597" s="4"/>
      <c r="Q597" s="8"/>
      <c r="R597" s="4"/>
      <c r="S597" s="8"/>
      <c r="T597" s="4"/>
      <c r="U597" s="8"/>
      <c r="V597" s="4"/>
      <c r="W597" s="8"/>
      <c r="X597" s="4"/>
      <c r="Y597" s="8"/>
      <c r="Z597" s="4"/>
      <c r="AA597" s="2"/>
      <c r="AB597" s="4"/>
      <c r="AC597" s="8"/>
      <c r="AD597" s="4"/>
    </row>
    <row r="598">
      <c r="B598" s="4"/>
      <c r="C598" s="4"/>
      <c r="D598" s="4"/>
      <c r="F598" s="4"/>
      <c r="G598" s="8"/>
      <c r="H598" s="4"/>
      <c r="I598" s="4"/>
      <c r="J598" s="4"/>
      <c r="K598" s="4"/>
      <c r="L598" s="4"/>
      <c r="M598" s="8"/>
      <c r="N598" s="4"/>
      <c r="O598" s="8"/>
      <c r="P598" s="4"/>
      <c r="Q598" s="8"/>
      <c r="R598" s="4"/>
      <c r="S598" s="8"/>
      <c r="T598" s="4"/>
      <c r="U598" s="8"/>
      <c r="V598" s="4"/>
      <c r="W598" s="8"/>
      <c r="X598" s="4"/>
      <c r="Y598" s="8"/>
      <c r="Z598" s="4"/>
      <c r="AA598" s="2"/>
      <c r="AB598" s="4"/>
      <c r="AC598" s="8"/>
      <c r="AD598" s="4"/>
    </row>
    <row r="599">
      <c r="B599" s="4"/>
      <c r="C599" s="4"/>
      <c r="D599" s="4"/>
      <c r="F599" s="4"/>
      <c r="G599" s="8"/>
      <c r="H599" s="4"/>
      <c r="I599" s="4"/>
      <c r="J599" s="4"/>
      <c r="K599" s="4"/>
      <c r="L599" s="4"/>
      <c r="M599" s="8"/>
      <c r="N599" s="4"/>
      <c r="O599" s="8"/>
      <c r="P599" s="4"/>
      <c r="Q599" s="8"/>
      <c r="R599" s="4"/>
      <c r="S599" s="8"/>
      <c r="T599" s="4"/>
      <c r="U599" s="8"/>
      <c r="V599" s="4"/>
      <c r="W599" s="8"/>
      <c r="X599" s="4"/>
      <c r="Y599" s="8"/>
      <c r="Z599" s="4"/>
      <c r="AA599" s="2"/>
      <c r="AB599" s="4"/>
      <c r="AC599" s="8"/>
      <c r="AD599" s="4"/>
    </row>
    <row r="600">
      <c r="B600" s="4"/>
      <c r="C600" s="4"/>
      <c r="D600" s="4"/>
      <c r="F600" s="4"/>
      <c r="G600" s="8"/>
      <c r="H600" s="4"/>
      <c r="I600" s="4"/>
      <c r="J600" s="4"/>
      <c r="K600" s="4"/>
      <c r="L600" s="4"/>
      <c r="M600" s="8"/>
      <c r="N600" s="4"/>
      <c r="O600" s="8"/>
      <c r="P600" s="4"/>
      <c r="Q600" s="8"/>
      <c r="R600" s="4"/>
      <c r="S600" s="8"/>
      <c r="T600" s="4"/>
      <c r="U600" s="8"/>
      <c r="V600" s="4"/>
      <c r="W600" s="8"/>
      <c r="X600" s="4"/>
      <c r="Y600" s="8"/>
      <c r="Z600" s="4"/>
      <c r="AA600" s="2"/>
      <c r="AB600" s="4"/>
      <c r="AC600" s="8"/>
      <c r="AD600" s="4"/>
    </row>
    <row r="601">
      <c r="B601" s="4"/>
      <c r="C601" s="4"/>
      <c r="D601" s="4"/>
      <c r="F601" s="4"/>
      <c r="G601" s="8"/>
      <c r="H601" s="4"/>
      <c r="I601" s="4"/>
      <c r="J601" s="4"/>
      <c r="K601" s="4"/>
      <c r="L601" s="4"/>
      <c r="M601" s="8"/>
      <c r="N601" s="4"/>
      <c r="O601" s="8"/>
      <c r="P601" s="4"/>
      <c r="Q601" s="8"/>
      <c r="R601" s="4"/>
      <c r="S601" s="8"/>
      <c r="T601" s="4"/>
      <c r="U601" s="8"/>
      <c r="V601" s="4"/>
      <c r="W601" s="8"/>
      <c r="X601" s="4"/>
      <c r="Y601" s="8"/>
      <c r="Z601" s="4"/>
      <c r="AA601" s="2"/>
      <c r="AB601" s="4"/>
      <c r="AC601" s="8"/>
      <c r="AD601" s="4"/>
    </row>
    <row r="602">
      <c r="B602" s="4"/>
      <c r="C602" s="4"/>
      <c r="D602" s="4"/>
      <c r="F602" s="4"/>
      <c r="G602" s="8"/>
      <c r="H602" s="4"/>
      <c r="I602" s="4"/>
      <c r="J602" s="4"/>
      <c r="K602" s="4"/>
      <c r="L602" s="4"/>
      <c r="M602" s="8"/>
      <c r="N602" s="4"/>
      <c r="O602" s="8"/>
      <c r="P602" s="4"/>
      <c r="Q602" s="8"/>
      <c r="R602" s="4"/>
      <c r="S602" s="8"/>
      <c r="T602" s="4"/>
      <c r="U602" s="8"/>
      <c r="V602" s="4"/>
      <c r="W602" s="8"/>
      <c r="X602" s="4"/>
      <c r="Y602" s="8"/>
      <c r="Z602" s="4"/>
      <c r="AA602" s="2"/>
      <c r="AB602" s="4"/>
      <c r="AC602" s="8"/>
      <c r="AD602" s="4"/>
    </row>
    <row r="603">
      <c r="B603" s="4"/>
      <c r="C603" s="4"/>
      <c r="D603" s="4"/>
      <c r="F603" s="4"/>
      <c r="G603" s="8"/>
      <c r="H603" s="4"/>
      <c r="I603" s="4"/>
      <c r="J603" s="4"/>
      <c r="K603" s="4"/>
      <c r="L603" s="4"/>
      <c r="M603" s="8"/>
      <c r="N603" s="4"/>
      <c r="O603" s="8"/>
      <c r="P603" s="4"/>
      <c r="Q603" s="8"/>
      <c r="R603" s="4"/>
      <c r="S603" s="8"/>
      <c r="T603" s="4"/>
      <c r="U603" s="8"/>
      <c r="V603" s="4"/>
      <c r="W603" s="8"/>
      <c r="X603" s="4"/>
      <c r="Y603" s="8"/>
      <c r="Z603" s="4"/>
      <c r="AA603" s="2"/>
      <c r="AB603" s="4"/>
      <c r="AC603" s="8"/>
      <c r="AD603" s="4"/>
    </row>
    <row r="604">
      <c r="B604" s="4"/>
      <c r="C604" s="4"/>
      <c r="D604" s="4"/>
      <c r="F604" s="4"/>
      <c r="G604" s="8"/>
      <c r="H604" s="4"/>
      <c r="I604" s="4"/>
      <c r="J604" s="4"/>
      <c r="K604" s="4"/>
      <c r="L604" s="4"/>
      <c r="M604" s="8"/>
      <c r="N604" s="4"/>
      <c r="O604" s="8"/>
      <c r="P604" s="4"/>
      <c r="Q604" s="8"/>
      <c r="R604" s="4"/>
      <c r="S604" s="8"/>
      <c r="T604" s="4"/>
      <c r="U604" s="8"/>
      <c r="V604" s="4"/>
      <c r="W604" s="8"/>
      <c r="X604" s="4"/>
      <c r="Y604" s="8"/>
      <c r="Z604" s="4"/>
      <c r="AA604" s="2"/>
      <c r="AB604" s="4"/>
      <c r="AC604" s="8"/>
      <c r="AD604" s="4"/>
    </row>
    <row r="605">
      <c r="B605" s="4"/>
      <c r="C605" s="4"/>
      <c r="D605" s="4"/>
      <c r="F605" s="4"/>
      <c r="G605" s="8"/>
      <c r="H605" s="4"/>
      <c r="I605" s="4"/>
      <c r="J605" s="4"/>
      <c r="K605" s="4"/>
      <c r="L605" s="4"/>
      <c r="M605" s="8"/>
      <c r="N605" s="4"/>
      <c r="O605" s="8"/>
      <c r="P605" s="4"/>
      <c r="Q605" s="8"/>
      <c r="R605" s="4"/>
      <c r="S605" s="8"/>
      <c r="T605" s="4"/>
      <c r="U605" s="8"/>
      <c r="V605" s="4"/>
      <c r="W605" s="8"/>
      <c r="X605" s="4"/>
      <c r="Y605" s="8"/>
      <c r="Z605" s="4"/>
      <c r="AA605" s="2"/>
      <c r="AB605" s="4"/>
      <c r="AC605" s="8"/>
      <c r="AD605" s="4"/>
    </row>
    <row r="606">
      <c r="B606" s="4"/>
      <c r="C606" s="4"/>
      <c r="D606" s="4"/>
      <c r="F606" s="4"/>
      <c r="G606" s="8"/>
      <c r="H606" s="4"/>
      <c r="I606" s="4"/>
      <c r="J606" s="4"/>
      <c r="K606" s="4"/>
      <c r="L606" s="4"/>
      <c r="M606" s="8"/>
      <c r="N606" s="4"/>
      <c r="O606" s="8"/>
      <c r="P606" s="4"/>
      <c r="Q606" s="8"/>
      <c r="R606" s="4"/>
      <c r="S606" s="8"/>
      <c r="T606" s="4"/>
      <c r="U606" s="8"/>
      <c r="V606" s="4"/>
      <c r="W606" s="8"/>
      <c r="X606" s="4"/>
      <c r="Y606" s="8"/>
      <c r="Z606" s="4"/>
      <c r="AA606" s="2"/>
      <c r="AB606" s="4"/>
      <c r="AC606" s="8"/>
      <c r="AD606" s="4"/>
    </row>
    <row r="607">
      <c r="B607" s="4"/>
      <c r="C607" s="4"/>
      <c r="D607" s="4"/>
      <c r="F607" s="4"/>
      <c r="G607" s="8"/>
      <c r="H607" s="4"/>
      <c r="I607" s="4"/>
      <c r="J607" s="4"/>
      <c r="K607" s="4"/>
      <c r="L607" s="4"/>
      <c r="M607" s="8"/>
      <c r="N607" s="4"/>
      <c r="O607" s="8"/>
      <c r="P607" s="4"/>
      <c r="Q607" s="8"/>
      <c r="R607" s="4"/>
      <c r="S607" s="8"/>
      <c r="T607" s="4"/>
      <c r="U607" s="8"/>
      <c r="V607" s="4"/>
      <c r="W607" s="8"/>
      <c r="X607" s="4"/>
      <c r="Y607" s="8"/>
      <c r="Z607" s="4"/>
      <c r="AA607" s="2"/>
      <c r="AB607" s="4"/>
      <c r="AC607" s="8"/>
      <c r="AD607" s="4"/>
    </row>
    <row r="608">
      <c r="B608" s="4"/>
      <c r="C608" s="4"/>
      <c r="D608" s="4"/>
      <c r="F608" s="4"/>
      <c r="G608" s="8"/>
      <c r="H608" s="4"/>
      <c r="I608" s="4"/>
      <c r="J608" s="4"/>
      <c r="K608" s="4"/>
      <c r="L608" s="4"/>
      <c r="M608" s="8"/>
      <c r="N608" s="4"/>
      <c r="O608" s="8"/>
      <c r="P608" s="4"/>
      <c r="Q608" s="8"/>
      <c r="R608" s="4"/>
      <c r="S608" s="8"/>
      <c r="T608" s="4"/>
      <c r="U608" s="8"/>
      <c r="V608" s="4"/>
      <c r="W608" s="8"/>
      <c r="X608" s="4"/>
      <c r="Y608" s="8"/>
      <c r="Z608" s="4"/>
      <c r="AA608" s="2"/>
      <c r="AB608" s="4"/>
      <c r="AC608" s="8"/>
      <c r="AD608" s="4"/>
    </row>
    <row r="609">
      <c r="B609" s="4"/>
      <c r="C609" s="4"/>
      <c r="D609" s="4"/>
      <c r="F609" s="4"/>
      <c r="G609" s="8"/>
      <c r="H609" s="4"/>
      <c r="I609" s="4"/>
      <c r="J609" s="4"/>
      <c r="K609" s="4"/>
      <c r="L609" s="4"/>
      <c r="M609" s="8"/>
      <c r="N609" s="4"/>
      <c r="O609" s="8"/>
      <c r="P609" s="4"/>
      <c r="Q609" s="8"/>
      <c r="R609" s="4"/>
      <c r="S609" s="8"/>
      <c r="T609" s="4"/>
      <c r="U609" s="8"/>
      <c r="V609" s="4"/>
      <c r="W609" s="8"/>
      <c r="X609" s="4"/>
      <c r="Y609" s="8"/>
      <c r="Z609" s="4"/>
      <c r="AA609" s="2"/>
      <c r="AB609" s="4"/>
      <c r="AC609" s="8"/>
      <c r="AD609" s="4"/>
    </row>
    <row r="610">
      <c r="B610" s="4"/>
      <c r="C610" s="4"/>
      <c r="D610" s="4"/>
      <c r="F610" s="4"/>
      <c r="G610" s="8"/>
      <c r="H610" s="4"/>
      <c r="I610" s="4"/>
      <c r="J610" s="4"/>
      <c r="K610" s="4"/>
      <c r="L610" s="4"/>
      <c r="M610" s="8"/>
      <c r="N610" s="4"/>
      <c r="O610" s="8"/>
      <c r="P610" s="4"/>
      <c r="Q610" s="8"/>
      <c r="R610" s="4"/>
      <c r="S610" s="8"/>
      <c r="T610" s="4"/>
      <c r="U610" s="8"/>
      <c r="V610" s="4"/>
      <c r="W610" s="8"/>
      <c r="X610" s="4"/>
      <c r="Y610" s="8"/>
      <c r="Z610" s="4"/>
      <c r="AA610" s="2"/>
      <c r="AB610" s="4"/>
      <c r="AC610" s="8"/>
      <c r="AD610" s="4"/>
    </row>
    <row r="611">
      <c r="B611" s="4"/>
      <c r="C611" s="4"/>
      <c r="D611" s="4"/>
      <c r="F611" s="4"/>
      <c r="G611" s="8"/>
      <c r="H611" s="4"/>
      <c r="I611" s="4"/>
      <c r="J611" s="4"/>
      <c r="K611" s="4"/>
      <c r="L611" s="4"/>
      <c r="M611" s="8"/>
      <c r="N611" s="4"/>
      <c r="O611" s="8"/>
      <c r="P611" s="4"/>
      <c r="Q611" s="8"/>
      <c r="R611" s="4"/>
      <c r="S611" s="8"/>
      <c r="T611" s="4"/>
      <c r="U611" s="8"/>
      <c r="V611" s="4"/>
      <c r="W611" s="8"/>
      <c r="X611" s="4"/>
      <c r="Y611" s="8"/>
      <c r="Z611" s="4"/>
      <c r="AA611" s="2"/>
      <c r="AB611" s="4"/>
      <c r="AC611" s="8"/>
      <c r="AD611" s="4"/>
    </row>
    <row r="612">
      <c r="B612" s="4"/>
      <c r="C612" s="4"/>
      <c r="D612" s="4"/>
      <c r="F612" s="4"/>
      <c r="G612" s="8"/>
      <c r="H612" s="4"/>
      <c r="I612" s="4"/>
      <c r="J612" s="4"/>
      <c r="K612" s="4"/>
      <c r="L612" s="4"/>
      <c r="M612" s="8"/>
      <c r="N612" s="4"/>
      <c r="O612" s="8"/>
      <c r="P612" s="4"/>
      <c r="Q612" s="8"/>
      <c r="R612" s="4"/>
      <c r="S612" s="8"/>
      <c r="T612" s="4"/>
      <c r="U612" s="8"/>
      <c r="V612" s="4"/>
      <c r="W612" s="8"/>
      <c r="X612" s="4"/>
      <c r="Y612" s="8"/>
      <c r="Z612" s="4"/>
      <c r="AA612" s="2"/>
      <c r="AB612" s="4"/>
      <c r="AC612" s="8"/>
      <c r="AD612" s="4"/>
    </row>
    <row r="613">
      <c r="B613" s="4"/>
      <c r="C613" s="4"/>
      <c r="D613" s="4"/>
      <c r="F613" s="4"/>
      <c r="G613" s="8"/>
      <c r="H613" s="4"/>
      <c r="I613" s="4"/>
      <c r="J613" s="4"/>
      <c r="K613" s="4"/>
      <c r="L613" s="4"/>
      <c r="M613" s="8"/>
      <c r="N613" s="4"/>
      <c r="O613" s="8"/>
      <c r="P613" s="4"/>
      <c r="Q613" s="8"/>
      <c r="R613" s="4"/>
      <c r="S613" s="8"/>
      <c r="T613" s="4"/>
      <c r="U613" s="8"/>
      <c r="V613" s="4"/>
      <c r="W613" s="8"/>
      <c r="X613" s="4"/>
      <c r="Y613" s="8"/>
      <c r="Z613" s="4"/>
      <c r="AA613" s="2"/>
      <c r="AB613" s="4"/>
      <c r="AC613" s="8"/>
      <c r="AD613" s="4"/>
    </row>
    <row r="614">
      <c r="B614" s="4"/>
      <c r="C614" s="4"/>
      <c r="D614" s="4"/>
      <c r="F614" s="4"/>
      <c r="G614" s="8"/>
      <c r="H614" s="4"/>
      <c r="I614" s="4"/>
      <c r="J614" s="4"/>
      <c r="K614" s="4"/>
      <c r="L614" s="4"/>
      <c r="M614" s="8"/>
      <c r="N614" s="4"/>
      <c r="O614" s="8"/>
      <c r="P614" s="4"/>
      <c r="Q614" s="8"/>
      <c r="R614" s="4"/>
      <c r="S614" s="8"/>
      <c r="T614" s="4"/>
      <c r="U614" s="8"/>
      <c r="V614" s="4"/>
      <c r="W614" s="8"/>
      <c r="X614" s="4"/>
      <c r="Y614" s="8"/>
      <c r="Z614" s="4"/>
      <c r="AA614" s="2"/>
      <c r="AB614" s="4"/>
      <c r="AC614" s="8"/>
      <c r="AD614" s="4"/>
    </row>
    <row r="615">
      <c r="B615" s="4"/>
      <c r="C615" s="4"/>
      <c r="D615" s="4"/>
      <c r="F615" s="4"/>
      <c r="G615" s="8"/>
      <c r="H615" s="4"/>
      <c r="I615" s="4"/>
      <c r="J615" s="4"/>
      <c r="K615" s="4"/>
      <c r="L615" s="4"/>
      <c r="M615" s="8"/>
      <c r="N615" s="4"/>
      <c r="O615" s="8"/>
      <c r="P615" s="4"/>
      <c r="Q615" s="8"/>
      <c r="R615" s="4"/>
      <c r="S615" s="8"/>
      <c r="T615" s="4"/>
      <c r="U615" s="8"/>
      <c r="V615" s="4"/>
      <c r="W615" s="8"/>
      <c r="X615" s="4"/>
      <c r="Y615" s="8"/>
      <c r="Z615" s="4"/>
      <c r="AA615" s="2"/>
      <c r="AB615" s="4"/>
      <c r="AC615" s="8"/>
      <c r="AD615" s="4"/>
    </row>
    <row r="616">
      <c r="B616" s="4"/>
      <c r="C616" s="4"/>
      <c r="D616" s="4"/>
      <c r="F616" s="4"/>
      <c r="G616" s="8"/>
      <c r="H616" s="4"/>
      <c r="I616" s="4"/>
      <c r="J616" s="4"/>
      <c r="K616" s="4"/>
      <c r="L616" s="4"/>
      <c r="M616" s="8"/>
      <c r="N616" s="4"/>
      <c r="O616" s="8"/>
      <c r="P616" s="4"/>
      <c r="Q616" s="8"/>
      <c r="R616" s="4"/>
      <c r="S616" s="8"/>
      <c r="T616" s="4"/>
      <c r="U616" s="8"/>
      <c r="V616" s="4"/>
      <c r="W616" s="8"/>
      <c r="X616" s="4"/>
      <c r="Y616" s="8"/>
      <c r="Z616" s="4"/>
      <c r="AA616" s="2"/>
      <c r="AB616" s="4"/>
      <c r="AC616" s="8"/>
      <c r="AD616" s="4"/>
    </row>
    <row r="617">
      <c r="B617" s="4"/>
      <c r="C617" s="4"/>
      <c r="D617" s="4"/>
      <c r="F617" s="4"/>
      <c r="G617" s="8"/>
      <c r="H617" s="4"/>
      <c r="I617" s="4"/>
      <c r="J617" s="4"/>
      <c r="K617" s="4"/>
      <c r="L617" s="4"/>
      <c r="M617" s="8"/>
      <c r="N617" s="4"/>
      <c r="O617" s="8"/>
      <c r="P617" s="4"/>
      <c r="Q617" s="8"/>
      <c r="R617" s="4"/>
      <c r="S617" s="8"/>
      <c r="T617" s="4"/>
      <c r="U617" s="8"/>
      <c r="V617" s="4"/>
      <c r="W617" s="8"/>
      <c r="X617" s="4"/>
      <c r="Y617" s="8"/>
      <c r="Z617" s="4"/>
      <c r="AA617" s="2"/>
      <c r="AB617" s="4"/>
      <c r="AC617" s="8"/>
      <c r="AD617" s="4"/>
    </row>
    <row r="618">
      <c r="B618" s="4"/>
      <c r="C618" s="4"/>
      <c r="D618" s="4"/>
      <c r="F618" s="4"/>
      <c r="G618" s="8"/>
      <c r="H618" s="4"/>
      <c r="I618" s="4"/>
      <c r="J618" s="4"/>
      <c r="K618" s="4"/>
      <c r="L618" s="4"/>
      <c r="M618" s="8"/>
      <c r="N618" s="4"/>
      <c r="O618" s="8"/>
      <c r="P618" s="4"/>
      <c r="Q618" s="8"/>
      <c r="R618" s="4"/>
      <c r="S618" s="8"/>
      <c r="T618" s="4"/>
      <c r="U618" s="8"/>
      <c r="V618" s="4"/>
      <c r="W618" s="8"/>
      <c r="X618" s="4"/>
      <c r="Y618" s="8"/>
      <c r="Z618" s="4"/>
      <c r="AA618" s="2"/>
      <c r="AB618" s="4"/>
      <c r="AC618" s="8"/>
      <c r="AD618" s="4"/>
    </row>
    <row r="619">
      <c r="B619" s="4"/>
      <c r="C619" s="4"/>
      <c r="D619" s="4"/>
      <c r="F619" s="4"/>
      <c r="G619" s="8"/>
      <c r="H619" s="4"/>
      <c r="I619" s="4"/>
      <c r="J619" s="4"/>
      <c r="K619" s="4"/>
      <c r="L619" s="4"/>
      <c r="M619" s="8"/>
      <c r="N619" s="4"/>
      <c r="O619" s="8"/>
      <c r="P619" s="4"/>
      <c r="Q619" s="8"/>
      <c r="R619" s="4"/>
      <c r="S619" s="8"/>
      <c r="T619" s="4"/>
      <c r="U619" s="8"/>
      <c r="V619" s="4"/>
      <c r="W619" s="8"/>
      <c r="X619" s="4"/>
      <c r="Y619" s="8"/>
      <c r="Z619" s="4"/>
      <c r="AA619" s="2"/>
      <c r="AB619" s="4"/>
      <c r="AC619" s="8"/>
      <c r="AD619" s="4"/>
    </row>
    <row r="620">
      <c r="B620" s="4"/>
      <c r="C620" s="4"/>
      <c r="D620" s="4"/>
      <c r="F620" s="4"/>
      <c r="G620" s="8"/>
      <c r="H620" s="4"/>
      <c r="I620" s="4"/>
      <c r="J620" s="4"/>
      <c r="K620" s="4"/>
      <c r="L620" s="4"/>
      <c r="M620" s="8"/>
      <c r="N620" s="4"/>
      <c r="O620" s="8"/>
      <c r="P620" s="4"/>
      <c r="Q620" s="8"/>
      <c r="R620" s="4"/>
      <c r="S620" s="8"/>
      <c r="T620" s="4"/>
      <c r="U620" s="8"/>
      <c r="V620" s="4"/>
      <c r="W620" s="8"/>
      <c r="X620" s="4"/>
      <c r="Y620" s="8"/>
      <c r="Z620" s="4"/>
      <c r="AA620" s="2"/>
      <c r="AB620" s="4"/>
      <c r="AC620" s="8"/>
      <c r="AD620" s="4"/>
    </row>
    <row r="621">
      <c r="B621" s="4"/>
      <c r="C621" s="4"/>
      <c r="D621" s="4"/>
      <c r="F621" s="4"/>
      <c r="G621" s="8"/>
      <c r="H621" s="4"/>
      <c r="I621" s="4"/>
      <c r="J621" s="4"/>
      <c r="K621" s="4"/>
      <c r="L621" s="4"/>
      <c r="M621" s="8"/>
      <c r="N621" s="4"/>
      <c r="O621" s="8"/>
      <c r="P621" s="4"/>
      <c r="Q621" s="8"/>
      <c r="R621" s="4"/>
      <c r="S621" s="8"/>
      <c r="T621" s="4"/>
      <c r="U621" s="8"/>
      <c r="V621" s="4"/>
      <c r="W621" s="8"/>
      <c r="X621" s="4"/>
      <c r="Y621" s="8"/>
      <c r="Z621" s="4"/>
      <c r="AA621" s="2"/>
      <c r="AB621" s="4"/>
      <c r="AC621" s="8"/>
      <c r="AD621" s="4"/>
    </row>
    <row r="622">
      <c r="B622" s="4"/>
      <c r="C622" s="4"/>
      <c r="D622" s="4"/>
      <c r="F622" s="4"/>
      <c r="G622" s="8"/>
      <c r="H622" s="4"/>
      <c r="I622" s="4"/>
      <c r="J622" s="4"/>
      <c r="K622" s="4"/>
      <c r="L622" s="4"/>
      <c r="M622" s="8"/>
      <c r="N622" s="4"/>
      <c r="O622" s="8"/>
      <c r="P622" s="4"/>
      <c r="Q622" s="8"/>
      <c r="R622" s="4"/>
      <c r="S622" s="8"/>
      <c r="T622" s="4"/>
      <c r="U622" s="8"/>
      <c r="V622" s="4"/>
      <c r="W622" s="8"/>
      <c r="X622" s="4"/>
      <c r="Y622" s="8"/>
      <c r="Z622" s="4"/>
      <c r="AA622" s="2"/>
      <c r="AB622" s="4"/>
      <c r="AC622" s="8"/>
      <c r="AD622" s="4"/>
    </row>
    <row r="623">
      <c r="B623" s="4"/>
      <c r="C623" s="4"/>
      <c r="D623" s="4"/>
      <c r="F623" s="4"/>
      <c r="G623" s="8"/>
      <c r="H623" s="4"/>
      <c r="I623" s="4"/>
      <c r="J623" s="4"/>
      <c r="K623" s="4"/>
      <c r="L623" s="4"/>
      <c r="M623" s="8"/>
      <c r="N623" s="4"/>
      <c r="O623" s="8"/>
      <c r="P623" s="4"/>
      <c r="Q623" s="8"/>
      <c r="R623" s="4"/>
      <c r="S623" s="8"/>
      <c r="T623" s="4"/>
      <c r="U623" s="8"/>
      <c r="V623" s="4"/>
      <c r="W623" s="8"/>
      <c r="X623" s="4"/>
      <c r="Y623" s="8"/>
      <c r="Z623" s="4"/>
      <c r="AA623" s="2"/>
      <c r="AB623" s="4"/>
      <c r="AC623" s="8"/>
      <c r="AD623" s="4"/>
    </row>
    <row r="624">
      <c r="B624" s="4"/>
      <c r="C624" s="4"/>
      <c r="D624" s="4"/>
      <c r="F624" s="4"/>
      <c r="G624" s="8"/>
      <c r="H624" s="4"/>
      <c r="I624" s="4"/>
      <c r="J624" s="4"/>
      <c r="K624" s="4"/>
      <c r="L624" s="4"/>
      <c r="M624" s="8"/>
      <c r="N624" s="4"/>
      <c r="O624" s="8"/>
      <c r="P624" s="4"/>
      <c r="Q624" s="8"/>
      <c r="R624" s="4"/>
      <c r="S624" s="8"/>
      <c r="T624" s="4"/>
      <c r="U624" s="8"/>
      <c r="V624" s="4"/>
      <c r="W624" s="8"/>
      <c r="X624" s="4"/>
      <c r="Y624" s="8"/>
      <c r="Z624" s="4"/>
      <c r="AA624" s="2"/>
      <c r="AB624" s="4"/>
      <c r="AC624" s="8"/>
      <c r="AD624" s="4"/>
    </row>
    <row r="625">
      <c r="B625" s="4"/>
      <c r="C625" s="4"/>
      <c r="D625" s="4"/>
      <c r="F625" s="4"/>
      <c r="G625" s="8"/>
      <c r="H625" s="4"/>
      <c r="I625" s="4"/>
      <c r="J625" s="4"/>
      <c r="K625" s="4"/>
      <c r="L625" s="4"/>
      <c r="M625" s="8"/>
      <c r="N625" s="4"/>
      <c r="O625" s="8"/>
      <c r="P625" s="4"/>
      <c r="Q625" s="8"/>
      <c r="R625" s="4"/>
      <c r="S625" s="8"/>
      <c r="T625" s="4"/>
      <c r="U625" s="8"/>
      <c r="V625" s="4"/>
      <c r="W625" s="8"/>
      <c r="X625" s="4"/>
      <c r="Y625" s="8"/>
      <c r="Z625" s="4"/>
      <c r="AA625" s="2"/>
      <c r="AB625" s="4"/>
      <c r="AC625" s="8"/>
      <c r="AD625" s="4"/>
    </row>
    <row r="626">
      <c r="B626" s="4"/>
      <c r="C626" s="4"/>
      <c r="D626" s="4"/>
      <c r="F626" s="4"/>
      <c r="G626" s="8"/>
      <c r="H626" s="4"/>
      <c r="I626" s="4"/>
      <c r="J626" s="4"/>
      <c r="K626" s="4"/>
      <c r="L626" s="4"/>
      <c r="M626" s="8"/>
      <c r="N626" s="4"/>
      <c r="O626" s="8"/>
      <c r="P626" s="4"/>
      <c r="Q626" s="8"/>
      <c r="R626" s="4"/>
      <c r="S626" s="8"/>
      <c r="T626" s="4"/>
      <c r="U626" s="8"/>
      <c r="V626" s="4"/>
      <c r="W626" s="8"/>
      <c r="X626" s="4"/>
      <c r="Y626" s="8"/>
      <c r="Z626" s="4"/>
      <c r="AA626" s="2"/>
      <c r="AB626" s="4"/>
      <c r="AC626" s="8"/>
      <c r="AD626" s="4"/>
    </row>
    <row r="627">
      <c r="B627" s="4"/>
      <c r="C627" s="4"/>
      <c r="D627" s="4"/>
      <c r="F627" s="4"/>
      <c r="G627" s="8"/>
      <c r="H627" s="4"/>
      <c r="I627" s="4"/>
      <c r="J627" s="4"/>
      <c r="K627" s="4"/>
      <c r="L627" s="4"/>
      <c r="M627" s="8"/>
      <c r="N627" s="4"/>
      <c r="O627" s="8"/>
      <c r="P627" s="4"/>
      <c r="Q627" s="8"/>
      <c r="R627" s="4"/>
      <c r="S627" s="8"/>
      <c r="T627" s="4"/>
      <c r="U627" s="8"/>
      <c r="V627" s="4"/>
      <c r="W627" s="8"/>
      <c r="X627" s="4"/>
      <c r="Y627" s="8"/>
      <c r="Z627" s="4"/>
      <c r="AA627" s="2"/>
      <c r="AB627" s="4"/>
      <c r="AC627" s="8"/>
      <c r="AD627" s="4"/>
    </row>
    <row r="628">
      <c r="B628" s="4"/>
      <c r="C628" s="4"/>
      <c r="D628" s="4"/>
      <c r="F628" s="4"/>
      <c r="G628" s="8"/>
      <c r="H628" s="4"/>
      <c r="I628" s="4"/>
      <c r="J628" s="4"/>
      <c r="K628" s="4"/>
      <c r="L628" s="4"/>
      <c r="M628" s="8"/>
      <c r="N628" s="4"/>
      <c r="O628" s="8"/>
      <c r="P628" s="4"/>
      <c r="Q628" s="8"/>
      <c r="R628" s="4"/>
      <c r="S628" s="8"/>
      <c r="T628" s="4"/>
      <c r="U628" s="8"/>
      <c r="V628" s="4"/>
      <c r="W628" s="8"/>
      <c r="X628" s="4"/>
      <c r="Y628" s="8"/>
      <c r="Z628" s="4"/>
      <c r="AA628" s="2"/>
      <c r="AB628" s="4"/>
      <c r="AC628" s="8"/>
      <c r="AD628" s="4"/>
    </row>
    <row r="629">
      <c r="B629" s="4"/>
      <c r="C629" s="4"/>
      <c r="D629" s="4"/>
      <c r="F629" s="4"/>
      <c r="G629" s="8"/>
      <c r="H629" s="4"/>
      <c r="I629" s="4"/>
      <c r="J629" s="4"/>
      <c r="K629" s="4"/>
      <c r="L629" s="4"/>
      <c r="M629" s="8"/>
      <c r="N629" s="4"/>
      <c r="O629" s="8"/>
      <c r="P629" s="4"/>
      <c r="Q629" s="8"/>
      <c r="R629" s="4"/>
      <c r="S629" s="8"/>
      <c r="T629" s="4"/>
      <c r="U629" s="8"/>
      <c r="V629" s="4"/>
      <c r="W629" s="8"/>
      <c r="X629" s="4"/>
      <c r="Y629" s="8"/>
      <c r="Z629" s="4"/>
      <c r="AA629" s="2"/>
      <c r="AB629" s="4"/>
      <c r="AC629" s="8"/>
      <c r="AD629" s="4"/>
    </row>
    <row r="630">
      <c r="B630" s="4"/>
      <c r="C630" s="4"/>
      <c r="D630" s="4"/>
      <c r="F630" s="4"/>
      <c r="G630" s="8"/>
      <c r="H630" s="4"/>
      <c r="I630" s="4"/>
      <c r="J630" s="4"/>
      <c r="K630" s="4"/>
      <c r="L630" s="4"/>
      <c r="M630" s="8"/>
      <c r="N630" s="4"/>
      <c r="O630" s="8"/>
      <c r="P630" s="4"/>
      <c r="Q630" s="8"/>
      <c r="R630" s="4"/>
      <c r="S630" s="8"/>
      <c r="T630" s="4"/>
      <c r="U630" s="8"/>
      <c r="V630" s="4"/>
      <c r="W630" s="8"/>
      <c r="X630" s="4"/>
      <c r="Y630" s="8"/>
      <c r="Z630" s="4"/>
      <c r="AA630" s="2"/>
      <c r="AB630" s="4"/>
      <c r="AC630" s="8"/>
      <c r="AD630" s="4"/>
    </row>
    <row r="631">
      <c r="B631" s="4"/>
      <c r="C631" s="4"/>
      <c r="D631" s="4"/>
      <c r="F631" s="4"/>
      <c r="G631" s="8"/>
      <c r="H631" s="4"/>
      <c r="I631" s="4"/>
      <c r="J631" s="4"/>
      <c r="K631" s="4"/>
      <c r="L631" s="4"/>
      <c r="M631" s="8"/>
      <c r="N631" s="4"/>
      <c r="O631" s="8"/>
      <c r="P631" s="4"/>
      <c r="Q631" s="8"/>
      <c r="R631" s="4"/>
      <c r="S631" s="8"/>
      <c r="T631" s="4"/>
      <c r="U631" s="8"/>
      <c r="V631" s="4"/>
      <c r="W631" s="8"/>
      <c r="X631" s="4"/>
      <c r="Y631" s="8"/>
      <c r="Z631" s="4"/>
      <c r="AA631" s="2"/>
      <c r="AB631" s="4"/>
      <c r="AC631" s="8"/>
      <c r="AD631" s="4"/>
    </row>
    <row r="632">
      <c r="B632" s="4"/>
      <c r="C632" s="4"/>
      <c r="D632" s="4"/>
      <c r="F632" s="4"/>
      <c r="G632" s="8"/>
      <c r="H632" s="4"/>
      <c r="I632" s="4"/>
      <c r="J632" s="4"/>
      <c r="K632" s="4"/>
      <c r="L632" s="4"/>
      <c r="M632" s="8"/>
      <c r="N632" s="4"/>
      <c r="O632" s="8"/>
      <c r="P632" s="4"/>
      <c r="Q632" s="8"/>
      <c r="R632" s="4"/>
      <c r="S632" s="8"/>
      <c r="T632" s="4"/>
      <c r="U632" s="8"/>
      <c r="V632" s="4"/>
      <c r="W632" s="8"/>
      <c r="X632" s="4"/>
      <c r="Y632" s="8"/>
      <c r="Z632" s="4"/>
      <c r="AA632" s="2"/>
      <c r="AB632" s="4"/>
      <c r="AC632" s="8"/>
      <c r="AD632" s="4"/>
    </row>
    <row r="633">
      <c r="B633" s="4"/>
      <c r="C633" s="4"/>
      <c r="D633" s="4"/>
      <c r="F633" s="4"/>
      <c r="G633" s="8"/>
      <c r="H633" s="4"/>
      <c r="I633" s="4"/>
      <c r="J633" s="4"/>
      <c r="K633" s="4"/>
      <c r="L633" s="4"/>
      <c r="M633" s="8"/>
      <c r="N633" s="4"/>
      <c r="O633" s="8"/>
      <c r="P633" s="4"/>
      <c r="Q633" s="8"/>
      <c r="R633" s="4"/>
      <c r="S633" s="8"/>
      <c r="T633" s="4"/>
      <c r="U633" s="8"/>
      <c r="V633" s="4"/>
      <c r="W633" s="8"/>
      <c r="X633" s="4"/>
      <c r="Y633" s="8"/>
      <c r="Z633" s="4"/>
      <c r="AA633" s="2"/>
      <c r="AB633" s="4"/>
      <c r="AC633" s="8"/>
      <c r="AD633" s="4"/>
    </row>
    <row r="634">
      <c r="B634" s="4"/>
      <c r="C634" s="4"/>
      <c r="D634" s="4"/>
      <c r="F634" s="4"/>
      <c r="G634" s="8"/>
      <c r="H634" s="4"/>
      <c r="I634" s="4"/>
      <c r="J634" s="4"/>
      <c r="K634" s="4"/>
      <c r="L634" s="4"/>
      <c r="M634" s="8"/>
      <c r="N634" s="4"/>
      <c r="O634" s="8"/>
      <c r="P634" s="4"/>
      <c r="Q634" s="8"/>
      <c r="R634" s="4"/>
      <c r="S634" s="8"/>
      <c r="T634" s="4"/>
      <c r="U634" s="8"/>
      <c r="V634" s="4"/>
      <c r="W634" s="8"/>
      <c r="X634" s="4"/>
      <c r="Y634" s="8"/>
      <c r="Z634" s="4"/>
      <c r="AA634" s="2"/>
      <c r="AB634" s="4"/>
      <c r="AC634" s="8"/>
      <c r="AD634" s="4"/>
    </row>
    <row r="635">
      <c r="B635" s="4"/>
      <c r="C635" s="4"/>
      <c r="D635" s="4"/>
      <c r="F635" s="4"/>
      <c r="G635" s="8"/>
      <c r="H635" s="4"/>
      <c r="I635" s="4"/>
      <c r="J635" s="4"/>
      <c r="K635" s="4"/>
      <c r="L635" s="4"/>
      <c r="M635" s="8"/>
      <c r="N635" s="4"/>
      <c r="O635" s="8"/>
      <c r="P635" s="4"/>
      <c r="Q635" s="8"/>
      <c r="R635" s="4"/>
      <c r="S635" s="8"/>
      <c r="T635" s="4"/>
      <c r="U635" s="8"/>
      <c r="V635" s="4"/>
      <c r="W635" s="8"/>
      <c r="X635" s="4"/>
      <c r="Y635" s="8"/>
      <c r="Z635" s="4"/>
      <c r="AA635" s="2"/>
      <c r="AB635" s="4"/>
      <c r="AC635" s="8"/>
      <c r="AD635" s="4"/>
    </row>
    <row r="636">
      <c r="B636" s="4"/>
      <c r="C636" s="4"/>
      <c r="D636" s="4"/>
      <c r="F636" s="4"/>
      <c r="G636" s="8"/>
      <c r="H636" s="4"/>
      <c r="I636" s="4"/>
      <c r="J636" s="4"/>
      <c r="K636" s="4"/>
      <c r="L636" s="4"/>
      <c r="M636" s="8"/>
      <c r="N636" s="4"/>
      <c r="O636" s="8"/>
      <c r="P636" s="4"/>
      <c r="Q636" s="8"/>
      <c r="R636" s="4"/>
      <c r="S636" s="8"/>
      <c r="T636" s="4"/>
      <c r="U636" s="8"/>
      <c r="V636" s="4"/>
      <c r="W636" s="8"/>
      <c r="X636" s="4"/>
      <c r="Y636" s="8"/>
      <c r="Z636" s="4"/>
      <c r="AA636" s="2"/>
      <c r="AB636" s="4"/>
      <c r="AC636" s="8"/>
      <c r="AD636" s="4"/>
    </row>
    <row r="637">
      <c r="B637" s="4"/>
      <c r="C637" s="4"/>
      <c r="D637" s="4"/>
      <c r="F637" s="4"/>
      <c r="G637" s="8"/>
      <c r="H637" s="4"/>
      <c r="I637" s="4"/>
      <c r="J637" s="4"/>
      <c r="K637" s="4"/>
      <c r="L637" s="4"/>
      <c r="M637" s="8"/>
      <c r="N637" s="4"/>
      <c r="O637" s="8"/>
      <c r="P637" s="4"/>
      <c r="Q637" s="8"/>
      <c r="R637" s="4"/>
      <c r="S637" s="8"/>
      <c r="T637" s="4"/>
      <c r="U637" s="8"/>
      <c r="V637" s="4"/>
      <c r="W637" s="8"/>
      <c r="X637" s="4"/>
      <c r="Y637" s="8"/>
      <c r="Z637" s="4"/>
      <c r="AA637" s="2"/>
      <c r="AB637" s="4"/>
      <c r="AC637" s="8"/>
      <c r="AD637" s="4"/>
    </row>
    <row r="638">
      <c r="B638" s="4"/>
      <c r="C638" s="4"/>
      <c r="D638" s="4"/>
      <c r="F638" s="4"/>
      <c r="G638" s="8"/>
      <c r="H638" s="4"/>
      <c r="I638" s="4"/>
      <c r="J638" s="4"/>
      <c r="K638" s="4"/>
      <c r="L638" s="4"/>
      <c r="M638" s="8"/>
      <c r="N638" s="4"/>
      <c r="O638" s="8"/>
      <c r="P638" s="4"/>
      <c r="Q638" s="8"/>
      <c r="R638" s="4"/>
      <c r="S638" s="8"/>
      <c r="T638" s="4"/>
      <c r="U638" s="8"/>
      <c r="V638" s="4"/>
      <c r="W638" s="8"/>
      <c r="X638" s="4"/>
      <c r="Y638" s="8"/>
      <c r="Z638" s="4"/>
      <c r="AA638" s="2"/>
      <c r="AB638" s="4"/>
      <c r="AC638" s="8"/>
      <c r="AD638" s="4"/>
    </row>
    <row r="639">
      <c r="B639" s="4"/>
      <c r="C639" s="4"/>
      <c r="D639" s="4"/>
      <c r="F639" s="4"/>
      <c r="G639" s="8"/>
      <c r="H639" s="4"/>
      <c r="I639" s="4"/>
      <c r="J639" s="4"/>
      <c r="K639" s="4"/>
      <c r="L639" s="4"/>
      <c r="M639" s="8"/>
      <c r="N639" s="4"/>
      <c r="O639" s="8"/>
      <c r="P639" s="4"/>
      <c r="Q639" s="8"/>
      <c r="R639" s="4"/>
      <c r="S639" s="8"/>
      <c r="T639" s="4"/>
      <c r="U639" s="8"/>
      <c r="V639" s="4"/>
      <c r="W639" s="8"/>
      <c r="X639" s="4"/>
      <c r="Y639" s="8"/>
      <c r="Z639" s="4"/>
      <c r="AA639" s="2"/>
      <c r="AB639" s="4"/>
      <c r="AC639" s="8"/>
      <c r="AD639" s="4"/>
    </row>
    <row r="640">
      <c r="B640" s="4"/>
      <c r="C640" s="4"/>
      <c r="D640" s="4"/>
      <c r="F640" s="4"/>
      <c r="G640" s="8"/>
      <c r="H640" s="4"/>
      <c r="I640" s="4"/>
      <c r="J640" s="4"/>
      <c r="K640" s="4"/>
      <c r="L640" s="4"/>
      <c r="M640" s="8"/>
      <c r="N640" s="4"/>
      <c r="O640" s="8"/>
      <c r="P640" s="4"/>
      <c r="Q640" s="8"/>
      <c r="R640" s="4"/>
      <c r="S640" s="8"/>
      <c r="T640" s="4"/>
      <c r="U640" s="8"/>
      <c r="V640" s="4"/>
      <c r="W640" s="8"/>
      <c r="X640" s="4"/>
      <c r="Y640" s="8"/>
      <c r="Z640" s="4"/>
      <c r="AA640" s="2"/>
      <c r="AB640" s="4"/>
      <c r="AC640" s="8"/>
      <c r="AD640" s="4"/>
    </row>
    <row r="641">
      <c r="B641" s="4"/>
      <c r="C641" s="4"/>
      <c r="D641" s="4"/>
      <c r="F641" s="4"/>
      <c r="G641" s="8"/>
      <c r="H641" s="4"/>
      <c r="I641" s="4"/>
      <c r="J641" s="4"/>
      <c r="K641" s="4"/>
      <c r="L641" s="4"/>
      <c r="M641" s="8"/>
      <c r="N641" s="4"/>
      <c r="O641" s="8"/>
      <c r="P641" s="4"/>
      <c r="Q641" s="8"/>
      <c r="R641" s="4"/>
      <c r="S641" s="8"/>
      <c r="T641" s="4"/>
      <c r="U641" s="8"/>
      <c r="V641" s="4"/>
      <c r="W641" s="8"/>
      <c r="X641" s="4"/>
      <c r="Y641" s="8"/>
      <c r="Z641" s="4"/>
      <c r="AA641" s="2"/>
      <c r="AB641" s="4"/>
      <c r="AC641" s="8"/>
      <c r="AD641" s="4"/>
    </row>
    <row r="642">
      <c r="B642" s="4"/>
      <c r="C642" s="4"/>
      <c r="D642" s="4"/>
      <c r="F642" s="4"/>
      <c r="G642" s="8"/>
      <c r="H642" s="4"/>
      <c r="I642" s="4"/>
      <c r="J642" s="4"/>
      <c r="K642" s="4"/>
      <c r="L642" s="4"/>
      <c r="M642" s="8"/>
      <c r="N642" s="4"/>
      <c r="O642" s="8"/>
      <c r="P642" s="4"/>
      <c r="Q642" s="8"/>
      <c r="R642" s="4"/>
      <c r="S642" s="8"/>
      <c r="T642" s="4"/>
      <c r="U642" s="8"/>
      <c r="V642" s="4"/>
      <c r="W642" s="8"/>
      <c r="X642" s="4"/>
      <c r="Y642" s="8"/>
      <c r="Z642" s="4"/>
      <c r="AA642" s="2"/>
      <c r="AB642" s="4"/>
      <c r="AC642" s="8"/>
      <c r="AD642" s="4"/>
    </row>
    <row r="643">
      <c r="B643" s="4"/>
      <c r="C643" s="4"/>
      <c r="D643" s="4"/>
      <c r="F643" s="4"/>
      <c r="G643" s="8"/>
      <c r="H643" s="4"/>
      <c r="I643" s="4"/>
      <c r="J643" s="4"/>
      <c r="K643" s="4"/>
      <c r="L643" s="4"/>
      <c r="M643" s="8"/>
      <c r="N643" s="4"/>
      <c r="O643" s="8"/>
      <c r="P643" s="4"/>
      <c r="Q643" s="8"/>
      <c r="R643" s="4"/>
      <c r="S643" s="8"/>
      <c r="T643" s="4"/>
      <c r="U643" s="8"/>
      <c r="V643" s="4"/>
      <c r="W643" s="8"/>
      <c r="X643" s="4"/>
      <c r="Y643" s="8"/>
      <c r="Z643" s="4"/>
      <c r="AA643" s="2"/>
      <c r="AB643" s="4"/>
      <c r="AC643" s="8"/>
      <c r="AD643" s="4"/>
    </row>
    <row r="644">
      <c r="B644" s="4"/>
      <c r="C644" s="4"/>
      <c r="D644" s="4"/>
      <c r="F644" s="4"/>
      <c r="G644" s="8"/>
      <c r="H644" s="4"/>
      <c r="I644" s="4"/>
      <c r="J644" s="4"/>
      <c r="K644" s="4"/>
      <c r="L644" s="4"/>
      <c r="M644" s="8"/>
      <c r="N644" s="4"/>
      <c r="O644" s="8"/>
      <c r="P644" s="4"/>
      <c r="Q644" s="8"/>
      <c r="R644" s="4"/>
      <c r="S644" s="8"/>
      <c r="T644" s="4"/>
      <c r="U644" s="8"/>
      <c r="V644" s="4"/>
      <c r="W644" s="8"/>
      <c r="X644" s="4"/>
      <c r="Y644" s="8"/>
      <c r="Z644" s="4"/>
      <c r="AA644" s="2"/>
      <c r="AB644" s="4"/>
      <c r="AC644" s="8"/>
      <c r="AD644" s="4"/>
    </row>
    <row r="645">
      <c r="B645" s="4"/>
      <c r="C645" s="4"/>
      <c r="D645" s="4"/>
      <c r="F645" s="4"/>
      <c r="G645" s="8"/>
      <c r="H645" s="4"/>
      <c r="I645" s="4"/>
      <c r="J645" s="4"/>
      <c r="K645" s="4"/>
      <c r="L645" s="4"/>
      <c r="M645" s="8"/>
      <c r="N645" s="4"/>
      <c r="O645" s="8"/>
      <c r="P645" s="4"/>
      <c r="Q645" s="8"/>
      <c r="R645" s="4"/>
      <c r="S645" s="8"/>
      <c r="T645" s="4"/>
      <c r="U645" s="8"/>
      <c r="V645" s="4"/>
      <c r="W645" s="8"/>
      <c r="X645" s="4"/>
      <c r="Y645" s="8"/>
      <c r="Z645" s="4"/>
      <c r="AA645" s="2"/>
      <c r="AB645" s="4"/>
      <c r="AC645" s="8"/>
      <c r="AD645" s="4"/>
    </row>
    <row r="646">
      <c r="B646" s="4"/>
      <c r="C646" s="4"/>
      <c r="D646" s="4"/>
      <c r="F646" s="4"/>
      <c r="G646" s="8"/>
      <c r="H646" s="4"/>
      <c r="I646" s="4"/>
      <c r="J646" s="4"/>
      <c r="K646" s="4"/>
      <c r="L646" s="4"/>
      <c r="M646" s="8"/>
      <c r="N646" s="4"/>
      <c r="O646" s="8"/>
      <c r="P646" s="4"/>
      <c r="Q646" s="8"/>
      <c r="R646" s="4"/>
      <c r="S646" s="8"/>
      <c r="T646" s="4"/>
      <c r="U646" s="8"/>
      <c r="V646" s="4"/>
      <c r="W646" s="8"/>
      <c r="X646" s="4"/>
      <c r="Y646" s="8"/>
      <c r="Z646" s="4"/>
      <c r="AA646" s="2"/>
      <c r="AB646" s="4"/>
      <c r="AC646" s="8"/>
      <c r="AD646" s="4"/>
    </row>
    <row r="647">
      <c r="B647" s="4"/>
      <c r="C647" s="4"/>
      <c r="D647" s="4"/>
      <c r="F647" s="4"/>
      <c r="G647" s="8"/>
      <c r="H647" s="4"/>
      <c r="I647" s="4"/>
      <c r="J647" s="4"/>
      <c r="K647" s="4"/>
      <c r="L647" s="4"/>
      <c r="M647" s="8"/>
      <c r="N647" s="4"/>
      <c r="O647" s="8"/>
      <c r="P647" s="4"/>
      <c r="Q647" s="8"/>
      <c r="R647" s="4"/>
      <c r="S647" s="8"/>
      <c r="T647" s="4"/>
      <c r="U647" s="8"/>
      <c r="V647" s="4"/>
      <c r="W647" s="8"/>
      <c r="X647" s="4"/>
      <c r="Y647" s="8"/>
      <c r="Z647" s="4"/>
      <c r="AA647" s="2"/>
      <c r="AB647" s="4"/>
      <c r="AC647" s="8"/>
      <c r="AD647" s="4"/>
    </row>
    <row r="648">
      <c r="B648" s="4"/>
      <c r="C648" s="4"/>
      <c r="D648" s="4"/>
      <c r="F648" s="4"/>
      <c r="G648" s="8"/>
      <c r="H648" s="4"/>
      <c r="I648" s="4"/>
      <c r="J648" s="4"/>
      <c r="K648" s="4"/>
      <c r="L648" s="4"/>
      <c r="M648" s="8"/>
      <c r="N648" s="4"/>
      <c r="O648" s="8"/>
      <c r="P648" s="4"/>
      <c r="Q648" s="8"/>
      <c r="R648" s="4"/>
      <c r="S648" s="8"/>
      <c r="T648" s="4"/>
      <c r="U648" s="8"/>
      <c r="V648" s="4"/>
      <c r="W648" s="8"/>
      <c r="X648" s="4"/>
      <c r="Y648" s="8"/>
      <c r="Z648" s="4"/>
      <c r="AA648" s="2"/>
      <c r="AB648" s="4"/>
      <c r="AC648" s="8"/>
      <c r="AD648" s="4"/>
    </row>
    <row r="649">
      <c r="B649" s="4"/>
      <c r="C649" s="4"/>
      <c r="D649" s="4"/>
      <c r="F649" s="4"/>
      <c r="G649" s="8"/>
      <c r="H649" s="4"/>
      <c r="I649" s="4"/>
      <c r="J649" s="4"/>
      <c r="K649" s="4"/>
      <c r="L649" s="4"/>
      <c r="M649" s="8"/>
      <c r="N649" s="4"/>
      <c r="O649" s="8"/>
      <c r="P649" s="4"/>
      <c r="Q649" s="8"/>
      <c r="R649" s="4"/>
      <c r="S649" s="8"/>
      <c r="T649" s="4"/>
      <c r="U649" s="8"/>
      <c r="V649" s="4"/>
      <c r="W649" s="8"/>
      <c r="X649" s="4"/>
      <c r="Y649" s="8"/>
      <c r="Z649" s="4"/>
      <c r="AA649" s="2"/>
      <c r="AB649" s="4"/>
      <c r="AC649" s="8"/>
      <c r="AD649" s="4"/>
    </row>
    <row r="650">
      <c r="B650" s="4"/>
      <c r="C650" s="4"/>
      <c r="D650" s="4"/>
      <c r="F650" s="4"/>
      <c r="G650" s="8"/>
      <c r="H650" s="4"/>
      <c r="I650" s="4"/>
      <c r="J650" s="4"/>
      <c r="K650" s="4"/>
      <c r="L650" s="4"/>
      <c r="M650" s="8"/>
      <c r="N650" s="4"/>
      <c r="O650" s="8"/>
      <c r="P650" s="4"/>
      <c r="Q650" s="8"/>
      <c r="R650" s="4"/>
      <c r="S650" s="8"/>
      <c r="T650" s="4"/>
      <c r="U650" s="8"/>
      <c r="V650" s="4"/>
      <c r="W650" s="8"/>
      <c r="X650" s="4"/>
      <c r="Y650" s="8"/>
      <c r="Z650" s="4"/>
      <c r="AA650" s="2"/>
      <c r="AB650" s="4"/>
      <c r="AC650" s="8"/>
      <c r="AD650" s="4"/>
    </row>
    <row r="651">
      <c r="B651" s="4"/>
      <c r="C651" s="4"/>
      <c r="D651" s="4"/>
      <c r="F651" s="4"/>
      <c r="G651" s="8"/>
      <c r="H651" s="4"/>
      <c r="I651" s="4"/>
      <c r="J651" s="4"/>
      <c r="K651" s="4"/>
      <c r="L651" s="4"/>
      <c r="M651" s="8"/>
      <c r="N651" s="4"/>
      <c r="O651" s="8"/>
      <c r="P651" s="4"/>
      <c r="Q651" s="8"/>
      <c r="R651" s="4"/>
      <c r="S651" s="8"/>
      <c r="T651" s="4"/>
      <c r="U651" s="8"/>
      <c r="V651" s="4"/>
      <c r="W651" s="8"/>
      <c r="X651" s="4"/>
      <c r="Y651" s="8"/>
      <c r="Z651" s="4"/>
      <c r="AA651" s="2"/>
      <c r="AB651" s="4"/>
      <c r="AC651" s="8"/>
      <c r="AD651" s="4"/>
    </row>
    <row r="652">
      <c r="B652" s="4"/>
      <c r="C652" s="4"/>
      <c r="D652" s="4"/>
      <c r="F652" s="4"/>
      <c r="G652" s="8"/>
      <c r="H652" s="4"/>
      <c r="I652" s="4"/>
      <c r="J652" s="4"/>
      <c r="K652" s="4"/>
      <c r="L652" s="4"/>
      <c r="M652" s="8"/>
      <c r="N652" s="4"/>
      <c r="O652" s="8"/>
      <c r="P652" s="4"/>
      <c r="Q652" s="8"/>
      <c r="R652" s="4"/>
      <c r="S652" s="8"/>
      <c r="T652" s="4"/>
      <c r="U652" s="8"/>
      <c r="V652" s="4"/>
      <c r="W652" s="8"/>
      <c r="X652" s="4"/>
      <c r="Y652" s="8"/>
      <c r="Z652" s="4"/>
      <c r="AA652" s="2"/>
      <c r="AB652" s="4"/>
      <c r="AC652" s="8"/>
      <c r="AD652" s="4"/>
    </row>
    <row r="653">
      <c r="B653" s="4"/>
      <c r="C653" s="4"/>
      <c r="D653" s="4"/>
      <c r="F653" s="4"/>
      <c r="G653" s="8"/>
      <c r="H653" s="4"/>
      <c r="I653" s="4"/>
      <c r="J653" s="4"/>
      <c r="K653" s="4"/>
      <c r="L653" s="4"/>
      <c r="M653" s="8"/>
      <c r="N653" s="4"/>
      <c r="O653" s="8"/>
      <c r="P653" s="4"/>
      <c r="Q653" s="8"/>
      <c r="R653" s="4"/>
      <c r="S653" s="8"/>
      <c r="T653" s="4"/>
      <c r="U653" s="8"/>
      <c r="V653" s="4"/>
      <c r="W653" s="8"/>
      <c r="X653" s="4"/>
      <c r="Y653" s="8"/>
      <c r="Z653" s="4"/>
      <c r="AA653" s="2"/>
      <c r="AB653" s="4"/>
      <c r="AC653" s="8"/>
      <c r="AD653" s="4"/>
    </row>
    <row r="654">
      <c r="B654" s="4"/>
      <c r="C654" s="4"/>
      <c r="D654" s="4"/>
      <c r="F654" s="4"/>
      <c r="G654" s="8"/>
      <c r="H654" s="4"/>
      <c r="I654" s="4"/>
      <c r="J654" s="4"/>
      <c r="K654" s="4"/>
      <c r="L654" s="4"/>
      <c r="M654" s="8"/>
      <c r="N654" s="4"/>
      <c r="O654" s="8"/>
      <c r="P654" s="4"/>
      <c r="Q654" s="8"/>
      <c r="R654" s="4"/>
      <c r="S654" s="8"/>
      <c r="T654" s="4"/>
      <c r="U654" s="8"/>
      <c r="V654" s="4"/>
      <c r="W654" s="8"/>
      <c r="X654" s="4"/>
      <c r="Y654" s="8"/>
      <c r="Z654" s="4"/>
      <c r="AA654" s="2"/>
      <c r="AB654" s="4"/>
      <c r="AC654" s="8"/>
      <c r="AD654" s="4"/>
    </row>
    <row r="655">
      <c r="B655" s="4"/>
      <c r="C655" s="4"/>
      <c r="D655" s="4"/>
      <c r="F655" s="4"/>
      <c r="G655" s="8"/>
      <c r="H655" s="4"/>
      <c r="I655" s="4"/>
      <c r="J655" s="4"/>
      <c r="K655" s="4"/>
      <c r="L655" s="4"/>
      <c r="M655" s="8"/>
      <c r="N655" s="4"/>
      <c r="O655" s="8"/>
      <c r="P655" s="4"/>
      <c r="Q655" s="8"/>
      <c r="R655" s="4"/>
      <c r="S655" s="8"/>
      <c r="T655" s="4"/>
      <c r="U655" s="8"/>
      <c r="V655" s="4"/>
      <c r="W655" s="8"/>
      <c r="X655" s="4"/>
      <c r="Y655" s="8"/>
      <c r="Z655" s="4"/>
      <c r="AA655" s="2"/>
      <c r="AB655" s="4"/>
      <c r="AC655" s="8"/>
      <c r="AD655" s="4"/>
    </row>
    <row r="656">
      <c r="B656" s="4"/>
      <c r="C656" s="4"/>
      <c r="D656" s="4"/>
      <c r="F656" s="4"/>
      <c r="G656" s="8"/>
      <c r="H656" s="4"/>
      <c r="I656" s="4"/>
      <c r="J656" s="4"/>
      <c r="K656" s="4"/>
      <c r="L656" s="4"/>
      <c r="M656" s="8"/>
      <c r="N656" s="4"/>
      <c r="O656" s="8"/>
      <c r="P656" s="4"/>
      <c r="Q656" s="8"/>
      <c r="R656" s="4"/>
      <c r="S656" s="8"/>
      <c r="T656" s="4"/>
      <c r="U656" s="8"/>
      <c r="V656" s="4"/>
      <c r="W656" s="8"/>
      <c r="X656" s="4"/>
      <c r="Y656" s="8"/>
      <c r="Z656" s="4"/>
      <c r="AA656" s="2"/>
      <c r="AB656" s="4"/>
      <c r="AC656" s="8"/>
      <c r="AD656" s="4"/>
    </row>
    <row r="657">
      <c r="B657" s="4"/>
      <c r="C657" s="4"/>
      <c r="D657" s="4"/>
      <c r="F657" s="4"/>
      <c r="G657" s="8"/>
      <c r="H657" s="4"/>
      <c r="I657" s="4"/>
      <c r="J657" s="4"/>
      <c r="K657" s="4"/>
      <c r="L657" s="4"/>
      <c r="M657" s="8"/>
      <c r="N657" s="4"/>
      <c r="O657" s="8"/>
      <c r="P657" s="4"/>
      <c r="Q657" s="8"/>
      <c r="R657" s="4"/>
      <c r="S657" s="8"/>
      <c r="T657" s="4"/>
      <c r="U657" s="8"/>
      <c r="V657" s="4"/>
      <c r="W657" s="8"/>
      <c r="X657" s="4"/>
      <c r="Y657" s="8"/>
      <c r="Z657" s="4"/>
      <c r="AA657" s="2"/>
      <c r="AB657" s="4"/>
      <c r="AC657" s="8"/>
      <c r="AD657" s="4"/>
    </row>
    <row r="658">
      <c r="B658" s="4"/>
      <c r="C658" s="4"/>
      <c r="D658" s="4"/>
      <c r="F658" s="4"/>
      <c r="G658" s="8"/>
      <c r="H658" s="4"/>
      <c r="I658" s="4"/>
      <c r="J658" s="4"/>
      <c r="K658" s="4"/>
      <c r="L658" s="4"/>
      <c r="M658" s="8"/>
      <c r="N658" s="4"/>
      <c r="O658" s="8"/>
      <c r="P658" s="4"/>
      <c r="Q658" s="8"/>
      <c r="R658" s="4"/>
      <c r="S658" s="8"/>
      <c r="T658" s="4"/>
      <c r="U658" s="8"/>
      <c r="V658" s="4"/>
      <c r="W658" s="8"/>
      <c r="X658" s="4"/>
      <c r="Y658" s="8"/>
      <c r="Z658" s="4"/>
      <c r="AA658" s="2"/>
      <c r="AB658" s="4"/>
      <c r="AC658" s="8"/>
      <c r="AD658" s="4"/>
    </row>
    <row r="659">
      <c r="B659" s="4"/>
      <c r="C659" s="4"/>
      <c r="D659" s="4"/>
      <c r="F659" s="4"/>
      <c r="G659" s="8"/>
      <c r="H659" s="4"/>
      <c r="I659" s="4"/>
      <c r="J659" s="4"/>
      <c r="K659" s="4"/>
      <c r="L659" s="4"/>
      <c r="M659" s="8"/>
      <c r="N659" s="4"/>
      <c r="O659" s="8"/>
      <c r="P659" s="4"/>
      <c r="Q659" s="8"/>
      <c r="R659" s="4"/>
      <c r="S659" s="8"/>
      <c r="T659" s="4"/>
      <c r="U659" s="8"/>
      <c r="V659" s="4"/>
      <c r="W659" s="8"/>
      <c r="X659" s="4"/>
      <c r="Y659" s="8"/>
      <c r="Z659" s="4"/>
      <c r="AA659" s="2"/>
      <c r="AB659" s="4"/>
      <c r="AC659" s="8"/>
      <c r="AD659" s="4"/>
    </row>
    <row r="660">
      <c r="B660" s="4"/>
      <c r="C660" s="4"/>
      <c r="D660" s="4"/>
      <c r="F660" s="4"/>
      <c r="G660" s="8"/>
      <c r="H660" s="4"/>
      <c r="I660" s="4"/>
      <c r="J660" s="4"/>
      <c r="K660" s="4"/>
      <c r="L660" s="4"/>
      <c r="M660" s="8"/>
      <c r="N660" s="4"/>
      <c r="O660" s="8"/>
      <c r="P660" s="4"/>
      <c r="Q660" s="8"/>
      <c r="R660" s="4"/>
      <c r="S660" s="8"/>
      <c r="T660" s="4"/>
      <c r="U660" s="8"/>
      <c r="V660" s="4"/>
      <c r="W660" s="8"/>
      <c r="X660" s="4"/>
      <c r="Y660" s="8"/>
      <c r="Z660" s="4"/>
      <c r="AA660" s="2"/>
      <c r="AB660" s="4"/>
      <c r="AC660" s="8"/>
      <c r="AD660" s="4"/>
    </row>
    <row r="661">
      <c r="B661" s="4"/>
      <c r="C661" s="4"/>
      <c r="D661" s="4"/>
      <c r="F661" s="4"/>
      <c r="G661" s="8"/>
      <c r="H661" s="4"/>
      <c r="I661" s="4"/>
      <c r="J661" s="4"/>
      <c r="K661" s="4"/>
      <c r="L661" s="4"/>
      <c r="M661" s="8"/>
      <c r="N661" s="4"/>
      <c r="O661" s="8"/>
      <c r="P661" s="4"/>
      <c r="Q661" s="8"/>
      <c r="R661" s="4"/>
      <c r="S661" s="8"/>
      <c r="T661" s="4"/>
      <c r="U661" s="8"/>
      <c r="V661" s="4"/>
      <c r="W661" s="8"/>
      <c r="X661" s="4"/>
      <c r="Y661" s="8"/>
      <c r="Z661" s="4"/>
      <c r="AA661" s="2"/>
      <c r="AB661" s="4"/>
      <c r="AC661" s="8"/>
      <c r="AD661" s="4"/>
    </row>
    <row r="662">
      <c r="B662" s="4"/>
      <c r="C662" s="4"/>
      <c r="D662" s="4"/>
      <c r="F662" s="4"/>
      <c r="G662" s="8"/>
      <c r="H662" s="4"/>
      <c r="I662" s="4"/>
      <c r="J662" s="4"/>
      <c r="K662" s="4"/>
      <c r="L662" s="4"/>
      <c r="M662" s="8"/>
      <c r="N662" s="4"/>
      <c r="O662" s="8"/>
      <c r="P662" s="4"/>
      <c r="Q662" s="8"/>
      <c r="R662" s="4"/>
      <c r="S662" s="8"/>
      <c r="T662" s="4"/>
      <c r="U662" s="8"/>
      <c r="V662" s="4"/>
      <c r="W662" s="8"/>
      <c r="X662" s="4"/>
      <c r="Y662" s="8"/>
      <c r="Z662" s="4"/>
      <c r="AA662" s="2"/>
      <c r="AB662" s="4"/>
      <c r="AC662" s="8"/>
      <c r="AD662" s="4"/>
    </row>
    <row r="663">
      <c r="B663" s="4"/>
      <c r="C663" s="4"/>
      <c r="D663" s="4"/>
      <c r="F663" s="4"/>
      <c r="G663" s="8"/>
      <c r="H663" s="4"/>
      <c r="I663" s="4"/>
      <c r="J663" s="4"/>
      <c r="K663" s="4"/>
      <c r="L663" s="4"/>
      <c r="M663" s="8"/>
      <c r="N663" s="4"/>
      <c r="O663" s="8"/>
      <c r="P663" s="4"/>
      <c r="Q663" s="8"/>
      <c r="R663" s="4"/>
      <c r="S663" s="8"/>
      <c r="T663" s="4"/>
      <c r="U663" s="8"/>
      <c r="V663" s="4"/>
      <c r="W663" s="8"/>
      <c r="X663" s="4"/>
      <c r="Y663" s="8"/>
      <c r="Z663" s="4"/>
      <c r="AA663" s="2"/>
      <c r="AB663" s="4"/>
      <c r="AC663" s="8"/>
      <c r="AD663" s="4"/>
    </row>
    <row r="664">
      <c r="B664" s="4"/>
      <c r="C664" s="4"/>
      <c r="D664" s="4"/>
      <c r="F664" s="4"/>
      <c r="G664" s="8"/>
      <c r="H664" s="4"/>
      <c r="I664" s="4"/>
      <c r="J664" s="4"/>
      <c r="K664" s="4"/>
      <c r="L664" s="4"/>
      <c r="M664" s="8"/>
      <c r="N664" s="4"/>
      <c r="O664" s="8"/>
      <c r="P664" s="4"/>
      <c r="Q664" s="8"/>
      <c r="R664" s="4"/>
      <c r="S664" s="8"/>
      <c r="T664" s="4"/>
      <c r="U664" s="8"/>
      <c r="V664" s="4"/>
      <c r="W664" s="8"/>
      <c r="X664" s="4"/>
      <c r="Y664" s="8"/>
      <c r="Z664" s="4"/>
      <c r="AA664" s="2"/>
      <c r="AB664" s="4"/>
      <c r="AC664" s="8"/>
      <c r="AD664" s="4"/>
    </row>
    <row r="665">
      <c r="B665" s="4"/>
      <c r="C665" s="4"/>
      <c r="D665" s="4"/>
      <c r="F665" s="4"/>
      <c r="G665" s="8"/>
      <c r="H665" s="4"/>
      <c r="I665" s="4"/>
      <c r="J665" s="4"/>
      <c r="K665" s="4"/>
      <c r="L665" s="4"/>
      <c r="M665" s="8"/>
      <c r="N665" s="4"/>
      <c r="O665" s="8"/>
      <c r="P665" s="4"/>
      <c r="Q665" s="8"/>
      <c r="R665" s="4"/>
      <c r="S665" s="8"/>
      <c r="T665" s="4"/>
      <c r="U665" s="8"/>
      <c r="V665" s="4"/>
      <c r="W665" s="8"/>
      <c r="X665" s="4"/>
      <c r="Y665" s="8"/>
      <c r="Z665" s="4"/>
      <c r="AA665" s="2"/>
      <c r="AB665" s="4"/>
      <c r="AC665" s="8"/>
      <c r="AD665" s="4"/>
    </row>
    <row r="666">
      <c r="B666" s="4"/>
      <c r="C666" s="4"/>
      <c r="D666" s="4"/>
      <c r="F666" s="4"/>
      <c r="G666" s="8"/>
      <c r="H666" s="4"/>
      <c r="I666" s="4"/>
      <c r="J666" s="4"/>
      <c r="K666" s="4"/>
      <c r="L666" s="4"/>
      <c r="M666" s="8"/>
      <c r="N666" s="4"/>
      <c r="O666" s="8"/>
      <c r="P666" s="4"/>
      <c r="Q666" s="8"/>
      <c r="R666" s="4"/>
      <c r="S666" s="8"/>
      <c r="T666" s="4"/>
      <c r="U666" s="8"/>
      <c r="V666" s="4"/>
      <c r="W666" s="8"/>
      <c r="X666" s="4"/>
      <c r="Y666" s="8"/>
      <c r="Z666" s="4"/>
      <c r="AA666" s="2"/>
      <c r="AB666" s="4"/>
      <c r="AC666" s="8"/>
      <c r="AD666" s="4"/>
    </row>
    <row r="667">
      <c r="B667" s="4"/>
      <c r="C667" s="4"/>
      <c r="D667" s="4"/>
      <c r="F667" s="4"/>
      <c r="G667" s="8"/>
      <c r="H667" s="4"/>
      <c r="I667" s="4"/>
      <c r="J667" s="4"/>
      <c r="K667" s="4"/>
      <c r="L667" s="4"/>
      <c r="M667" s="8"/>
      <c r="N667" s="4"/>
      <c r="O667" s="8"/>
      <c r="P667" s="4"/>
      <c r="Q667" s="8"/>
      <c r="R667" s="4"/>
      <c r="S667" s="8"/>
      <c r="T667" s="4"/>
      <c r="U667" s="8"/>
      <c r="V667" s="4"/>
      <c r="W667" s="8"/>
      <c r="X667" s="4"/>
      <c r="Y667" s="8"/>
      <c r="Z667" s="4"/>
      <c r="AA667" s="2"/>
      <c r="AB667" s="4"/>
      <c r="AC667" s="8"/>
      <c r="AD667" s="4"/>
    </row>
    <row r="668">
      <c r="B668" s="4"/>
      <c r="C668" s="4"/>
      <c r="D668" s="4"/>
      <c r="F668" s="4"/>
      <c r="G668" s="8"/>
      <c r="H668" s="4"/>
      <c r="I668" s="4"/>
      <c r="J668" s="4"/>
      <c r="K668" s="4"/>
      <c r="L668" s="4"/>
      <c r="M668" s="8"/>
      <c r="N668" s="4"/>
      <c r="O668" s="8"/>
      <c r="P668" s="4"/>
      <c r="Q668" s="8"/>
      <c r="R668" s="4"/>
      <c r="S668" s="8"/>
      <c r="T668" s="4"/>
      <c r="U668" s="8"/>
      <c r="V668" s="4"/>
      <c r="W668" s="8"/>
      <c r="X668" s="4"/>
      <c r="Y668" s="8"/>
      <c r="Z668" s="4"/>
      <c r="AA668" s="2"/>
      <c r="AB668" s="4"/>
      <c r="AC668" s="8"/>
      <c r="AD668" s="4"/>
    </row>
    <row r="669">
      <c r="B669" s="4"/>
      <c r="C669" s="4"/>
      <c r="D669" s="4"/>
      <c r="F669" s="4"/>
      <c r="G669" s="8"/>
      <c r="H669" s="4"/>
      <c r="I669" s="4"/>
      <c r="J669" s="4"/>
      <c r="K669" s="4"/>
      <c r="L669" s="4"/>
      <c r="M669" s="8"/>
      <c r="N669" s="4"/>
      <c r="O669" s="8"/>
      <c r="P669" s="4"/>
      <c r="Q669" s="8"/>
      <c r="R669" s="4"/>
      <c r="S669" s="8"/>
      <c r="T669" s="4"/>
      <c r="U669" s="8"/>
      <c r="V669" s="4"/>
      <c r="W669" s="8"/>
      <c r="X669" s="4"/>
      <c r="Y669" s="8"/>
      <c r="Z669" s="4"/>
      <c r="AA669" s="2"/>
      <c r="AB669" s="4"/>
      <c r="AC669" s="8"/>
      <c r="AD669" s="4"/>
    </row>
    <row r="670">
      <c r="B670" s="4"/>
      <c r="C670" s="4"/>
      <c r="D670" s="4"/>
      <c r="F670" s="4"/>
      <c r="G670" s="8"/>
      <c r="H670" s="4"/>
      <c r="I670" s="4"/>
      <c r="J670" s="4"/>
      <c r="K670" s="4"/>
      <c r="L670" s="4"/>
      <c r="M670" s="8"/>
      <c r="N670" s="4"/>
      <c r="O670" s="8"/>
      <c r="P670" s="4"/>
      <c r="Q670" s="8"/>
      <c r="R670" s="4"/>
      <c r="S670" s="8"/>
      <c r="T670" s="4"/>
      <c r="U670" s="8"/>
      <c r="V670" s="4"/>
      <c r="W670" s="8"/>
      <c r="X670" s="4"/>
      <c r="Y670" s="8"/>
      <c r="Z670" s="4"/>
      <c r="AA670" s="2"/>
      <c r="AB670" s="4"/>
      <c r="AC670" s="8"/>
      <c r="AD670" s="4"/>
    </row>
    <row r="671">
      <c r="B671" s="4"/>
      <c r="C671" s="4"/>
      <c r="D671" s="4"/>
      <c r="F671" s="4"/>
      <c r="G671" s="8"/>
      <c r="H671" s="4"/>
      <c r="I671" s="4"/>
      <c r="J671" s="4"/>
      <c r="K671" s="4"/>
      <c r="L671" s="4"/>
      <c r="M671" s="8"/>
      <c r="N671" s="4"/>
      <c r="O671" s="8"/>
      <c r="P671" s="4"/>
      <c r="Q671" s="8"/>
      <c r="R671" s="4"/>
      <c r="S671" s="8"/>
      <c r="T671" s="4"/>
      <c r="U671" s="8"/>
      <c r="V671" s="4"/>
      <c r="W671" s="8"/>
      <c r="X671" s="4"/>
      <c r="Y671" s="8"/>
      <c r="Z671" s="4"/>
      <c r="AA671" s="2"/>
      <c r="AB671" s="4"/>
      <c r="AC671" s="8"/>
      <c r="AD671" s="4"/>
    </row>
    <row r="672">
      <c r="B672" s="4"/>
      <c r="C672" s="4"/>
      <c r="D672" s="4"/>
      <c r="F672" s="4"/>
      <c r="G672" s="8"/>
      <c r="H672" s="4"/>
      <c r="I672" s="4"/>
      <c r="J672" s="4"/>
      <c r="K672" s="4"/>
      <c r="L672" s="4"/>
      <c r="M672" s="8"/>
      <c r="N672" s="4"/>
      <c r="O672" s="8"/>
      <c r="P672" s="4"/>
      <c r="Q672" s="8"/>
      <c r="R672" s="4"/>
      <c r="S672" s="8"/>
      <c r="T672" s="4"/>
      <c r="U672" s="8"/>
      <c r="V672" s="4"/>
      <c r="W672" s="8"/>
      <c r="X672" s="4"/>
      <c r="Y672" s="8"/>
      <c r="Z672" s="4"/>
      <c r="AA672" s="2"/>
      <c r="AB672" s="4"/>
      <c r="AC672" s="8"/>
      <c r="AD672" s="4"/>
    </row>
    <row r="673">
      <c r="B673" s="4"/>
      <c r="C673" s="4"/>
      <c r="D673" s="4"/>
      <c r="F673" s="4"/>
      <c r="G673" s="8"/>
      <c r="H673" s="4"/>
      <c r="I673" s="4"/>
      <c r="J673" s="4"/>
      <c r="K673" s="4"/>
      <c r="L673" s="4"/>
      <c r="M673" s="8"/>
      <c r="N673" s="4"/>
      <c r="O673" s="8"/>
      <c r="P673" s="4"/>
      <c r="Q673" s="8"/>
      <c r="R673" s="4"/>
      <c r="S673" s="8"/>
      <c r="T673" s="4"/>
      <c r="U673" s="8"/>
      <c r="V673" s="4"/>
      <c r="W673" s="8"/>
      <c r="X673" s="4"/>
      <c r="Y673" s="8"/>
      <c r="Z673" s="4"/>
      <c r="AA673" s="2"/>
      <c r="AB673" s="4"/>
      <c r="AC673" s="8"/>
      <c r="AD673" s="4"/>
    </row>
    <row r="674">
      <c r="B674" s="4"/>
      <c r="C674" s="4"/>
      <c r="D674" s="4"/>
      <c r="F674" s="4"/>
      <c r="G674" s="8"/>
      <c r="H674" s="4"/>
      <c r="I674" s="4"/>
      <c r="J674" s="4"/>
      <c r="K674" s="4"/>
      <c r="L674" s="4"/>
      <c r="M674" s="8"/>
      <c r="N674" s="4"/>
      <c r="O674" s="8"/>
      <c r="P674" s="4"/>
      <c r="Q674" s="8"/>
      <c r="R674" s="4"/>
      <c r="S674" s="8"/>
      <c r="T674" s="4"/>
      <c r="U674" s="8"/>
      <c r="V674" s="4"/>
      <c r="W674" s="8"/>
      <c r="X674" s="4"/>
      <c r="Y674" s="8"/>
      <c r="Z674" s="4"/>
      <c r="AA674" s="2"/>
      <c r="AB674" s="4"/>
      <c r="AC674" s="8"/>
      <c r="AD674" s="4"/>
    </row>
    <row r="675">
      <c r="B675" s="4"/>
      <c r="C675" s="4"/>
      <c r="D675" s="4"/>
      <c r="F675" s="4"/>
      <c r="G675" s="8"/>
      <c r="H675" s="4"/>
      <c r="I675" s="4"/>
      <c r="J675" s="4"/>
      <c r="K675" s="4"/>
      <c r="L675" s="4"/>
      <c r="M675" s="8"/>
      <c r="N675" s="4"/>
      <c r="O675" s="8"/>
      <c r="P675" s="4"/>
      <c r="Q675" s="8"/>
      <c r="R675" s="4"/>
      <c r="S675" s="8"/>
      <c r="T675" s="4"/>
      <c r="U675" s="8"/>
      <c r="V675" s="4"/>
      <c r="W675" s="8"/>
      <c r="X675" s="4"/>
      <c r="Y675" s="8"/>
      <c r="Z675" s="4"/>
      <c r="AA675" s="2"/>
      <c r="AB675" s="4"/>
      <c r="AC675" s="8"/>
      <c r="AD675" s="4"/>
    </row>
    <row r="676">
      <c r="B676" s="4"/>
      <c r="C676" s="4"/>
      <c r="D676" s="4"/>
      <c r="F676" s="4"/>
      <c r="G676" s="8"/>
      <c r="H676" s="4"/>
      <c r="I676" s="4"/>
      <c r="J676" s="4"/>
      <c r="K676" s="4"/>
      <c r="L676" s="4"/>
      <c r="M676" s="8"/>
      <c r="N676" s="4"/>
      <c r="O676" s="8"/>
      <c r="P676" s="4"/>
      <c r="Q676" s="8"/>
      <c r="R676" s="4"/>
      <c r="S676" s="8"/>
      <c r="T676" s="4"/>
      <c r="U676" s="8"/>
      <c r="V676" s="4"/>
      <c r="W676" s="8"/>
      <c r="X676" s="4"/>
      <c r="Y676" s="8"/>
      <c r="Z676" s="4"/>
      <c r="AA676" s="2"/>
      <c r="AB676" s="4"/>
      <c r="AC676" s="8"/>
      <c r="AD676" s="4"/>
    </row>
    <row r="677">
      <c r="B677" s="4"/>
      <c r="C677" s="4"/>
      <c r="D677" s="4"/>
      <c r="F677" s="4"/>
      <c r="G677" s="8"/>
      <c r="H677" s="4"/>
      <c r="I677" s="4"/>
      <c r="J677" s="4"/>
      <c r="K677" s="4"/>
      <c r="L677" s="4"/>
      <c r="M677" s="8"/>
      <c r="N677" s="4"/>
      <c r="O677" s="8"/>
      <c r="P677" s="4"/>
      <c r="Q677" s="8"/>
      <c r="R677" s="4"/>
      <c r="S677" s="8"/>
      <c r="T677" s="4"/>
      <c r="U677" s="8"/>
      <c r="V677" s="4"/>
      <c r="W677" s="8"/>
      <c r="X677" s="4"/>
      <c r="Y677" s="8"/>
      <c r="Z677" s="4"/>
      <c r="AA677" s="2"/>
      <c r="AB677" s="4"/>
      <c r="AC677" s="8"/>
      <c r="AD677" s="4"/>
    </row>
    <row r="678">
      <c r="B678" s="4"/>
      <c r="C678" s="4"/>
      <c r="D678" s="4"/>
      <c r="F678" s="4"/>
      <c r="G678" s="8"/>
      <c r="H678" s="4"/>
      <c r="I678" s="4"/>
      <c r="J678" s="4"/>
      <c r="K678" s="4"/>
      <c r="L678" s="4"/>
      <c r="M678" s="8"/>
      <c r="N678" s="4"/>
      <c r="O678" s="8"/>
      <c r="P678" s="4"/>
      <c r="Q678" s="8"/>
      <c r="R678" s="4"/>
      <c r="S678" s="8"/>
      <c r="T678" s="4"/>
      <c r="U678" s="8"/>
      <c r="V678" s="4"/>
      <c r="W678" s="8"/>
      <c r="X678" s="4"/>
      <c r="Y678" s="8"/>
      <c r="Z678" s="4"/>
      <c r="AA678" s="2"/>
      <c r="AB678" s="4"/>
      <c r="AC678" s="8"/>
      <c r="AD678" s="4"/>
    </row>
    <row r="679">
      <c r="B679" s="4"/>
      <c r="C679" s="4"/>
      <c r="D679" s="4"/>
      <c r="F679" s="4"/>
      <c r="G679" s="8"/>
      <c r="H679" s="4"/>
      <c r="I679" s="4"/>
      <c r="J679" s="4"/>
      <c r="K679" s="4"/>
      <c r="L679" s="4"/>
      <c r="M679" s="8"/>
      <c r="N679" s="4"/>
      <c r="O679" s="8"/>
      <c r="P679" s="4"/>
      <c r="Q679" s="8"/>
      <c r="R679" s="4"/>
      <c r="S679" s="8"/>
      <c r="T679" s="4"/>
      <c r="U679" s="8"/>
      <c r="V679" s="4"/>
      <c r="W679" s="8"/>
      <c r="X679" s="4"/>
      <c r="Y679" s="8"/>
      <c r="Z679" s="4"/>
      <c r="AA679" s="2"/>
      <c r="AB679" s="4"/>
      <c r="AC679" s="8"/>
      <c r="AD679" s="4"/>
    </row>
    <row r="680">
      <c r="B680" s="4"/>
      <c r="C680" s="4"/>
      <c r="D680" s="4"/>
      <c r="F680" s="4"/>
      <c r="G680" s="8"/>
      <c r="H680" s="4"/>
      <c r="I680" s="4"/>
      <c r="J680" s="4"/>
      <c r="K680" s="4"/>
      <c r="L680" s="4"/>
      <c r="M680" s="8"/>
      <c r="N680" s="4"/>
      <c r="O680" s="8"/>
      <c r="P680" s="4"/>
      <c r="Q680" s="8"/>
      <c r="R680" s="4"/>
      <c r="S680" s="8"/>
      <c r="T680" s="4"/>
      <c r="U680" s="8"/>
      <c r="V680" s="4"/>
      <c r="W680" s="8"/>
      <c r="X680" s="4"/>
      <c r="Y680" s="8"/>
      <c r="Z680" s="4"/>
      <c r="AA680" s="2"/>
      <c r="AB680" s="4"/>
      <c r="AC680" s="8"/>
      <c r="AD680" s="4"/>
    </row>
    <row r="681">
      <c r="B681" s="4"/>
      <c r="C681" s="4"/>
      <c r="D681" s="4"/>
      <c r="F681" s="4"/>
      <c r="G681" s="8"/>
      <c r="H681" s="4"/>
      <c r="I681" s="4"/>
      <c r="J681" s="4"/>
      <c r="K681" s="4"/>
      <c r="L681" s="4"/>
      <c r="M681" s="8"/>
      <c r="N681" s="4"/>
      <c r="O681" s="8"/>
      <c r="P681" s="4"/>
      <c r="Q681" s="8"/>
      <c r="R681" s="4"/>
      <c r="S681" s="8"/>
      <c r="T681" s="4"/>
      <c r="U681" s="8"/>
      <c r="V681" s="4"/>
      <c r="W681" s="8"/>
      <c r="X681" s="4"/>
      <c r="Y681" s="8"/>
      <c r="Z681" s="4"/>
      <c r="AA681" s="2"/>
      <c r="AB681" s="4"/>
      <c r="AC681" s="8"/>
      <c r="AD681" s="4"/>
    </row>
    <row r="682">
      <c r="B682" s="4"/>
      <c r="C682" s="4"/>
      <c r="D682" s="4"/>
      <c r="F682" s="4"/>
      <c r="G682" s="8"/>
      <c r="H682" s="4"/>
      <c r="I682" s="4"/>
      <c r="J682" s="4"/>
      <c r="K682" s="4"/>
      <c r="L682" s="4"/>
      <c r="M682" s="8"/>
      <c r="N682" s="4"/>
      <c r="O682" s="8"/>
      <c r="P682" s="4"/>
      <c r="Q682" s="8"/>
      <c r="R682" s="4"/>
      <c r="S682" s="8"/>
      <c r="T682" s="4"/>
      <c r="U682" s="8"/>
      <c r="V682" s="4"/>
      <c r="W682" s="8"/>
      <c r="X682" s="4"/>
      <c r="Y682" s="8"/>
      <c r="Z682" s="4"/>
      <c r="AA682" s="2"/>
      <c r="AB682" s="4"/>
      <c r="AC682" s="8"/>
      <c r="AD682" s="4"/>
    </row>
    <row r="683">
      <c r="B683" s="4"/>
      <c r="C683" s="4"/>
      <c r="D683" s="4"/>
      <c r="F683" s="4"/>
      <c r="G683" s="8"/>
      <c r="H683" s="4"/>
      <c r="I683" s="4"/>
      <c r="J683" s="4"/>
      <c r="K683" s="4"/>
      <c r="L683" s="4"/>
      <c r="M683" s="8"/>
      <c r="N683" s="4"/>
      <c r="O683" s="8"/>
      <c r="P683" s="4"/>
      <c r="Q683" s="8"/>
      <c r="R683" s="4"/>
      <c r="S683" s="8"/>
      <c r="T683" s="4"/>
      <c r="U683" s="8"/>
      <c r="V683" s="4"/>
      <c r="W683" s="8"/>
      <c r="X683" s="4"/>
      <c r="Y683" s="8"/>
      <c r="Z683" s="4"/>
      <c r="AA683" s="2"/>
      <c r="AB683" s="4"/>
      <c r="AC683" s="8"/>
      <c r="AD683" s="4"/>
    </row>
    <row r="684">
      <c r="B684" s="4"/>
      <c r="C684" s="4"/>
      <c r="D684" s="4"/>
      <c r="F684" s="4"/>
      <c r="G684" s="8"/>
      <c r="H684" s="4"/>
      <c r="I684" s="4"/>
      <c r="J684" s="4"/>
      <c r="K684" s="4"/>
      <c r="L684" s="4"/>
      <c r="M684" s="8"/>
      <c r="N684" s="4"/>
      <c r="O684" s="8"/>
      <c r="P684" s="4"/>
      <c r="Q684" s="8"/>
      <c r="R684" s="4"/>
      <c r="S684" s="8"/>
      <c r="T684" s="4"/>
      <c r="U684" s="8"/>
      <c r="V684" s="4"/>
      <c r="W684" s="8"/>
      <c r="X684" s="4"/>
      <c r="Y684" s="8"/>
      <c r="Z684" s="4"/>
      <c r="AA684" s="2"/>
      <c r="AB684" s="4"/>
      <c r="AC684" s="8"/>
      <c r="AD684" s="4"/>
    </row>
    <row r="685">
      <c r="B685" s="4"/>
      <c r="C685" s="4"/>
      <c r="D685" s="4"/>
      <c r="F685" s="4"/>
      <c r="G685" s="8"/>
      <c r="H685" s="4"/>
      <c r="I685" s="4"/>
      <c r="J685" s="4"/>
      <c r="K685" s="4"/>
      <c r="L685" s="4"/>
      <c r="M685" s="8"/>
      <c r="N685" s="4"/>
      <c r="O685" s="8"/>
      <c r="P685" s="4"/>
      <c r="Q685" s="8"/>
      <c r="R685" s="4"/>
      <c r="S685" s="8"/>
      <c r="T685" s="4"/>
      <c r="U685" s="8"/>
      <c r="V685" s="4"/>
      <c r="W685" s="8"/>
      <c r="X685" s="4"/>
      <c r="Y685" s="8"/>
      <c r="Z685" s="4"/>
      <c r="AA685" s="2"/>
      <c r="AB685" s="4"/>
      <c r="AC685" s="8"/>
      <c r="AD685" s="4"/>
    </row>
    <row r="686">
      <c r="B686" s="4"/>
      <c r="C686" s="4"/>
      <c r="D686" s="4"/>
      <c r="F686" s="4"/>
      <c r="G686" s="8"/>
      <c r="H686" s="4"/>
      <c r="I686" s="4"/>
      <c r="J686" s="4"/>
      <c r="K686" s="4"/>
      <c r="L686" s="4"/>
      <c r="M686" s="8"/>
      <c r="N686" s="4"/>
      <c r="O686" s="8"/>
      <c r="P686" s="4"/>
      <c r="Q686" s="8"/>
      <c r="R686" s="4"/>
      <c r="S686" s="8"/>
      <c r="T686" s="4"/>
      <c r="U686" s="8"/>
      <c r="V686" s="4"/>
      <c r="W686" s="8"/>
      <c r="X686" s="4"/>
      <c r="Y686" s="8"/>
      <c r="Z686" s="4"/>
      <c r="AA686" s="2"/>
      <c r="AB686" s="4"/>
      <c r="AC686" s="8"/>
      <c r="AD686" s="4"/>
    </row>
    <row r="687">
      <c r="B687" s="4"/>
      <c r="C687" s="4"/>
      <c r="D687" s="4"/>
      <c r="F687" s="4"/>
      <c r="G687" s="8"/>
      <c r="H687" s="4"/>
      <c r="I687" s="4"/>
      <c r="J687" s="4"/>
      <c r="K687" s="4"/>
      <c r="L687" s="4"/>
      <c r="M687" s="8"/>
      <c r="N687" s="4"/>
      <c r="O687" s="8"/>
      <c r="P687" s="4"/>
      <c r="Q687" s="8"/>
      <c r="R687" s="4"/>
      <c r="S687" s="8"/>
      <c r="T687" s="4"/>
      <c r="U687" s="8"/>
      <c r="V687" s="4"/>
      <c r="W687" s="8"/>
      <c r="X687" s="4"/>
      <c r="Y687" s="8"/>
      <c r="Z687" s="4"/>
      <c r="AA687" s="2"/>
      <c r="AB687" s="4"/>
      <c r="AC687" s="8"/>
      <c r="AD687" s="4"/>
    </row>
    <row r="688">
      <c r="B688" s="4"/>
      <c r="C688" s="4"/>
      <c r="D688" s="4"/>
      <c r="F688" s="4"/>
      <c r="G688" s="8"/>
      <c r="H688" s="4"/>
      <c r="I688" s="4"/>
      <c r="J688" s="4"/>
      <c r="K688" s="4"/>
      <c r="L688" s="4"/>
      <c r="M688" s="8"/>
      <c r="N688" s="4"/>
      <c r="O688" s="8"/>
      <c r="P688" s="4"/>
      <c r="Q688" s="8"/>
      <c r="R688" s="4"/>
      <c r="S688" s="8"/>
      <c r="T688" s="4"/>
      <c r="U688" s="8"/>
      <c r="V688" s="4"/>
      <c r="W688" s="8"/>
      <c r="X688" s="4"/>
      <c r="Y688" s="8"/>
      <c r="Z688" s="4"/>
      <c r="AA688" s="2"/>
      <c r="AB688" s="4"/>
      <c r="AC688" s="8"/>
      <c r="AD688" s="4"/>
    </row>
    <row r="689">
      <c r="B689" s="4"/>
      <c r="C689" s="4"/>
      <c r="D689" s="4"/>
      <c r="F689" s="4"/>
      <c r="G689" s="8"/>
      <c r="H689" s="4"/>
      <c r="I689" s="4"/>
      <c r="J689" s="4"/>
      <c r="K689" s="4"/>
      <c r="L689" s="4"/>
      <c r="M689" s="8"/>
      <c r="N689" s="4"/>
      <c r="O689" s="8"/>
      <c r="P689" s="4"/>
      <c r="Q689" s="8"/>
      <c r="R689" s="4"/>
      <c r="S689" s="8"/>
      <c r="T689" s="4"/>
      <c r="U689" s="8"/>
      <c r="V689" s="4"/>
      <c r="W689" s="8"/>
      <c r="X689" s="4"/>
      <c r="Y689" s="8"/>
      <c r="Z689" s="4"/>
      <c r="AA689" s="2"/>
      <c r="AB689" s="4"/>
      <c r="AC689" s="8"/>
      <c r="AD689" s="4"/>
    </row>
    <row r="690">
      <c r="B690" s="4"/>
      <c r="C690" s="4"/>
      <c r="D690" s="4"/>
      <c r="F690" s="4"/>
      <c r="G690" s="8"/>
      <c r="H690" s="4"/>
      <c r="I690" s="4"/>
      <c r="J690" s="4"/>
      <c r="K690" s="4"/>
      <c r="L690" s="4"/>
      <c r="M690" s="8"/>
      <c r="N690" s="4"/>
      <c r="O690" s="8"/>
      <c r="P690" s="4"/>
      <c r="Q690" s="8"/>
      <c r="R690" s="4"/>
      <c r="S690" s="8"/>
      <c r="T690" s="4"/>
      <c r="U690" s="8"/>
      <c r="V690" s="4"/>
      <c r="W690" s="8"/>
      <c r="X690" s="4"/>
      <c r="Y690" s="8"/>
      <c r="Z690" s="4"/>
      <c r="AA690" s="2"/>
      <c r="AB690" s="4"/>
      <c r="AC690" s="8"/>
      <c r="AD690" s="4"/>
    </row>
    <row r="691">
      <c r="B691" s="4"/>
      <c r="C691" s="4"/>
      <c r="D691" s="4"/>
      <c r="F691" s="4"/>
      <c r="G691" s="8"/>
      <c r="H691" s="4"/>
      <c r="I691" s="4"/>
      <c r="J691" s="4"/>
      <c r="K691" s="4"/>
      <c r="L691" s="4"/>
      <c r="M691" s="8"/>
      <c r="N691" s="4"/>
      <c r="O691" s="8"/>
      <c r="P691" s="4"/>
      <c r="Q691" s="8"/>
      <c r="R691" s="4"/>
      <c r="S691" s="8"/>
      <c r="T691" s="4"/>
      <c r="U691" s="8"/>
      <c r="V691" s="4"/>
      <c r="W691" s="8"/>
      <c r="X691" s="4"/>
      <c r="Y691" s="8"/>
      <c r="Z691" s="4"/>
      <c r="AA691" s="2"/>
      <c r="AB691" s="4"/>
      <c r="AC691" s="8"/>
      <c r="AD691" s="4"/>
    </row>
    <row r="692">
      <c r="B692" s="4"/>
      <c r="C692" s="4"/>
      <c r="D692" s="4"/>
      <c r="F692" s="4"/>
      <c r="G692" s="8"/>
      <c r="H692" s="4"/>
      <c r="I692" s="4"/>
      <c r="J692" s="4"/>
      <c r="K692" s="4"/>
      <c r="L692" s="4"/>
      <c r="M692" s="8"/>
      <c r="N692" s="4"/>
      <c r="O692" s="8"/>
      <c r="P692" s="4"/>
      <c r="Q692" s="8"/>
      <c r="R692" s="4"/>
      <c r="S692" s="8"/>
      <c r="T692" s="4"/>
      <c r="U692" s="8"/>
      <c r="V692" s="4"/>
      <c r="W692" s="8"/>
      <c r="X692" s="4"/>
      <c r="Y692" s="8"/>
      <c r="Z692" s="4"/>
      <c r="AA692" s="2"/>
      <c r="AB692" s="4"/>
      <c r="AC692" s="8"/>
      <c r="AD692" s="4"/>
    </row>
    <row r="693">
      <c r="B693" s="4"/>
      <c r="C693" s="4"/>
      <c r="D693" s="4"/>
      <c r="F693" s="4"/>
      <c r="G693" s="8"/>
      <c r="H693" s="4"/>
      <c r="I693" s="4"/>
      <c r="J693" s="4"/>
      <c r="K693" s="4"/>
      <c r="L693" s="4"/>
      <c r="M693" s="8"/>
      <c r="N693" s="4"/>
      <c r="O693" s="8"/>
      <c r="P693" s="4"/>
      <c r="Q693" s="8"/>
      <c r="R693" s="4"/>
      <c r="S693" s="8"/>
      <c r="T693" s="4"/>
      <c r="U693" s="8"/>
      <c r="V693" s="4"/>
      <c r="W693" s="8"/>
      <c r="X693" s="4"/>
      <c r="Y693" s="8"/>
      <c r="Z693" s="4"/>
      <c r="AA693" s="2"/>
      <c r="AB693" s="4"/>
      <c r="AC693" s="8"/>
      <c r="AD693" s="4"/>
    </row>
    <row r="694">
      <c r="B694" s="4"/>
      <c r="C694" s="4"/>
      <c r="D694" s="4"/>
      <c r="F694" s="4"/>
      <c r="G694" s="8"/>
      <c r="H694" s="4"/>
      <c r="I694" s="4"/>
      <c r="J694" s="4"/>
      <c r="K694" s="4"/>
      <c r="L694" s="4"/>
      <c r="M694" s="8"/>
      <c r="N694" s="4"/>
      <c r="O694" s="8"/>
      <c r="P694" s="4"/>
      <c r="Q694" s="8"/>
      <c r="R694" s="4"/>
      <c r="S694" s="8"/>
      <c r="T694" s="4"/>
      <c r="U694" s="8"/>
      <c r="V694" s="4"/>
      <c r="W694" s="8"/>
      <c r="X694" s="4"/>
      <c r="Y694" s="8"/>
      <c r="Z694" s="4"/>
      <c r="AA694" s="2"/>
      <c r="AB694" s="4"/>
      <c r="AC694" s="8"/>
      <c r="AD694" s="4"/>
    </row>
    <row r="695">
      <c r="B695" s="4"/>
      <c r="C695" s="4"/>
      <c r="D695" s="4"/>
      <c r="F695" s="4"/>
      <c r="G695" s="8"/>
      <c r="H695" s="4"/>
      <c r="I695" s="4"/>
      <c r="J695" s="4"/>
      <c r="K695" s="4"/>
      <c r="L695" s="4"/>
      <c r="M695" s="8"/>
      <c r="N695" s="4"/>
      <c r="O695" s="8"/>
      <c r="P695" s="4"/>
      <c r="Q695" s="8"/>
      <c r="R695" s="4"/>
      <c r="S695" s="8"/>
      <c r="T695" s="4"/>
      <c r="U695" s="8"/>
      <c r="V695" s="4"/>
      <c r="W695" s="8"/>
      <c r="X695" s="4"/>
      <c r="Y695" s="8"/>
      <c r="Z695" s="4"/>
      <c r="AA695" s="2"/>
      <c r="AB695" s="4"/>
      <c r="AC695" s="8"/>
      <c r="AD695" s="4"/>
    </row>
    <row r="696">
      <c r="B696" s="4"/>
      <c r="C696" s="4"/>
      <c r="D696" s="4"/>
      <c r="F696" s="4"/>
      <c r="G696" s="8"/>
      <c r="H696" s="4"/>
      <c r="I696" s="4"/>
      <c r="J696" s="4"/>
      <c r="K696" s="4"/>
      <c r="L696" s="4"/>
      <c r="M696" s="8"/>
      <c r="N696" s="4"/>
      <c r="O696" s="8"/>
      <c r="P696" s="4"/>
      <c r="Q696" s="8"/>
      <c r="R696" s="4"/>
      <c r="S696" s="8"/>
      <c r="T696" s="4"/>
      <c r="U696" s="8"/>
      <c r="V696" s="4"/>
      <c r="W696" s="8"/>
      <c r="X696" s="4"/>
      <c r="Y696" s="8"/>
      <c r="Z696" s="4"/>
      <c r="AA696" s="2"/>
      <c r="AB696" s="4"/>
      <c r="AC696" s="8"/>
      <c r="AD696" s="4"/>
    </row>
    <row r="697">
      <c r="B697" s="4"/>
      <c r="C697" s="4"/>
      <c r="D697" s="4"/>
      <c r="F697" s="4"/>
      <c r="G697" s="8"/>
      <c r="H697" s="4"/>
      <c r="I697" s="4"/>
      <c r="J697" s="4"/>
      <c r="K697" s="4"/>
      <c r="L697" s="4"/>
      <c r="M697" s="8"/>
      <c r="N697" s="4"/>
      <c r="O697" s="8"/>
      <c r="P697" s="4"/>
      <c r="Q697" s="8"/>
      <c r="R697" s="4"/>
      <c r="S697" s="8"/>
      <c r="T697" s="4"/>
      <c r="U697" s="8"/>
      <c r="V697" s="4"/>
      <c r="W697" s="8"/>
      <c r="X697" s="4"/>
      <c r="Y697" s="8"/>
      <c r="Z697" s="4"/>
      <c r="AA697" s="2"/>
      <c r="AB697" s="4"/>
      <c r="AC697" s="8"/>
      <c r="AD697" s="4"/>
    </row>
    <row r="698">
      <c r="B698" s="4"/>
      <c r="C698" s="4"/>
      <c r="D698" s="4"/>
      <c r="F698" s="4"/>
      <c r="G698" s="8"/>
      <c r="H698" s="4"/>
      <c r="I698" s="4"/>
      <c r="J698" s="4"/>
      <c r="K698" s="4"/>
      <c r="L698" s="4"/>
      <c r="M698" s="8"/>
      <c r="N698" s="4"/>
      <c r="O698" s="8"/>
      <c r="P698" s="4"/>
      <c r="Q698" s="8"/>
      <c r="R698" s="4"/>
      <c r="S698" s="8"/>
      <c r="T698" s="4"/>
      <c r="U698" s="8"/>
      <c r="V698" s="4"/>
      <c r="W698" s="8"/>
      <c r="X698" s="4"/>
      <c r="Y698" s="8"/>
      <c r="Z698" s="4"/>
      <c r="AA698" s="2"/>
      <c r="AB698" s="4"/>
      <c r="AC698" s="8"/>
      <c r="AD698" s="4"/>
    </row>
    <row r="699">
      <c r="B699" s="4"/>
      <c r="C699" s="4"/>
      <c r="D699" s="4"/>
      <c r="F699" s="4"/>
      <c r="G699" s="8"/>
      <c r="H699" s="4"/>
      <c r="I699" s="4"/>
      <c r="J699" s="4"/>
      <c r="K699" s="4"/>
      <c r="L699" s="4"/>
      <c r="M699" s="8"/>
      <c r="N699" s="4"/>
      <c r="O699" s="8"/>
      <c r="P699" s="4"/>
      <c r="Q699" s="8"/>
      <c r="R699" s="4"/>
      <c r="S699" s="8"/>
      <c r="T699" s="4"/>
      <c r="U699" s="8"/>
      <c r="V699" s="4"/>
      <c r="W699" s="8"/>
      <c r="X699" s="4"/>
      <c r="Y699" s="8"/>
      <c r="Z699" s="4"/>
      <c r="AA699" s="2"/>
      <c r="AB699" s="4"/>
      <c r="AC699" s="8"/>
      <c r="AD699" s="4"/>
    </row>
    <row r="700">
      <c r="B700" s="4"/>
      <c r="C700" s="4"/>
      <c r="D700" s="4"/>
      <c r="F700" s="4"/>
      <c r="G700" s="8"/>
      <c r="H700" s="4"/>
      <c r="I700" s="4"/>
      <c r="J700" s="4"/>
      <c r="K700" s="4"/>
      <c r="L700" s="4"/>
      <c r="M700" s="8"/>
      <c r="N700" s="4"/>
      <c r="O700" s="8"/>
      <c r="P700" s="4"/>
      <c r="Q700" s="8"/>
      <c r="R700" s="4"/>
      <c r="S700" s="8"/>
      <c r="T700" s="4"/>
      <c r="U700" s="8"/>
      <c r="V700" s="4"/>
      <c r="W700" s="8"/>
      <c r="X700" s="4"/>
      <c r="Y700" s="8"/>
      <c r="Z700" s="4"/>
      <c r="AA700" s="2"/>
      <c r="AB700" s="4"/>
      <c r="AC700" s="8"/>
      <c r="AD700" s="4"/>
    </row>
    <row r="701">
      <c r="B701" s="4"/>
      <c r="C701" s="4"/>
      <c r="D701" s="4"/>
      <c r="F701" s="4"/>
      <c r="G701" s="8"/>
      <c r="H701" s="4"/>
      <c r="I701" s="4"/>
      <c r="J701" s="4"/>
      <c r="K701" s="4"/>
      <c r="L701" s="4"/>
      <c r="M701" s="8"/>
      <c r="N701" s="4"/>
      <c r="O701" s="8"/>
      <c r="P701" s="4"/>
      <c r="Q701" s="8"/>
      <c r="R701" s="4"/>
      <c r="S701" s="8"/>
      <c r="T701" s="4"/>
      <c r="U701" s="8"/>
      <c r="V701" s="4"/>
      <c r="W701" s="8"/>
      <c r="X701" s="4"/>
      <c r="Y701" s="8"/>
      <c r="Z701" s="4"/>
      <c r="AA701" s="2"/>
      <c r="AB701" s="4"/>
      <c r="AC701" s="8"/>
      <c r="AD701" s="4"/>
    </row>
    <row r="702">
      <c r="B702" s="4"/>
      <c r="C702" s="4"/>
      <c r="D702" s="4"/>
      <c r="F702" s="4"/>
      <c r="G702" s="8"/>
      <c r="H702" s="4"/>
      <c r="I702" s="4"/>
      <c r="J702" s="4"/>
      <c r="K702" s="4"/>
      <c r="L702" s="4"/>
      <c r="M702" s="8"/>
      <c r="N702" s="4"/>
      <c r="O702" s="8"/>
      <c r="P702" s="4"/>
      <c r="Q702" s="8"/>
      <c r="R702" s="4"/>
      <c r="S702" s="8"/>
      <c r="T702" s="4"/>
      <c r="U702" s="8"/>
      <c r="V702" s="4"/>
      <c r="W702" s="8"/>
      <c r="X702" s="4"/>
      <c r="Y702" s="8"/>
      <c r="Z702" s="4"/>
      <c r="AA702" s="2"/>
      <c r="AB702" s="4"/>
      <c r="AC702" s="8"/>
      <c r="AD702" s="4"/>
    </row>
    <row r="703">
      <c r="B703" s="4"/>
      <c r="C703" s="4"/>
      <c r="D703" s="4"/>
      <c r="F703" s="4"/>
      <c r="G703" s="8"/>
      <c r="H703" s="4"/>
      <c r="I703" s="4"/>
      <c r="J703" s="4"/>
      <c r="K703" s="4"/>
      <c r="L703" s="4"/>
      <c r="M703" s="8"/>
      <c r="N703" s="4"/>
      <c r="O703" s="8"/>
      <c r="P703" s="4"/>
      <c r="Q703" s="8"/>
      <c r="R703" s="4"/>
      <c r="S703" s="8"/>
      <c r="T703" s="4"/>
      <c r="U703" s="8"/>
      <c r="V703" s="4"/>
      <c r="W703" s="8"/>
      <c r="X703" s="4"/>
      <c r="Y703" s="8"/>
      <c r="Z703" s="4"/>
      <c r="AA703" s="2"/>
      <c r="AB703" s="4"/>
      <c r="AC703" s="8"/>
      <c r="AD703" s="4"/>
    </row>
    <row r="704">
      <c r="B704" s="4"/>
      <c r="C704" s="4"/>
      <c r="D704" s="4"/>
      <c r="F704" s="4"/>
      <c r="G704" s="8"/>
      <c r="H704" s="4"/>
      <c r="I704" s="4"/>
      <c r="J704" s="4"/>
      <c r="K704" s="4"/>
      <c r="L704" s="4"/>
      <c r="M704" s="8"/>
      <c r="N704" s="4"/>
      <c r="O704" s="8"/>
      <c r="P704" s="4"/>
      <c r="Q704" s="8"/>
      <c r="R704" s="4"/>
      <c r="S704" s="8"/>
      <c r="T704" s="4"/>
      <c r="U704" s="8"/>
      <c r="V704" s="4"/>
      <c r="W704" s="8"/>
      <c r="X704" s="4"/>
      <c r="Y704" s="8"/>
      <c r="Z704" s="4"/>
      <c r="AA704" s="2"/>
      <c r="AB704" s="4"/>
      <c r="AC704" s="8"/>
      <c r="AD704" s="4"/>
    </row>
    <row r="705">
      <c r="B705" s="4"/>
      <c r="C705" s="4"/>
      <c r="D705" s="4"/>
      <c r="F705" s="4"/>
      <c r="G705" s="8"/>
      <c r="H705" s="4"/>
      <c r="I705" s="4"/>
      <c r="J705" s="4"/>
      <c r="K705" s="4"/>
      <c r="L705" s="4"/>
      <c r="M705" s="8"/>
      <c r="N705" s="4"/>
      <c r="O705" s="8"/>
      <c r="P705" s="4"/>
      <c r="Q705" s="8"/>
      <c r="R705" s="4"/>
      <c r="S705" s="8"/>
      <c r="T705" s="4"/>
      <c r="U705" s="8"/>
      <c r="V705" s="4"/>
      <c r="W705" s="8"/>
      <c r="X705" s="4"/>
      <c r="Y705" s="8"/>
      <c r="Z705" s="4"/>
      <c r="AA705" s="2"/>
      <c r="AB705" s="4"/>
      <c r="AC705" s="8"/>
      <c r="AD705" s="4"/>
    </row>
    <row r="706">
      <c r="B706" s="4"/>
      <c r="C706" s="4"/>
      <c r="D706" s="4"/>
      <c r="F706" s="4"/>
      <c r="G706" s="8"/>
      <c r="H706" s="4"/>
      <c r="I706" s="4"/>
      <c r="J706" s="4"/>
      <c r="K706" s="4"/>
      <c r="L706" s="4"/>
      <c r="M706" s="8"/>
      <c r="N706" s="4"/>
      <c r="O706" s="8"/>
      <c r="P706" s="4"/>
      <c r="Q706" s="8"/>
      <c r="R706" s="4"/>
      <c r="S706" s="8"/>
      <c r="T706" s="4"/>
      <c r="U706" s="8"/>
      <c r="V706" s="4"/>
      <c r="W706" s="8"/>
      <c r="X706" s="4"/>
      <c r="Y706" s="8"/>
      <c r="Z706" s="4"/>
      <c r="AA706" s="2"/>
      <c r="AB706" s="4"/>
      <c r="AC706" s="8"/>
      <c r="AD706" s="4"/>
    </row>
    <row r="707">
      <c r="B707" s="4"/>
      <c r="C707" s="4"/>
      <c r="D707" s="4"/>
      <c r="F707" s="4"/>
      <c r="G707" s="8"/>
      <c r="H707" s="4"/>
      <c r="I707" s="4"/>
      <c r="J707" s="4"/>
      <c r="K707" s="4"/>
      <c r="L707" s="4"/>
      <c r="M707" s="8"/>
      <c r="N707" s="4"/>
      <c r="O707" s="8"/>
      <c r="P707" s="4"/>
      <c r="Q707" s="8"/>
      <c r="R707" s="4"/>
      <c r="S707" s="8"/>
      <c r="T707" s="4"/>
      <c r="U707" s="8"/>
      <c r="V707" s="4"/>
      <c r="W707" s="8"/>
      <c r="X707" s="4"/>
      <c r="Y707" s="8"/>
      <c r="Z707" s="4"/>
      <c r="AA707" s="2"/>
      <c r="AB707" s="4"/>
      <c r="AC707" s="8"/>
      <c r="AD707" s="4"/>
    </row>
    <row r="708">
      <c r="B708" s="4"/>
      <c r="C708" s="4"/>
      <c r="D708" s="4"/>
      <c r="F708" s="4"/>
      <c r="G708" s="8"/>
      <c r="H708" s="4"/>
      <c r="I708" s="4"/>
      <c r="J708" s="4"/>
      <c r="K708" s="4"/>
      <c r="L708" s="4"/>
      <c r="M708" s="8"/>
      <c r="N708" s="4"/>
      <c r="O708" s="8"/>
      <c r="P708" s="4"/>
      <c r="Q708" s="8"/>
      <c r="R708" s="4"/>
      <c r="S708" s="8"/>
      <c r="T708" s="4"/>
      <c r="U708" s="8"/>
      <c r="V708" s="4"/>
      <c r="W708" s="8"/>
      <c r="X708" s="4"/>
      <c r="Y708" s="8"/>
      <c r="Z708" s="4"/>
      <c r="AA708" s="2"/>
      <c r="AB708" s="4"/>
      <c r="AC708" s="8"/>
      <c r="AD708" s="4"/>
    </row>
    <row r="709">
      <c r="B709" s="4"/>
      <c r="C709" s="4"/>
      <c r="D709" s="4"/>
      <c r="F709" s="4"/>
      <c r="G709" s="8"/>
      <c r="H709" s="4"/>
      <c r="I709" s="4"/>
      <c r="J709" s="4"/>
      <c r="K709" s="4"/>
      <c r="L709" s="4"/>
      <c r="M709" s="8"/>
      <c r="N709" s="4"/>
      <c r="O709" s="8"/>
      <c r="P709" s="4"/>
      <c r="Q709" s="8"/>
      <c r="R709" s="4"/>
      <c r="S709" s="8"/>
      <c r="T709" s="4"/>
      <c r="U709" s="8"/>
      <c r="V709" s="4"/>
      <c r="W709" s="8"/>
      <c r="X709" s="4"/>
      <c r="Y709" s="8"/>
      <c r="Z709" s="4"/>
      <c r="AA709" s="2"/>
      <c r="AB709" s="4"/>
      <c r="AC709" s="8"/>
      <c r="AD709" s="4"/>
    </row>
    <row r="710">
      <c r="B710" s="4"/>
      <c r="C710" s="4"/>
      <c r="D710" s="4"/>
      <c r="F710" s="4"/>
      <c r="G710" s="8"/>
      <c r="H710" s="4"/>
      <c r="I710" s="4"/>
      <c r="J710" s="4"/>
      <c r="K710" s="4"/>
      <c r="L710" s="4"/>
      <c r="M710" s="8"/>
      <c r="N710" s="4"/>
      <c r="O710" s="8"/>
      <c r="P710" s="4"/>
      <c r="Q710" s="8"/>
      <c r="R710" s="4"/>
      <c r="S710" s="8"/>
      <c r="T710" s="4"/>
      <c r="U710" s="8"/>
      <c r="V710" s="4"/>
      <c r="W710" s="8"/>
      <c r="X710" s="4"/>
      <c r="Y710" s="8"/>
      <c r="Z710" s="4"/>
      <c r="AA710" s="2"/>
      <c r="AB710" s="4"/>
      <c r="AC710" s="8"/>
      <c r="AD710" s="4"/>
    </row>
    <row r="711">
      <c r="B711" s="4"/>
      <c r="C711" s="4"/>
      <c r="D711" s="4"/>
      <c r="F711" s="4"/>
      <c r="G711" s="8"/>
      <c r="H711" s="4"/>
      <c r="I711" s="4"/>
      <c r="J711" s="4"/>
      <c r="K711" s="4"/>
      <c r="L711" s="4"/>
      <c r="M711" s="8"/>
      <c r="N711" s="4"/>
      <c r="O711" s="8"/>
      <c r="P711" s="4"/>
      <c r="Q711" s="8"/>
      <c r="R711" s="4"/>
      <c r="S711" s="8"/>
      <c r="T711" s="4"/>
      <c r="U711" s="8"/>
      <c r="V711" s="4"/>
      <c r="W711" s="8"/>
      <c r="X711" s="4"/>
      <c r="Y711" s="8"/>
      <c r="Z711" s="4"/>
      <c r="AA711" s="2"/>
      <c r="AB711" s="4"/>
      <c r="AC711" s="8"/>
      <c r="AD711" s="4"/>
    </row>
    <row r="712">
      <c r="B712" s="4"/>
      <c r="C712" s="4"/>
      <c r="D712" s="4"/>
      <c r="F712" s="4"/>
      <c r="G712" s="8"/>
      <c r="H712" s="4"/>
      <c r="I712" s="4"/>
      <c r="J712" s="4"/>
      <c r="K712" s="4"/>
      <c r="L712" s="4"/>
      <c r="M712" s="8"/>
      <c r="N712" s="4"/>
      <c r="O712" s="8"/>
      <c r="P712" s="4"/>
      <c r="Q712" s="8"/>
      <c r="R712" s="4"/>
      <c r="S712" s="8"/>
      <c r="T712" s="4"/>
      <c r="U712" s="8"/>
      <c r="V712" s="4"/>
      <c r="W712" s="8"/>
      <c r="X712" s="4"/>
      <c r="Y712" s="8"/>
      <c r="Z712" s="4"/>
      <c r="AA712" s="2"/>
      <c r="AB712" s="4"/>
      <c r="AC712" s="8"/>
      <c r="AD712" s="4"/>
    </row>
    <row r="713">
      <c r="B713" s="4"/>
      <c r="C713" s="4"/>
      <c r="D713" s="4"/>
      <c r="F713" s="4"/>
      <c r="G713" s="8"/>
      <c r="H713" s="4"/>
      <c r="I713" s="4"/>
      <c r="J713" s="4"/>
      <c r="K713" s="4"/>
      <c r="L713" s="4"/>
      <c r="M713" s="8"/>
      <c r="N713" s="4"/>
      <c r="O713" s="8"/>
      <c r="P713" s="4"/>
      <c r="Q713" s="8"/>
      <c r="R713" s="4"/>
      <c r="S713" s="8"/>
      <c r="T713" s="4"/>
      <c r="U713" s="8"/>
      <c r="V713" s="4"/>
      <c r="W713" s="8"/>
      <c r="X713" s="4"/>
      <c r="Y713" s="8"/>
      <c r="Z713" s="4"/>
      <c r="AA713" s="2"/>
      <c r="AB713" s="4"/>
      <c r="AC713" s="8"/>
      <c r="AD713" s="4"/>
    </row>
    <row r="714">
      <c r="B714" s="4"/>
      <c r="C714" s="4"/>
      <c r="D714" s="4"/>
      <c r="F714" s="4"/>
      <c r="G714" s="8"/>
      <c r="H714" s="4"/>
      <c r="I714" s="4"/>
      <c r="J714" s="4"/>
      <c r="K714" s="4"/>
      <c r="L714" s="4"/>
      <c r="M714" s="8"/>
      <c r="N714" s="4"/>
      <c r="O714" s="8"/>
      <c r="P714" s="4"/>
      <c r="Q714" s="8"/>
      <c r="R714" s="4"/>
      <c r="S714" s="8"/>
      <c r="T714" s="4"/>
      <c r="U714" s="8"/>
      <c r="V714" s="4"/>
      <c r="W714" s="8"/>
      <c r="X714" s="4"/>
      <c r="Y714" s="8"/>
      <c r="Z714" s="4"/>
      <c r="AA714" s="2"/>
      <c r="AB714" s="4"/>
      <c r="AC714" s="8"/>
      <c r="AD714" s="4"/>
    </row>
    <row r="715">
      <c r="B715" s="4"/>
      <c r="C715" s="4"/>
      <c r="D715" s="4"/>
      <c r="F715" s="4"/>
      <c r="G715" s="8"/>
      <c r="H715" s="4"/>
      <c r="I715" s="4"/>
      <c r="J715" s="4"/>
      <c r="K715" s="4"/>
      <c r="L715" s="4"/>
      <c r="M715" s="8"/>
      <c r="N715" s="4"/>
      <c r="O715" s="8"/>
      <c r="P715" s="4"/>
      <c r="Q715" s="8"/>
      <c r="R715" s="4"/>
      <c r="S715" s="8"/>
      <c r="T715" s="4"/>
      <c r="U715" s="8"/>
      <c r="V715" s="4"/>
      <c r="W715" s="8"/>
      <c r="X715" s="4"/>
      <c r="Y715" s="8"/>
      <c r="Z715" s="4"/>
      <c r="AA715" s="2"/>
      <c r="AB715" s="4"/>
      <c r="AC715" s="8"/>
      <c r="AD715" s="4"/>
    </row>
    <row r="716">
      <c r="B716" s="4"/>
      <c r="C716" s="4"/>
      <c r="D716" s="4"/>
      <c r="F716" s="4"/>
      <c r="G716" s="8"/>
      <c r="H716" s="4"/>
      <c r="I716" s="4"/>
      <c r="J716" s="4"/>
      <c r="K716" s="4"/>
      <c r="L716" s="4"/>
      <c r="M716" s="8"/>
      <c r="N716" s="4"/>
      <c r="O716" s="8"/>
      <c r="P716" s="4"/>
      <c r="Q716" s="8"/>
      <c r="R716" s="4"/>
      <c r="S716" s="8"/>
      <c r="T716" s="4"/>
      <c r="U716" s="8"/>
      <c r="V716" s="4"/>
      <c r="W716" s="8"/>
      <c r="X716" s="4"/>
      <c r="Y716" s="8"/>
      <c r="Z716" s="4"/>
      <c r="AA716" s="2"/>
      <c r="AB716" s="4"/>
      <c r="AC716" s="8"/>
      <c r="AD716" s="4"/>
    </row>
    <row r="717">
      <c r="B717" s="4"/>
      <c r="C717" s="4"/>
      <c r="D717" s="4"/>
      <c r="F717" s="4"/>
      <c r="G717" s="8"/>
      <c r="H717" s="4"/>
      <c r="I717" s="4"/>
      <c r="J717" s="4"/>
      <c r="K717" s="4"/>
      <c r="L717" s="4"/>
      <c r="M717" s="8"/>
      <c r="N717" s="4"/>
      <c r="O717" s="8"/>
      <c r="P717" s="4"/>
      <c r="Q717" s="8"/>
      <c r="R717" s="4"/>
      <c r="S717" s="8"/>
      <c r="T717" s="4"/>
      <c r="U717" s="8"/>
      <c r="V717" s="4"/>
      <c r="W717" s="8"/>
      <c r="X717" s="4"/>
      <c r="Y717" s="8"/>
      <c r="Z717" s="4"/>
      <c r="AA717" s="2"/>
      <c r="AB717" s="4"/>
      <c r="AC717" s="8"/>
      <c r="AD717" s="4"/>
    </row>
    <row r="718">
      <c r="B718" s="4"/>
      <c r="C718" s="4"/>
      <c r="D718" s="4"/>
      <c r="F718" s="4"/>
      <c r="G718" s="8"/>
      <c r="H718" s="4"/>
      <c r="I718" s="4"/>
      <c r="J718" s="4"/>
      <c r="K718" s="4"/>
      <c r="L718" s="4"/>
      <c r="M718" s="8"/>
      <c r="N718" s="4"/>
      <c r="O718" s="8"/>
      <c r="P718" s="4"/>
      <c r="Q718" s="8"/>
      <c r="R718" s="4"/>
      <c r="S718" s="8"/>
      <c r="T718" s="4"/>
      <c r="U718" s="8"/>
      <c r="V718" s="4"/>
      <c r="W718" s="8"/>
      <c r="X718" s="4"/>
      <c r="Y718" s="8"/>
      <c r="Z718" s="4"/>
      <c r="AA718" s="2"/>
      <c r="AB718" s="4"/>
      <c r="AC718" s="8"/>
      <c r="AD718" s="4"/>
    </row>
    <row r="719">
      <c r="B719" s="4"/>
      <c r="C719" s="4"/>
      <c r="D719" s="4"/>
      <c r="F719" s="4"/>
      <c r="G719" s="8"/>
      <c r="H719" s="4"/>
      <c r="I719" s="4"/>
      <c r="J719" s="4"/>
      <c r="K719" s="4"/>
      <c r="L719" s="4"/>
      <c r="M719" s="8"/>
      <c r="N719" s="4"/>
      <c r="O719" s="8"/>
      <c r="P719" s="4"/>
      <c r="Q719" s="8"/>
      <c r="R719" s="4"/>
      <c r="S719" s="8"/>
      <c r="T719" s="4"/>
      <c r="U719" s="8"/>
      <c r="V719" s="4"/>
      <c r="W719" s="8"/>
      <c r="X719" s="4"/>
      <c r="Y719" s="8"/>
      <c r="Z719" s="4"/>
      <c r="AA719" s="2"/>
      <c r="AB719" s="4"/>
      <c r="AC719" s="8"/>
      <c r="AD719" s="4"/>
    </row>
    <row r="720">
      <c r="B720" s="4"/>
      <c r="C720" s="4"/>
      <c r="D720" s="4"/>
      <c r="F720" s="4"/>
      <c r="G720" s="8"/>
      <c r="H720" s="4"/>
      <c r="I720" s="4"/>
      <c r="J720" s="4"/>
      <c r="K720" s="4"/>
      <c r="L720" s="4"/>
      <c r="M720" s="8"/>
      <c r="N720" s="4"/>
      <c r="O720" s="8"/>
      <c r="P720" s="4"/>
      <c r="Q720" s="8"/>
      <c r="R720" s="4"/>
      <c r="S720" s="8"/>
      <c r="T720" s="4"/>
      <c r="U720" s="8"/>
      <c r="V720" s="4"/>
      <c r="W720" s="8"/>
      <c r="X720" s="4"/>
      <c r="Y720" s="8"/>
      <c r="Z720" s="4"/>
      <c r="AA720" s="2"/>
      <c r="AB720" s="4"/>
      <c r="AC720" s="8"/>
      <c r="AD720" s="4"/>
    </row>
    <row r="721">
      <c r="B721" s="4"/>
      <c r="C721" s="4"/>
      <c r="D721" s="4"/>
      <c r="F721" s="4"/>
      <c r="G721" s="8"/>
      <c r="H721" s="4"/>
      <c r="I721" s="4"/>
      <c r="J721" s="4"/>
      <c r="K721" s="4"/>
      <c r="L721" s="4"/>
      <c r="M721" s="8"/>
      <c r="N721" s="4"/>
      <c r="O721" s="8"/>
      <c r="P721" s="4"/>
      <c r="Q721" s="8"/>
      <c r="R721" s="4"/>
      <c r="S721" s="8"/>
      <c r="T721" s="4"/>
      <c r="U721" s="8"/>
      <c r="V721" s="4"/>
      <c r="W721" s="8"/>
      <c r="X721" s="4"/>
      <c r="Y721" s="8"/>
      <c r="Z721" s="4"/>
      <c r="AA721" s="2"/>
      <c r="AB721" s="4"/>
      <c r="AC721" s="8"/>
      <c r="AD721" s="4"/>
    </row>
    <row r="722">
      <c r="B722" s="4"/>
      <c r="C722" s="4"/>
      <c r="D722" s="4"/>
      <c r="F722" s="4"/>
      <c r="G722" s="8"/>
      <c r="H722" s="4"/>
      <c r="I722" s="4"/>
      <c r="J722" s="4"/>
      <c r="K722" s="4"/>
      <c r="L722" s="4"/>
      <c r="M722" s="8"/>
      <c r="N722" s="4"/>
      <c r="O722" s="8"/>
      <c r="P722" s="4"/>
      <c r="Q722" s="8"/>
      <c r="R722" s="4"/>
      <c r="S722" s="8"/>
      <c r="T722" s="4"/>
      <c r="U722" s="8"/>
      <c r="V722" s="4"/>
      <c r="W722" s="8"/>
      <c r="X722" s="4"/>
      <c r="Y722" s="8"/>
      <c r="Z722" s="4"/>
      <c r="AA722" s="2"/>
      <c r="AB722" s="4"/>
      <c r="AC722" s="8"/>
      <c r="AD722" s="4"/>
    </row>
    <row r="723">
      <c r="B723" s="4"/>
      <c r="C723" s="4"/>
      <c r="D723" s="4"/>
      <c r="F723" s="4"/>
      <c r="G723" s="8"/>
      <c r="H723" s="4"/>
      <c r="I723" s="4"/>
      <c r="J723" s="4"/>
      <c r="K723" s="4"/>
      <c r="L723" s="4"/>
      <c r="M723" s="8"/>
      <c r="N723" s="4"/>
      <c r="O723" s="8"/>
      <c r="P723" s="4"/>
      <c r="Q723" s="8"/>
      <c r="R723" s="4"/>
      <c r="S723" s="8"/>
      <c r="T723" s="4"/>
      <c r="U723" s="8"/>
      <c r="V723" s="4"/>
      <c r="W723" s="8"/>
      <c r="X723" s="4"/>
      <c r="Y723" s="8"/>
      <c r="Z723" s="4"/>
      <c r="AA723" s="2"/>
      <c r="AB723" s="4"/>
      <c r="AC723" s="8"/>
      <c r="AD723" s="4"/>
    </row>
    <row r="724">
      <c r="B724" s="4"/>
      <c r="C724" s="4"/>
      <c r="D724" s="4"/>
      <c r="F724" s="4"/>
      <c r="G724" s="8"/>
      <c r="H724" s="4"/>
      <c r="I724" s="4"/>
      <c r="J724" s="4"/>
      <c r="K724" s="4"/>
      <c r="L724" s="4"/>
      <c r="M724" s="8"/>
      <c r="N724" s="4"/>
      <c r="O724" s="8"/>
      <c r="P724" s="4"/>
      <c r="Q724" s="8"/>
      <c r="R724" s="4"/>
      <c r="S724" s="8"/>
      <c r="T724" s="4"/>
      <c r="U724" s="8"/>
      <c r="V724" s="4"/>
      <c r="W724" s="8"/>
      <c r="X724" s="4"/>
      <c r="Y724" s="8"/>
      <c r="Z724" s="4"/>
      <c r="AA724" s="2"/>
      <c r="AB724" s="4"/>
      <c r="AC724" s="8"/>
      <c r="AD724" s="4"/>
    </row>
    <row r="725">
      <c r="B725" s="4"/>
      <c r="C725" s="4"/>
      <c r="D725" s="4"/>
      <c r="F725" s="4"/>
      <c r="G725" s="8"/>
      <c r="H725" s="4"/>
      <c r="I725" s="4"/>
      <c r="J725" s="4"/>
      <c r="K725" s="4"/>
      <c r="L725" s="4"/>
      <c r="M725" s="8"/>
      <c r="N725" s="4"/>
      <c r="O725" s="8"/>
      <c r="P725" s="4"/>
      <c r="Q725" s="8"/>
      <c r="R725" s="4"/>
      <c r="S725" s="8"/>
      <c r="T725" s="4"/>
      <c r="U725" s="8"/>
      <c r="V725" s="4"/>
      <c r="W725" s="8"/>
      <c r="X725" s="4"/>
      <c r="Y725" s="8"/>
      <c r="Z725" s="4"/>
      <c r="AA725" s="2"/>
      <c r="AB725" s="4"/>
      <c r="AC725" s="8"/>
      <c r="AD725" s="4"/>
    </row>
    <row r="726">
      <c r="B726" s="4"/>
      <c r="C726" s="4"/>
      <c r="D726" s="4"/>
      <c r="F726" s="4"/>
      <c r="G726" s="8"/>
      <c r="H726" s="4"/>
      <c r="I726" s="4"/>
      <c r="J726" s="4"/>
      <c r="K726" s="4"/>
      <c r="L726" s="4"/>
      <c r="M726" s="8"/>
      <c r="N726" s="4"/>
      <c r="O726" s="8"/>
      <c r="P726" s="4"/>
      <c r="Q726" s="8"/>
      <c r="R726" s="4"/>
      <c r="S726" s="8"/>
      <c r="T726" s="4"/>
      <c r="U726" s="8"/>
      <c r="V726" s="4"/>
      <c r="W726" s="8"/>
      <c r="X726" s="4"/>
      <c r="Y726" s="8"/>
      <c r="Z726" s="4"/>
      <c r="AA726" s="2"/>
      <c r="AB726" s="4"/>
      <c r="AC726" s="8"/>
      <c r="AD726" s="4"/>
    </row>
    <row r="727">
      <c r="B727" s="4"/>
      <c r="C727" s="4"/>
      <c r="D727" s="4"/>
      <c r="F727" s="4"/>
      <c r="G727" s="8"/>
      <c r="H727" s="4"/>
      <c r="I727" s="4"/>
      <c r="J727" s="4"/>
      <c r="K727" s="4"/>
      <c r="L727" s="4"/>
      <c r="M727" s="8"/>
      <c r="N727" s="4"/>
      <c r="O727" s="8"/>
      <c r="P727" s="4"/>
      <c r="Q727" s="8"/>
      <c r="R727" s="4"/>
      <c r="S727" s="8"/>
      <c r="T727" s="4"/>
      <c r="U727" s="8"/>
      <c r="V727" s="4"/>
      <c r="W727" s="8"/>
      <c r="X727" s="4"/>
      <c r="Y727" s="8"/>
      <c r="Z727" s="4"/>
      <c r="AA727" s="2"/>
      <c r="AB727" s="4"/>
      <c r="AC727" s="8"/>
      <c r="AD727" s="4"/>
    </row>
    <row r="728">
      <c r="B728" s="4"/>
      <c r="C728" s="4"/>
      <c r="D728" s="4"/>
      <c r="F728" s="4"/>
      <c r="G728" s="8"/>
      <c r="H728" s="4"/>
      <c r="I728" s="4"/>
      <c r="J728" s="4"/>
      <c r="K728" s="4"/>
      <c r="L728" s="4"/>
      <c r="M728" s="8"/>
      <c r="N728" s="4"/>
      <c r="O728" s="8"/>
      <c r="P728" s="4"/>
      <c r="Q728" s="8"/>
      <c r="R728" s="4"/>
      <c r="S728" s="8"/>
      <c r="T728" s="4"/>
      <c r="U728" s="8"/>
      <c r="V728" s="4"/>
      <c r="W728" s="8"/>
      <c r="X728" s="4"/>
      <c r="Y728" s="8"/>
      <c r="Z728" s="4"/>
      <c r="AA728" s="2"/>
      <c r="AB728" s="4"/>
      <c r="AC728" s="8"/>
      <c r="AD728" s="4"/>
    </row>
    <row r="729">
      <c r="B729" s="4"/>
      <c r="C729" s="4"/>
      <c r="D729" s="4"/>
      <c r="F729" s="4"/>
      <c r="G729" s="8"/>
      <c r="H729" s="4"/>
      <c r="I729" s="4"/>
      <c r="J729" s="4"/>
      <c r="K729" s="4"/>
      <c r="L729" s="4"/>
      <c r="M729" s="8"/>
      <c r="N729" s="4"/>
      <c r="O729" s="8"/>
      <c r="P729" s="4"/>
      <c r="Q729" s="8"/>
      <c r="R729" s="4"/>
      <c r="S729" s="8"/>
      <c r="T729" s="4"/>
      <c r="U729" s="8"/>
      <c r="V729" s="4"/>
      <c r="W729" s="8"/>
      <c r="X729" s="4"/>
      <c r="Y729" s="8"/>
      <c r="Z729" s="4"/>
      <c r="AA729" s="2"/>
      <c r="AB729" s="4"/>
      <c r="AC729" s="8"/>
      <c r="AD729" s="4"/>
    </row>
    <row r="730">
      <c r="B730" s="4"/>
      <c r="C730" s="4"/>
      <c r="D730" s="4"/>
      <c r="F730" s="4"/>
      <c r="G730" s="8"/>
      <c r="H730" s="4"/>
      <c r="I730" s="4"/>
      <c r="J730" s="4"/>
      <c r="K730" s="4"/>
      <c r="L730" s="4"/>
      <c r="M730" s="8"/>
      <c r="N730" s="4"/>
      <c r="O730" s="8"/>
      <c r="P730" s="4"/>
      <c r="Q730" s="8"/>
      <c r="R730" s="4"/>
      <c r="S730" s="8"/>
      <c r="T730" s="4"/>
      <c r="U730" s="8"/>
      <c r="V730" s="4"/>
      <c r="W730" s="8"/>
      <c r="X730" s="4"/>
      <c r="Y730" s="8"/>
      <c r="Z730" s="4"/>
      <c r="AA730" s="2"/>
      <c r="AB730" s="4"/>
      <c r="AC730" s="8"/>
      <c r="AD730" s="4"/>
    </row>
    <row r="731">
      <c r="B731" s="4"/>
      <c r="C731" s="4"/>
      <c r="D731" s="4"/>
      <c r="F731" s="4"/>
      <c r="G731" s="8"/>
      <c r="H731" s="4"/>
      <c r="I731" s="4"/>
      <c r="J731" s="4"/>
      <c r="K731" s="4"/>
      <c r="L731" s="4"/>
      <c r="M731" s="8"/>
      <c r="N731" s="4"/>
      <c r="O731" s="8"/>
      <c r="P731" s="4"/>
      <c r="Q731" s="8"/>
      <c r="R731" s="4"/>
      <c r="S731" s="8"/>
      <c r="T731" s="4"/>
      <c r="U731" s="8"/>
      <c r="V731" s="4"/>
      <c r="W731" s="8"/>
      <c r="X731" s="4"/>
      <c r="Y731" s="8"/>
      <c r="Z731" s="4"/>
      <c r="AA731" s="2"/>
      <c r="AB731" s="4"/>
      <c r="AC731" s="8"/>
      <c r="AD731" s="4"/>
    </row>
    <row r="732">
      <c r="B732" s="4"/>
      <c r="C732" s="4"/>
      <c r="D732" s="4"/>
      <c r="F732" s="4"/>
      <c r="G732" s="8"/>
      <c r="H732" s="4"/>
      <c r="I732" s="4"/>
      <c r="J732" s="4"/>
      <c r="K732" s="4"/>
      <c r="L732" s="4"/>
      <c r="M732" s="8"/>
      <c r="N732" s="4"/>
      <c r="O732" s="8"/>
      <c r="P732" s="4"/>
      <c r="Q732" s="8"/>
      <c r="R732" s="4"/>
      <c r="S732" s="8"/>
      <c r="T732" s="4"/>
      <c r="U732" s="8"/>
      <c r="V732" s="4"/>
      <c r="W732" s="8"/>
      <c r="X732" s="4"/>
      <c r="Y732" s="8"/>
      <c r="Z732" s="4"/>
      <c r="AA732" s="2"/>
      <c r="AB732" s="4"/>
      <c r="AC732" s="8"/>
      <c r="AD732" s="4"/>
    </row>
    <row r="733">
      <c r="B733" s="4"/>
      <c r="C733" s="4"/>
      <c r="D733" s="4"/>
      <c r="F733" s="4"/>
      <c r="G733" s="8"/>
      <c r="H733" s="4"/>
      <c r="I733" s="4"/>
      <c r="J733" s="4"/>
      <c r="K733" s="4"/>
      <c r="L733" s="4"/>
      <c r="M733" s="8"/>
      <c r="N733" s="4"/>
      <c r="O733" s="8"/>
      <c r="P733" s="4"/>
      <c r="Q733" s="8"/>
      <c r="R733" s="4"/>
      <c r="S733" s="8"/>
      <c r="T733" s="4"/>
      <c r="U733" s="8"/>
      <c r="V733" s="4"/>
      <c r="W733" s="8"/>
      <c r="X733" s="4"/>
      <c r="Y733" s="8"/>
      <c r="Z733" s="4"/>
      <c r="AA733" s="2"/>
      <c r="AB733" s="4"/>
      <c r="AC733" s="8"/>
      <c r="AD733" s="4"/>
    </row>
    <row r="734">
      <c r="B734" s="4"/>
      <c r="C734" s="4"/>
      <c r="D734" s="4"/>
      <c r="F734" s="4"/>
      <c r="G734" s="8"/>
      <c r="H734" s="4"/>
      <c r="I734" s="4"/>
      <c r="J734" s="4"/>
      <c r="K734" s="4"/>
      <c r="L734" s="4"/>
      <c r="M734" s="8"/>
      <c r="N734" s="4"/>
      <c r="O734" s="8"/>
      <c r="P734" s="4"/>
      <c r="Q734" s="8"/>
      <c r="R734" s="4"/>
      <c r="S734" s="8"/>
      <c r="T734" s="4"/>
      <c r="U734" s="8"/>
      <c r="V734" s="4"/>
      <c r="W734" s="8"/>
      <c r="X734" s="4"/>
      <c r="Y734" s="8"/>
      <c r="Z734" s="4"/>
      <c r="AA734" s="2"/>
      <c r="AB734" s="4"/>
      <c r="AC734" s="8"/>
      <c r="AD734" s="4"/>
    </row>
    <row r="735">
      <c r="B735" s="4"/>
      <c r="C735" s="4"/>
      <c r="D735" s="4"/>
      <c r="F735" s="4"/>
      <c r="G735" s="8"/>
      <c r="H735" s="4"/>
      <c r="I735" s="4"/>
      <c r="J735" s="4"/>
      <c r="K735" s="4"/>
      <c r="L735" s="4"/>
      <c r="M735" s="8"/>
      <c r="N735" s="4"/>
      <c r="O735" s="8"/>
      <c r="P735" s="4"/>
      <c r="Q735" s="8"/>
      <c r="R735" s="4"/>
      <c r="S735" s="8"/>
      <c r="T735" s="4"/>
      <c r="U735" s="8"/>
      <c r="V735" s="4"/>
      <c r="W735" s="8"/>
      <c r="X735" s="4"/>
      <c r="Y735" s="8"/>
      <c r="Z735" s="4"/>
      <c r="AA735" s="2"/>
      <c r="AB735" s="4"/>
      <c r="AC735" s="8"/>
      <c r="AD735" s="4"/>
    </row>
    <row r="736">
      <c r="B736" s="4"/>
      <c r="C736" s="4"/>
      <c r="D736" s="4"/>
      <c r="F736" s="4"/>
      <c r="G736" s="8"/>
      <c r="H736" s="4"/>
      <c r="I736" s="4"/>
      <c r="J736" s="4"/>
      <c r="K736" s="4"/>
      <c r="L736" s="4"/>
      <c r="M736" s="8"/>
      <c r="N736" s="4"/>
      <c r="O736" s="8"/>
      <c r="P736" s="4"/>
      <c r="Q736" s="8"/>
      <c r="R736" s="4"/>
      <c r="S736" s="8"/>
      <c r="T736" s="4"/>
      <c r="U736" s="8"/>
      <c r="V736" s="4"/>
      <c r="W736" s="8"/>
      <c r="X736" s="4"/>
      <c r="Y736" s="8"/>
      <c r="Z736" s="4"/>
      <c r="AA736" s="2"/>
      <c r="AB736" s="4"/>
      <c r="AC736" s="8"/>
      <c r="AD736" s="4"/>
    </row>
    <row r="737">
      <c r="B737" s="4"/>
      <c r="C737" s="4"/>
      <c r="D737" s="4"/>
      <c r="F737" s="4"/>
      <c r="G737" s="8"/>
      <c r="H737" s="4"/>
      <c r="I737" s="4"/>
      <c r="J737" s="4"/>
      <c r="K737" s="4"/>
      <c r="L737" s="4"/>
      <c r="M737" s="8"/>
      <c r="N737" s="4"/>
      <c r="O737" s="8"/>
      <c r="P737" s="4"/>
      <c r="Q737" s="8"/>
      <c r="R737" s="4"/>
      <c r="S737" s="8"/>
      <c r="T737" s="4"/>
      <c r="U737" s="8"/>
      <c r="V737" s="4"/>
      <c r="W737" s="8"/>
      <c r="X737" s="4"/>
      <c r="Y737" s="8"/>
      <c r="Z737" s="4"/>
      <c r="AA737" s="2"/>
      <c r="AB737" s="4"/>
      <c r="AC737" s="8"/>
      <c r="AD737" s="4"/>
    </row>
    <row r="738">
      <c r="B738" s="4"/>
      <c r="C738" s="4"/>
      <c r="D738" s="4"/>
      <c r="F738" s="4"/>
      <c r="G738" s="8"/>
      <c r="H738" s="4"/>
      <c r="I738" s="4"/>
      <c r="J738" s="4"/>
      <c r="K738" s="4"/>
      <c r="L738" s="4"/>
      <c r="M738" s="8"/>
      <c r="N738" s="4"/>
      <c r="O738" s="8"/>
      <c r="P738" s="4"/>
      <c r="Q738" s="8"/>
      <c r="R738" s="4"/>
      <c r="S738" s="8"/>
      <c r="T738" s="4"/>
      <c r="U738" s="8"/>
      <c r="V738" s="4"/>
      <c r="W738" s="8"/>
      <c r="X738" s="4"/>
      <c r="Y738" s="8"/>
      <c r="Z738" s="4"/>
      <c r="AA738" s="2"/>
      <c r="AB738" s="4"/>
      <c r="AC738" s="8"/>
      <c r="AD738" s="4"/>
    </row>
    <row r="739">
      <c r="B739" s="4"/>
      <c r="C739" s="4"/>
      <c r="D739" s="4"/>
      <c r="F739" s="4"/>
      <c r="G739" s="8"/>
      <c r="H739" s="4"/>
      <c r="I739" s="4"/>
      <c r="J739" s="4"/>
      <c r="K739" s="4"/>
      <c r="L739" s="4"/>
      <c r="M739" s="8"/>
      <c r="N739" s="4"/>
      <c r="O739" s="8"/>
      <c r="P739" s="4"/>
      <c r="Q739" s="8"/>
      <c r="R739" s="4"/>
      <c r="S739" s="8"/>
      <c r="T739" s="4"/>
      <c r="U739" s="8"/>
      <c r="V739" s="4"/>
      <c r="W739" s="8"/>
      <c r="X739" s="4"/>
      <c r="Y739" s="8"/>
      <c r="Z739" s="4"/>
      <c r="AA739" s="2"/>
      <c r="AB739" s="4"/>
      <c r="AC739" s="8"/>
      <c r="AD739" s="4"/>
    </row>
    <row r="740">
      <c r="B740" s="4"/>
      <c r="C740" s="4"/>
      <c r="D740" s="4"/>
      <c r="F740" s="4"/>
      <c r="G740" s="8"/>
      <c r="H740" s="4"/>
      <c r="I740" s="4"/>
      <c r="J740" s="4"/>
      <c r="K740" s="4"/>
      <c r="L740" s="4"/>
      <c r="M740" s="8"/>
      <c r="N740" s="4"/>
      <c r="O740" s="8"/>
      <c r="P740" s="4"/>
      <c r="Q740" s="8"/>
      <c r="R740" s="4"/>
      <c r="S740" s="8"/>
      <c r="T740" s="4"/>
      <c r="U740" s="8"/>
      <c r="V740" s="4"/>
      <c r="W740" s="8"/>
      <c r="X740" s="4"/>
      <c r="Y740" s="8"/>
      <c r="Z740" s="4"/>
      <c r="AA740" s="2"/>
      <c r="AB740" s="4"/>
      <c r="AC740" s="8"/>
      <c r="AD740" s="4"/>
    </row>
    <row r="741">
      <c r="B741" s="4"/>
      <c r="C741" s="4"/>
      <c r="D741" s="4"/>
      <c r="F741" s="4"/>
      <c r="G741" s="8"/>
      <c r="H741" s="4"/>
      <c r="I741" s="4"/>
      <c r="J741" s="4"/>
      <c r="K741" s="4"/>
      <c r="L741" s="4"/>
      <c r="M741" s="8"/>
      <c r="N741" s="4"/>
      <c r="O741" s="8"/>
      <c r="P741" s="4"/>
      <c r="Q741" s="8"/>
      <c r="R741" s="4"/>
      <c r="S741" s="8"/>
      <c r="T741" s="4"/>
      <c r="U741" s="8"/>
      <c r="V741" s="4"/>
      <c r="W741" s="8"/>
      <c r="X741" s="4"/>
      <c r="Y741" s="8"/>
      <c r="Z741" s="4"/>
      <c r="AA741" s="2"/>
      <c r="AB741" s="4"/>
      <c r="AC741" s="8"/>
      <c r="AD741" s="4"/>
    </row>
    <row r="742">
      <c r="B742" s="4"/>
      <c r="C742" s="4"/>
      <c r="D742" s="4"/>
      <c r="F742" s="4"/>
      <c r="G742" s="8"/>
      <c r="H742" s="4"/>
      <c r="I742" s="4"/>
      <c r="J742" s="4"/>
      <c r="K742" s="4"/>
      <c r="L742" s="4"/>
      <c r="M742" s="8"/>
      <c r="N742" s="4"/>
      <c r="O742" s="8"/>
      <c r="P742" s="4"/>
      <c r="Q742" s="8"/>
      <c r="R742" s="4"/>
      <c r="S742" s="8"/>
      <c r="T742" s="4"/>
      <c r="U742" s="8"/>
      <c r="V742" s="4"/>
      <c r="W742" s="8"/>
      <c r="X742" s="4"/>
      <c r="Y742" s="8"/>
      <c r="Z742" s="4"/>
      <c r="AA742" s="2"/>
      <c r="AB742" s="4"/>
      <c r="AC742" s="8"/>
      <c r="AD742" s="4"/>
    </row>
    <row r="743">
      <c r="B743" s="4"/>
      <c r="C743" s="4"/>
      <c r="D743" s="4"/>
      <c r="F743" s="4"/>
      <c r="G743" s="8"/>
      <c r="H743" s="4"/>
      <c r="I743" s="4"/>
      <c r="J743" s="4"/>
      <c r="K743" s="4"/>
      <c r="L743" s="4"/>
      <c r="M743" s="8"/>
      <c r="N743" s="4"/>
      <c r="O743" s="8"/>
      <c r="P743" s="4"/>
      <c r="Q743" s="8"/>
      <c r="R743" s="4"/>
      <c r="S743" s="8"/>
      <c r="T743" s="4"/>
      <c r="U743" s="8"/>
      <c r="V743" s="4"/>
      <c r="W743" s="8"/>
      <c r="X743" s="4"/>
      <c r="Y743" s="8"/>
      <c r="Z743" s="4"/>
      <c r="AA743" s="2"/>
      <c r="AB743" s="4"/>
      <c r="AC743" s="8"/>
      <c r="AD743" s="4"/>
    </row>
    <row r="744">
      <c r="B744" s="4"/>
      <c r="C744" s="4"/>
      <c r="D744" s="4"/>
      <c r="F744" s="4"/>
      <c r="G744" s="8"/>
      <c r="H744" s="4"/>
      <c r="I744" s="4"/>
      <c r="J744" s="4"/>
      <c r="K744" s="4"/>
      <c r="L744" s="4"/>
      <c r="M744" s="8"/>
      <c r="N744" s="4"/>
      <c r="O744" s="8"/>
      <c r="P744" s="4"/>
      <c r="Q744" s="8"/>
      <c r="R744" s="4"/>
      <c r="S744" s="8"/>
      <c r="T744" s="4"/>
      <c r="U744" s="8"/>
      <c r="V744" s="4"/>
      <c r="W744" s="8"/>
      <c r="X744" s="4"/>
      <c r="Y744" s="8"/>
      <c r="Z744" s="4"/>
      <c r="AA744" s="2"/>
      <c r="AB744" s="4"/>
      <c r="AC744" s="8"/>
      <c r="AD744" s="4"/>
    </row>
    <row r="745">
      <c r="B745" s="4"/>
      <c r="C745" s="4"/>
      <c r="D745" s="4"/>
      <c r="F745" s="4"/>
      <c r="G745" s="8"/>
      <c r="H745" s="4"/>
      <c r="I745" s="4"/>
      <c r="J745" s="4"/>
      <c r="K745" s="4"/>
      <c r="L745" s="4"/>
      <c r="M745" s="8"/>
      <c r="N745" s="4"/>
      <c r="O745" s="8"/>
      <c r="P745" s="4"/>
      <c r="Q745" s="8"/>
      <c r="R745" s="4"/>
      <c r="S745" s="8"/>
      <c r="T745" s="4"/>
      <c r="U745" s="8"/>
      <c r="V745" s="4"/>
      <c r="W745" s="8"/>
      <c r="X745" s="4"/>
      <c r="Y745" s="8"/>
      <c r="Z745" s="4"/>
      <c r="AA745" s="2"/>
      <c r="AB745" s="4"/>
      <c r="AC745" s="8"/>
      <c r="AD745" s="4"/>
    </row>
    <row r="746">
      <c r="B746" s="4"/>
      <c r="C746" s="4"/>
      <c r="D746" s="4"/>
      <c r="F746" s="4"/>
      <c r="G746" s="8"/>
      <c r="H746" s="4"/>
      <c r="I746" s="4"/>
      <c r="J746" s="4"/>
      <c r="K746" s="4"/>
      <c r="L746" s="4"/>
      <c r="M746" s="8"/>
      <c r="N746" s="4"/>
      <c r="O746" s="8"/>
      <c r="P746" s="4"/>
      <c r="Q746" s="8"/>
      <c r="R746" s="4"/>
      <c r="S746" s="8"/>
      <c r="T746" s="4"/>
      <c r="U746" s="8"/>
      <c r="V746" s="4"/>
      <c r="W746" s="8"/>
      <c r="X746" s="4"/>
      <c r="Y746" s="8"/>
      <c r="Z746" s="4"/>
      <c r="AA746" s="2"/>
      <c r="AB746" s="4"/>
      <c r="AC746" s="8"/>
      <c r="AD746" s="4"/>
    </row>
    <row r="747">
      <c r="B747" s="4"/>
      <c r="C747" s="4"/>
      <c r="D747" s="4"/>
      <c r="F747" s="4"/>
      <c r="G747" s="8"/>
      <c r="H747" s="4"/>
      <c r="I747" s="4"/>
      <c r="J747" s="4"/>
      <c r="K747" s="4"/>
      <c r="L747" s="4"/>
      <c r="M747" s="8"/>
      <c r="N747" s="4"/>
      <c r="O747" s="8"/>
      <c r="P747" s="4"/>
      <c r="Q747" s="8"/>
      <c r="R747" s="4"/>
      <c r="S747" s="8"/>
      <c r="T747" s="4"/>
      <c r="U747" s="8"/>
      <c r="V747" s="4"/>
      <c r="W747" s="8"/>
      <c r="X747" s="4"/>
      <c r="Y747" s="8"/>
      <c r="Z747" s="4"/>
      <c r="AA747" s="2"/>
      <c r="AB747" s="4"/>
      <c r="AC747" s="8"/>
      <c r="AD747" s="4"/>
    </row>
    <row r="748">
      <c r="B748" s="4"/>
      <c r="C748" s="4"/>
      <c r="D748" s="4"/>
      <c r="F748" s="4"/>
      <c r="G748" s="8"/>
      <c r="H748" s="4"/>
      <c r="I748" s="4"/>
      <c r="J748" s="4"/>
      <c r="K748" s="4"/>
      <c r="L748" s="4"/>
      <c r="M748" s="8"/>
      <c r="N748" s="4"/>
      <c r="O748" s="8"/>
      <c r="P748" s="4"/>
      <c r="Q748" s="8"/>
      <c r="R748" s="4"/>
      <c r="S748" s="8"/>
      <c r="T748" s="4"/>
      <c r="U748" s="8"/>
      <c r="V748" s="4"/>
      <c r="W748" s="8"/>
      <c r="X748" s="4"/>
      <c r="Y748" s="8"/>
      <c r="Z748" s="4"/>
      <c r="AA748" s="2"/>
      <c r="AB748" s="4"/>
      <c r="AC748" s="8"/>
      <c r="AD748" s="4"/>
    </row>
    <row r="749">
      <c r="B749" s="4"/>
      <c r="C749" s="4"/>
      <c r="D749" s="4"/>
      <c r="F749" s="4"/>
      <c r="G749" s="8"/>
      <c r="H749" s="4"/>
      <c r="I749" s="4"/>
      <c r="J749" s="4"/>
      <c r="K749" s="4"/>
      <c r="L749" s="4"/>
      <c r="M749" s="8"/>
      <c r="N749" s="4"/>
      <c r="O749" s="8"/>
      <c r="P749" s="4"/>
      <c r="Q749" s="8"/>
      <c r="R749" s="4"/>
      <c r="S749" s="8"/>
      <c r="T749" s="4"/>
      <c r="U749" s="8"/>
      <c r="V749" s="4"/>
      <c r="W749" s="8"/>
      <c r="X749" s="4"/>
      <c r="Y749" s="8"/>
      <c r="Z749" s="4"/>
      <c r="AA749" s="2"/>
      <c r="AB749" s="4"/>
      <c r="AC749" s="8"/>
      <c r="AD749" s="4"/>
    </row>
    <row r="750">
      <c r="B750" s="4"/>
      <c r="C750" s="4"/>
      <c r="D750" s="4"/>
      <c r="F750" s="4"/>
      <c r="G750" s="8"/>
      <c r="H750" s="4"/>
      <c r="I750" s="4"/>
      <c r="J750" s="4"/>
      <c r="K750" s="4"/>
      <c r="L750" s="4"/>
      <c r="M750" s="8"/>
      <c r="N750" s="4"/>
      <c r="O750" s="8"/>
      <c r="P750" s="4"/>
      <c r="Q750" s="8"/>
      <c r="R750" s="4"/>
      <c r="S750" s="8"/>
      <c r="T750" s="4"/>
      <c r="U750" s="8"/>
      <c r="V750" s="4"/>
      <c r="W750" s="8"/>
      <c r="X750" s="4"/>
      <c r="Y750" s="8"/>
      <c r="Z750" s="4"/>
      <c r="AA750" s="2"/>
      <c r="AB750" s="4"/>
      <c r="AC750" s="8"/>
      <c r="AD750" s="4"/>
    </row>
    <row r="751">
      <c r="B751" s="4"/>
      <c r="C751" s="4"/>
      <c r="D751" s="4"/>
      <c r="F751" s="4"/>
      <c r="G751" s="8"/>
      <c r="H751" s="4"/>
      <c r="I751" s="4"/>
      <c r="J751" s="4"/>
      <c r="K751" s="4"/>
      <c r="L751" s="4"/>
      <c r="M751" s="8"/>
      <c r="N751" s="4"/>
      <c r="O751" s="8"/>
      <c r="P751" s="4"/>
      <c r="Q751" s="8"/>
      <c r="R751" s="4"/>
      <c r="S751" s="8"/>
      <c r="T751" s="4"/>
      <c r="U751" s="8"/>
      <c r="V751" s="4"/>
      <c r="W751" s="8"/>
      <c r="X751" s="4"/>
      <c r="Y751" s="8"/>
      <c r="Z751" s="4"/>
      <c r="AA751" s="2"/>
      <c r="AB751" s="4"/>
      <c r="AC751" s="8"/>
      <c r="AD751" s="4"/>
    </row>
    <row r="752">
      <c r="B752" s="4"/>
      <c r="C752" s="4"/>
      <c r="D752" s="4"/>
      <c r="F752" s="4"/>
      <c r="G752" s="8"/>
      <c r="H752" s="4"/>
      <c r="I752" s="4"/>
      <c r="J752" s="4"/>
      <c r="K752" s="4"/>
      <c r="L752" s="4"/>
      <c r="M752" s="8"/>
      <c r="N752" s="4"/>
      <c r="O752" s="8"/>
      <c r="P752" s="4"/>
      <c r="Q752" s="8"/>
      <c r="R752" s="4"/>
      <c r="S752" s="8"/>
      <c r="T752" s="4"/>
      <c r="U752" s="8"/>
      <c r="V752" s="4"/>
      <c r="W752" s="8"/>
      <c r="X752" s="4"/>
      <c r="Y752" s="8"/>
      <c r="Z752" s="4"/>
      <c r="AA752" s="2"/>
      <c r="AB752" s="4"/>
      <c r="AC752" s="8"/>
      <c r="AD752" s="4"/>
    </row>
    <row r="753">
      <c r="B753" s="4"/>
      <c r="C753" s="4"/>
      <c r="D753" s="4"/>
      <c r="F753" s="4"/>
      <c r="G753" s="8"/>
      <c r="H753" s="4"/>
      <c r="I753" s="4"/>
      <c r="J753" s="4"/>
      <c r="K753" s="4"/>
      <c r="L753" s="4"/>
      <c r="M753" s="8"/>
      <c r="N753" s="4"/>
      <c r="O753" s="8"/>
      <c r="P753" s="4"/>
      <c r="Q753" s="8"/>
      <c r="R753" s="4"/>
      <c r="S753" s="8"/>
      <c r="T753" s="4"/>
      <c r="U753" s="8"/>
      <c r="V753" s="4"/>
      <c r="W753" s="8"/>
      <c r="X753" s="4"/>
      <c r="Y753" s="8"/>
      <c r="Z753" s="4"/>
      <c r="AA753" s="2"/>
      <c r="AB753" s="4"/>
      <c r="AC753" s="8"/>
      <c r="AD753" s="4"/>
    </row>
    <row r="754">
      <c r="B754" s="4"/>
      <c r="C754" s="4"/>
      <c r="D754" s="4"/>
      <c r="F754" s="4"/>
      <c r="G754" s="8"/>
      <c r="H754" s="4"/>
      <c r="I754" s="4"/>
      <c r="J754" s="4"/>
      <c r="K754" s="4"/>
      <c r="L754" s="4"/>
      <c r="M754" s="8"/>
      <c r="N754" s="4"/>
      <c r="O754" s="8"/>
      <c r="P754" s="4"/>
      <c r="Q754" s="8"/>
      <c r="R754" s="4"/>
      <c r="S754" s="8"/>
      <c r="T754" s="4"/>
      <c r="U754" s="8"/>
      <c r="V754" s="4"/>
      <c r="W754" s="8"/>
      <c r="X754" s="4"/>
      <c r="Y754" s="8"/>
      <c r="Z754" s="4"/>
      <c r="AA754" s="2"/>
      <c r="AB754" s="4"/>
      <c r="AC754" s="8"/>
      <c r="AD754" s="4"/>
    </row>
    <row r="755">
      <c r="B755" s="4"/>
      <c r="C755" s="4"/>
      <c r="D755" s="4"/>
      <c r="F755" s="4"/>
      <c r="G755" s="8"/>
      <c r="H755" s="4"/>
      <c r="I755" s="4"/>
      <c r="J755" s="4"/>
      <c r="K755" s="4"/>
      <c r="L755" s="4"/>
      <c r="M755" s="8"/>
      <c r="N755" s="4"/>
      <c r="O755" s="8"/>
      <c r="P755" s="4"/>
      <c r="Q755" s="8"/>
      <c r="R755" s="4"/>
      <c r="S755" s="8"/>
      <c r="T755" s="4"/>
      <c r="U755" s="8"/>
      <c r="V755" s="4"/>
      <c r="W755" s="8"/>
      <c r="X755" s="4"/>
      <c r="Y755" s="8"/>
      <c r="Z755" s="4"/>
      <c r="AA755" s="2"/>
      <c r="AB755" s="4"/>
      <c r="AC755" s="8"/>
      <c r="AD755" s="4"/>
    </row>
    <row r="756">
      <c r="B756" s="4"/>
      <c r="C756" s="4"/>
      <c r="D756" s="4"/>
      <c r="F756" s="4"/>
      <c r="G756" s="8"/>
      <c r="H756" s="4"/>
      <c r="I756" s="4"/>
      <c r="J756" s="4"/>
      <c r="K756" s="4"/>
      <c r="L756" s="4"/>
      <c r="M756" s="8"/>
      <c r="N756" s="4"/>
      <c r="O756" s="8"/>
      <c r="P756" s="4"/>
      <c r="Q756" s="8"/>
      <c r="R756" s="4"/>
      <c r="S756" s="8"/>
      <c r="T756" s="4"/>
      <c r="U756" s="8"/>
      <c r="V756" s="4"/>
      <c r="W756" s="8"/>
      <c r="X756" s="4"/>
      <c r="Y756" s="8"/>
      <c r="Z756" s="4"/>
      <c r="AA756" s="2"/>
      <c r="AB756" s="4"/>
      <c r="AC756" s="8"/>
      <c r="AD756" s="4"/>
    </row>
    <row r="757">
      <c r="B757" s="4"/>
      <c r="C757" s="4"/>
      <c r="D757" s="4"/>
      <c r="F757" s="4"/>
      <c r="G757" s="8"/>
      <c r="H757" s="4"/>
      <c r="I757" s="4"/>
      <c r="J757" s="4"/>
      <c r="K757" s="4"/>
      <c r="L757" s="4"/>
      <c r="M757" s="8"/>
      <c r="N757" s="4"/>
      <c r="O757" s="8"/>
      <c r="P757" s="4"/>
      <c r="Q757" s="8"/>
      <c r="R757" s="4"/>
      <c r="S757" s="8"/>
      <c r="T757" s="4"/>
      <c r="U757" s="8"/>
      <c r="V757" s="4"/>
      <c r="W757" s="8"/>
      <c r="X757" s="4"/>
      <c r="Y757" s="8"/>
      <c r="Z757" s="4"/>
      <c r="AA757" s="2"/>
      <c r="AB757" s="4"/>
      <c r="AC757" s="8"/>
      <c r="AD757" s="4"/>
    </row>
    <row r="758">
      <c r="B758" s="4"/>
      <c r="C758" s="4"/>
      <c r="D758" s="4"/>
      <c r="F758" s="4"/>
      <c r="G758" s="8"/>
      <c r="H758" s="4"/>
      <c r="I758" s="4"/>
      <c r="J758" s="4"/>
      <c r="K758" s="4"/>
      <c r="L758" s="4"/>
      <c r="M758" s="8"/>
      <c r="N758" s="4"/>
      <c r="O758" s="8"/>
      <c r="P758" s="4"/>
      <c r="Q758" s="8"/>
      <c r="R758" s="4"/>
      <c r="S758" s="8"/>
      <c r="T758" s="4"/>
      <c r="U758" s="8"/>
      <c r="V758" s="4"/>
      <c r="W758" s="8"/>
      <c r="X758" s="4"/>
      <c r="Y758" s="8"/>
      <c r="Z758" s="4"/>
      <c r="AA758" s="2"/>
      <c r="AB758" s="4"/>
      <c r="AC758" s="8"/>
      <c r="AD758" s="4"/>
    </row>
    <row r="759">
      <c r="B759" s="4"/>
      <c r="C759" s="4"/>
      <c r="D759" s="4"/>
      <c r="F759" s="4"/>
      <c r="G759" s="8"/>
      <c r="H759" s="4"/>
      <c r="I759" s="4"/>
      <c r="J759" s="4"/>
      <c r="K759" s="4"/>
      <c r="L759" s="4"/>
      <c r="M759" s="8"/>
      <c r="N759" s="4"/>
      <c r="O759" s="8"/>
      <c r="P759" s="4"/>
      <c r="Q759" s="8"/>
      <c r="R759" s="4"/>
      <c r="S759" s="8"/>
      <c r="T759" s="4"/>
      <c r="U759" s="8"/>
      <c r="V759" s="4"/>
      <c r="W759" s="8"/>
      <c r="X759" s="4"/>
      <c r="Y759" s="8"/>
      <c r="Z759" s="4"/>
      <c r="AA759" s="2"/>
      <c r="AB759" s="4"/>
      <c r="AC759" s="8"/>
      <c r="AD759" s="4"/>
    </row>
    <row r="760">
      <c r="B760" s="4"/>
      <c r="C760" s="4"/>
      <c r="D760" s="4"/>
      <c r="F760" s="4"/>
      <c r="G760" s="8"/>
      <c r="H760" s="4"/>
      <c r="I760" s="4"/>
      <c r="J760" s="4"/>
      <c r="K760" s="4"/>
      <c r="L760" s="4"/>
      <c r="M760" s="8"/>
      <c r="N760" s="4"/>
      <c r="O760" s="8"/>
      <c r="P760" s="4"/>
      <c r="Q760" s="8"/>
      <c r="R760" s="4"/>
      <c r="S760" s="8"/>
      <c r="T760" s="4"/>
      <c r="U760" s="8"/>
      <c r="V760" s="4"/>
      <c r="W760" s="8"/>
      <c r="X760" s="4"/>
      <c r="Y760" s="8"/>
      <c r="Z760" s="4"/>
      <c r="AA760" s="2"/>
      <c r="AB760" s="4"/>
      <c r="AC760" s="8"/>
      <c r="AD760" s="4"/>
    </row>
    <row r="761">
      <c r="B761" s="4"/>
      <c r="C761" s="4"/>
      <c r="D761" s="4"/>
      <c r="F761" s="4"/>
      <c r="G761" s="8"/>
      <c r="H761" s="4"/>
      <c r="I761" s="4"/>
      <c r="J761" s="4"/>
      <c r="K761" s="4"/>
      <c r="L761" s="4"/>
      <c r="M761" s="8"/>
      <c r="N761" s="4"/>
      <c r="O761" s="8"/>
      <c r="P761" s="4"/>
      <c r="Q761" s="8"/>
      <c r="R761" s="4"/>
      <c r="S761" s="8"/>
      <c r="T761" s="4"/>
      <c r="U761" s="8"/>
      <c r="V761" s="4"/>
      <c r="W761" s="8"/>
      <c r="X761" s="4"/>
      <c r="Y761" s="8"/>
      <c r="Z761" s="4"/>
      <c r="AA761" s="2"/>
      <c r="AB761" s="4"/>
      <c r="AC761" s="8"/>
      <c r="AD761" s="4"/>
    </row>
    <row r="762">
      <c r="B762" s="4"/>
      <c r="C762" s="4"/>
      <c r="D762" s="4"/>
      <c r="F762" s="4"/>
      <c r="G762" s="8"/>
      <c r="H762" s="4"/>
      <c r="I762" s="4"/>
      <c r="J762" s="4"/>
      <c r="K762" s="4"/>
      <c r="L762" s="4"/>
      <c r="M762" s="8"/>
      <c r="N762" s="4"/>
      <c r="O762" s="8"/>
      <c r="P762" s="4"/>
      <c r="Q762" s="8"/>
      <c r="R762" s="4"/>
      <c r="S762" s="8"/>
      <c r="T762" s="4"/>
      <c r="U762" s="8"/>
      <c r="V762" s="4"/>
      <c r="W762" s="8"/>
      <c r="X762" s="4"/>
      <c r="Y762" s="8"/>
      <c r="Z762" s="4"/>
      <c r="AA762" s="2"/>
      <c r="AB762" s="4"/>
      <c r="AC762" s="8"/>
      <c r="AD762" s="4"/>
    </row>
    <row r="763">
      <c r="B763" s="4"/>
      <c r="C763" s="4"/>
      <c r="D763" s="4"/>
      <c r="F763" s="4"/>
      <c r="G763" s="8"/>
      <c r="H763" s="4"/>
      <c r="I763" s="4"/>
      <c r="J763" s="4"/>
      <c r="K763" s="4"/>
      <c r="L763" s="4"/>
      <c r="M763" s="8"/>
      <c r="N763" s="4"/>
      <c r="O763" s="8"/>
      <c r="P763" s="4"/>
      <c r="Q763" s="8"/>
      <c r="R763" s="4"/>
      <c r="S763" s="8"/>
      <c r="T763" s="4"/>
      <c r="U763" s="8"/>
      <c r="V763" s="4"/>
      <c r="W763" s="8"/>
      <c r="X763" s="4"/>
      <c r="Y763" s="8"/>
      <c r="Z763" s="4"/>
      <c r="AA763" s="2"/>
      <c r="AB763" s="4"/>
      <c r="AC763" s="8"/>
      <c r="AD763" s="4"/>
    </row>
    <row r="764">
      <c r="B764" s="4"/>
      <c r="C764" s="4"/>
      <c r="D764" s="4"/>
      <c r="F764" s="4"/>
      <c r="G764" s="8"/>
      <c r="H764" s="4"/>
      <c r="I764" s="4"/>
      <c r="J764" s="4"/>
      <c r="K764" s="4"/>
      <c r="L764" s="4"/>
      <c r="M764" s="8"/>
      <c r="N764" s="4"/>
      <c r="O764" s="8"/>
      <c r="P764" s="4"/>
      <c r="Q764" s="8"/>
      <c r="R764" s="4"/>
      <c r="S764" s="8"/>
      <c r="T764" s="4"/>
      <c r="U764" s="8"/>
      <c r="V764" s="4"/>
      <c r="W764" s="8"/>
      <c r="X764" s="4"/>
      <c r="Y764" s="8"/>
      <c r="Z764" s="4"/>
      <c r="AA764" s="2"/>
      <c r="AB764" s="4"/>
      <c r="AC764" s="8"/>
      <c r="AD764" s="4"/>
    </row>
    <row r="765">
      <c r="B765" s="4"/>
      <c r="C765" s="4"/>
      <c r="D765" s="4"/>
      <c r="F765" s="4"/>
      <c r="G765" s="8"/>
      <c r="H765" s="4"/>
      <c r="I765" s="4"/>
      <c r="J765" s="4"/>
      <c r="K765" s="4"/>
      <c r="L765" s="4"/>
      <c r="M765" s="8"/>
      <c r="N765" s="4"/>
      <c r="O765" s="8"/>
      <c r="P765" s="4"/>
      <c r="Q765" s="8"/>
      <c r="R765" s="4"/>
      <c r="S765" s="8"/>
      <c r="T765" s="4"/>
      <c r="U765" s="8"/>
      <c r="V765" s="4"/>
      <c r="W765" s="8"/>
      <c r="X765" s="4"/>
      <c r="Y765" s="8"/>
      <c r="Z765" s="4"/>
      <c r="AA765" s="2"/>
      <c r="AB765" s="4"/>
      <c r="AC765" s="8"/>
      <c r="AD765" s="4"/>
    </row>
    <row r="766">
      <c r="B766" s="4"/>
      <c r="C766" s="4"/>
      <c r="D766" s="4"/>
      <c r="F766" s="4"/>
      <c r="G766" s="8"/>
      <c r="H766" s="4"/>
      <c r="I766" s="4"/>
      <c r="J766" s="4"/>
      <c r="K766" s="4"/>
      <c r="L766" s="4"/>
      <c r="M766" s="8"/>
      <c r="N766" s="4"/>
      <c r="O766" s="8"/>
      <c r="P766" s="4"/>
      <c r="Q766" s="8"/>
      <c r="R766" s="4"/>
      <c r="S766" s="8"/>
      <c r="T766" s="4"/>
      <c r="U766" s="8"/>
      <c r="V766" s="4"/>
      <c r="W766" s="8"/>
      <c r="X766" s="4"/>
      <c r="Y766" s="8"/>
      <c r="Z766" s="4"/>
      <c r="AA766" s="2"/>
      <c r="AB766" s="4"/>
      <c r="AC766" s="8"/>
      <c r="AD766" s="4"/>
    </row>
    <row r="767">
      <c r="B767" s="4"/>
      <c r="C767" s="4"/>
      <c r="D767" s="4"/>
      <c r="F767" s="4"/>
      <c r="G767" s="8"/>
      <c r="H767" s="4"/>
      <c r="I767" s="4"/>
      <c r="J767" s="4"/>
      <c r="K767" s="4"/>
      <c r="L767" s="4"/>
      <c r="M767" s="8"/>
      <c r="N767" s="4"/>
      <c r="O767" s="8"/>
      <c r="P767" s="4"/>
      <c r="Q767" s="8"/>
      <c r="R767" s="4"/>
      <c r="S767" s="8"/>
      <c r="T767" s="4"/>
      <c r="U767" s="8"/>
      <c r="V767" s="4"/>
      <c r="W767" s="8"/>
      <c r="X767" s="4"/>
      <c r="Y767" s="8"/>
      <c r="Z767" s="4"/>
      <c r="AA767" s="2"/>
      <c r="AB767" s="4"/>
      <c r="AC767" s="8"/>
      <c r="AD767" s="4"/>
    </row>
    <row r="768">
      <c r="B768" s="4"/>
      <c r="C768" s="4"/>
      <c r="D768" s="4"/>
      <c r="F768" s="4"/>
      <c r="G768" s="8"/>
      <c r="H768" s="4"/>
      <c r="I768" s="4"/>
      <c r="J768" s="4"/>
      <c r="K768" s="4"/>
      <c r="L768" s="4"/>
      <c r="M768" s="8"/>
      <c r="N768" s="4"/>
      <c r="O768" s="8"/>
      <c r="P768" s="4"/>
      <c r="Q768" s="8"/>
      <c r="R768" s="4"/>
      <c r="S768" s="8"/>
      <c r="T768" s="4"/>
      <c r="U768" s="8"/>
      <c r="V768" s="4"/>
      <c r="W768" s="8"/>
      <c r="X768" s="4"/>
      <c r="Y768" s="8"/>
      <c r="Z768" s="4"/>
      <c r="AA768" s="2"/>
      <c r="AB768" s="4"/>
      <c r="AC768" s="8"/>
      <c r="AD768" s="4"/>
    </row>
    <row r="769">
      <c r="B769" s="4"/>
      <c r="C769" s="4"/>
      <c r="D769" s="4"/>
      <c r="F769" s="4"/>
      <c r="G769" s="8"/>
      <c r="H769" s="4"/>
      <c r="I769" s="4"/>
      <c r="J769" s="4"/>
      <c r="K769" s="4"/>
      <c r="L769" s="4"/>
      <c r="M769" s="8"/>
      <c r="N769" s="4"/>
      <c r="O769" s="8"/>
      <c r="P769" s="4"/>
      <c r="Q769" s="8"/>
      <c r="R769" s="4"/>
      <c r="S769" s="8"/>
      <c r="T769" s="4"/>
      <c r="U769" s="8"/>
      <c r="V769" s="4"/>
      <c r="W769" s="8"/>
      <c r="X769" s="4"/>
      <c r="Y769" s="8"/>
      <c r="Z769" s="4"/>
      <c r="AA769" s="2"/>
      <c r="AB769" s="4"/>
      <c r="AC769" s="8"/>
      <c r="AD769" s="4"/>
    </row>
    <row r="770">
      <c r="B770" s="4"/>
      <c r="C770" s="4"/>
      <c r="D770" s="4"/>
      <c r="F770" s="4"/>
      <c r="G770" s="8"/>
      <c r="H770" s="4"/>
      <c r="I770" s="4"/>
      <c r="J770" s="4"/>
      <c r="K770" s="4"/>
      <c r="L770" s="4"/>
      <c r="M770" s="8"/>
      <c r="N770" s="4"/>
      <c r="O770" s="8"/>
      <c r="P770" s="4"/>
      <c r="Q770" s="8"/>
      <c r="R770" s="4"/>
      <c r="S770" s="8"/>
      <c r="T770" s="4"/>
      <c r="U770" s="8"/>
      <c r="V770" s="4"/>
      <c r="W770" s="8"/>
      <c r="X770" s="4"/>
      <c r="Y770" s="8"/>
      <c r="Z770" s="4"/>
      <c r="AA770" s="2"/>
      <c r="AB770" s="4"/>
      <c r="AC770" s="8"/>
      <c r="AD770" s="4"/>
    </row>
    <row r="771">
      <c r="B771" s="4"/>
      <c r="C771" s="4"/>
      <c r="D771" s="4"/>
      <c r="F771" s="4"/>
      <c r="G771" s="8"/>
      <c r="H771" s="4"/>
      <c r="I771" s="4"/>
      <c r="J771" s="4"/>
      <c r="K771" s="4"/>
      <c r="L771" s="4"/>
      <c r="M771" s="8"/>
      <c r="N771" s="4"/>
      <c r="O771" s="8"/>
      <c r="P771" s="4"/>
      <c r="Q771" s="8"/>
      <c r="R771" s="4"/>
      <c r="S771" s="8"/>
      <c r="T771" s="4"/>
      <c r="U771" s="8"/>
      <c r="V771" s="4"/>
      <c r="W771" s="8"/>
      <c r="X771" s="4"/>
      <c r="Y771" s="8"/>
      <c r="Z771" s="4"/>
      <c r="AA771" s="2"/>
      <c r="AB771" s="4"/>
      <c r="AC771" s="8"/>
      <c r="AD771" s="4"/>
    </row>
    <row r="772">
      <c r="B772" s="4"/>
      <c r="C772" s="4"/>
      <c r="D772" s="4"/>
      <c r="F772" s="4"/>
      <c r="G772" s="8"/>
      <c r="H772" s="4"/>
      <c r="I772" s="4"/>
      <c r="J772" s="4"/>
      <c r="K772" s="4"/>
      <c r="L772" s="4"/>
      <c r="M772" s="8"/>
      <c r="N772" s="4"/>
      <c r="O772" s="8"/>
      <c r="P772" s="4"/>
      <c r="Q772" s="8"/>
      <c r="R772" s="4"/>
      <c r="S772" s="8"/>
      <c r="T772" s="4"/>
      <c r="U772" s="8"/>
      <c r="V772" s="4"/>
      <c r="W772" s="8"/>
      <c r="X772" s="4"/>
      <c r="Y772" s="8"/>
      <c r="Z772" s="4"/>
      <c r="AA772" s="2"/>
      <c r="AB772" s="4"/>
      <c r="AC772" s="8"/>
      <c r="AD772" s="4"/>
    </row>
    <row r="773">
      <c r="B773" s="4"/>
      <c r="C773" s="4"/>
      <c r="D773" s="4"/>
      <c r="F773" s="4"/>
      <c r="G773" s="8"/>
      <c r="H773" s="4"/>
      <c r="I773" s="4"/>
      <c r="J773" s="4"/>
      <c r="K773" s="4"/>
      <c r="L773" s="4"/>
      <c r="M773" s="8"/>
      <c r="N773" s="4"/>
      <c r="O773" s="8"/>
      <c r="P773" s="4"/>
      <c r="Q773" s="8"/>
      <c r="R773" s="4"/>
      <c r="S773" s="8"/>
      <c r="T773" s="4"/>
      <c r="U773" s="8"/>
      <c r="V773" s="4"/>
      <c r="W773" s="8"/>
      <c r="X773" s="4"/>
      <c r="Y773" s="8"/>
      <c r="Z773" s="4"/>
      <c r="AA773" s="2"/>
      <c r="AB773" s="4"/>
      <c r="AC773" s="8"/>
      <c r="AD773" s="4"/>
    </row>
    <row r="774">
      <c r="B774" s="4"/>
      <c r="C774" s="4"/>
      <c r="D774" s="4"/>
      <c r="F774" s="4"/>
      <c r="G774" s="8"/>
      <c r="H774" s="4"/>
      <c r="I774" s="4"/>
      <c r="J774" s="4"/>
      <c r="K774" s="4"/>
      <c r="L774" s="4"/>
      <c r="M774" s="8"/>
      <c r="N774" s="4"/>
      <c r="O774" s="8"/>
      <c r="P774" s="4"/>
      <c r="Q774" s="8"/>
      <c r="R774" s="4"/>
      <c r="S774" s="8"/>
      <c r="T774" s="4"/>
      <c r="U774" s="8"/>
      <c r="V774" s="4"/>
      <c r="W774" s="8"/>
      <c r="X774" s="4"/>
      <c r="Y774" s="8"/>
      <c r="Z774" s="4"/>
      <c r="AA774" s="2"/>
      <c r="AB774" s="4"/>
      <c r="AC774" s="8"/>
      <c r="AD774" s="4"/>
    </row>
    <row r="775">
      <c r="B775" s="4"/>
      <c r="C775" s="4"/>
      <c r="D775" s="4"/>
      <c r="F775" s="4"/>
      <c r="G775" s="8"/>
      <c r="H775" s="4"/>
      <c r="I775" s="4"/>
      <c r="J775" s="4"/>
      <c r="K775" s="4"/>
      <c r="L775" s="4"/>
      <c r="M775" s="8"/>
      <c r="N775" s="4"/>
      <c r="O775" s="8"/>
      <c r="P775" s="4"/>
      <c r="Q775" s="8"/>
      <c r="R775" s="4"/>
      <c r="S775" s="8"/>
      <c r="T775" s="4"/>
      <c r="U775" s="8"/>
      <c r="V775" s="4"/>
      <c r="W775" s="8"/>
      <c r="X775" s="4"/>
      <c r="Y775" s="8"/>
      <c r="Z775" s="4"/>
      <c r="AA775" s="2"/>
      <c r="AB775" s="4"/>
      <c r="AC775" s="8"/>
      <c r="AD775" s="4"/>
    </row>
    <row r="776">
      <c r="B776" s="4"/>
      <c r="C776" s="4"/>
      <c r="D776" s="4"/>
      <c r="F776" s="4"/>
      <c r="G776" s="8"/>
      <c r="H776" s="4"/>
      <c r="I776" s="4"/>
      <c r="J776" s="4"/>
      <c r="K776" s="4"/>
      <c r="L776" s="4"/>
      <c r="M776" s="8"/>
      <c r="N776" s="4"/>
      <c r="O776" s="8"/>
      <c r="P776" s="4"/>
      <c r="Q776" s="8"/>
      <c r="R776" s="4"/>
      <c r="S776" s="8"/>
      <c r="T776" s="4"/>
      <c r="U776" s="8"/>
      <c r="V776" s="4"/>
      <c r="W776" s="8"/>
      <c r="X776" s="4"/>
      <c r="Y776" s="8"/>
      <c r="Z776" s="4"/>
      <c r="AA776" s="2"/>
      <c r="AB776" s="4"/>
      <c r="AC776" s="8"/>
      <c r="AD776" s="4"/>
    </row>
    <row r="777">
      <c r="B777" s="4"/>
      <c r="C777" s="4"/>
      <c r="D777" s="4"/>
      <c r="F777" s="4"/>
      <c r="G777" s="8"/>
      <c r="H777" s="4"/>
      <c r="I777" s="4"/>
      <c r="J777" s="4"/>
      <c r="K777" s="4"/>
      <c r="L777" s="4"/>
      <c r="M777" s="8"/>
      <c r="N777" s="4"/>
      <c r="O777" s="8"/>
      <c r="P777" s="4"/>
      <c r="Q777" s="8"/>
      <c r="R777" s="4"/>
      <c r="S777" s="8"/>
      <c r="T777" s="4"/>
      <c r="U777" s="8"/>
      <c r="V777" s="4"/>
      <c r="W777" s="8"/>
      <c r="X777" s="4"/>
      <c r="Y777" s="8"/>
      <c r="Z777" s="4"/>
      <c r="AA777" s="2"/>
      <c r="AB777" s="4"/>
      <c r="AC777" s="8"/>
      <c r="AD777" s="4"/>
    </row>
    <row r="778">
      <c r="B778" s="4"/>
      <c r="C778" s="4"/>
      <c r="D778" s="4"/>
      <c r="F778" s="4"/>
      <c r="G778" s="8"/>
      <c r="H778" s="4"/>
      <c r="I778" s="4"/>
      <c r="J778" s="4"/>
      <c r="K778" s="4"/>
      <c r="L778" s="4"/>
      <c r="M778" s="8"/>
      <c r="N778" s="4"/>
      <c r="O778" s="8"/>
      <c r="P778" s="4"/>
      <c r="Q778" s="8"/>
      <c r="R778" s="4"/>
      <c r="S778" s="8"/>
      <c r="T778" s="4"/>
      <c r="U778" s="8"/>
      <c r="V778" s="4"/>
      <c r="W778" s="8"/>
      <c r="X778" s="4"/>
      <c r="Y778" s="8"/>
      <c r="Z778" s="4"/>
      <c r="AA778" s="2"/>
      <c r="AB778" s="4"/>
      <c r="AC778" s="8"/>
      <c r="AD778" s="4"/>
    </row>
    <row r="779">
      <c r="B779" s="4"/>
      <c r="C779" s="4"/>
      <c r="D779" s="4"/>
      <c r="F779" s="4"/>
      <c r="G779" s="8"/>
      <c r="H779" s="4"/>
      <c r="I779" s="4"/>
      <c r="J779" s="4"/>
      <c r="K779" s="4"/>
      <c r="L779" s="4"/>
      <c r="M779" s="8"/>
      <c r="N779" s="4"/>
      <c r="O779" s="8"/>
      <c r="P779" s="4"/>
      <c r="Q779" s="8"/>
      <c r="R779" s="4"/>
      <c r="S779" s="8"/>
      <c r="T779" s="4"/>
      <c r="U779" s="8"/>
      <c r="V779" s="4"/>
      <c r="W779" s="8"/>
      <c r="X779" s="4"/>
      <c r="Y779" s="8"/>
      <c r="Z779" s="4"/>
      <c r="AA779" s="2"/>
      <c r="AB779" s="4"/>
      <c r="AC779" s="8"/>
      <c r="AD779" s="4"/>
    </row>
    <row r="780">
      <c r="B780" s="4"/>
      <c r="C780" s="4"/>
      <c r="D780" s="4"/>
      <c r="F780" s="4"/>
      <c r="G780" s="8"/>
      <c r="H780" s="4"/>
      <c r="I780" s="4"/>
      <c r="J780" s="4"/>
      <c r="K780" s="4"/>
      <c r="L780" s="4"/>
      <c r="M780" s="8"/>
      <c r="N780" s="4"/>
      <c r="O780" s="8"/>
      <c r="P780" s="4"/>
      <c r="Q780" s="8"/>
      <c r="R780" s="4"/>
      <c r="S780" s="8"/>
      <c r="T780" s="4"/>
      <c r="U780" s="8"/>
      <c r="V780" s="4"/>
      <c r="W780" s="8"/>
      <c r="X780" s="4"/>
      <c r="Y780" s="8"/>
      <c r="Z780" s="4"/>
      <c r="AA780" s="2"/>
      <c r="AB780" s="4"/>
      <c r="AC780" s="8"/>
      <c r="AD780" s="4"/>
    </row>
    <row r="781">
      <c r="B781" s="4"/>
      <c r="C781" s="4"/>
      <c r="D781" s="4"/>
      <c r="F781" s="4"/>
      <c r="G781" s="8"/>
      <c r="H781" s="4"/>
      <c r="I781" s="4"/>
      <c r="J781" s="4"/>
      <c r="K781" s="4"/>
      <c r="L781" s="4"/>
      <c r="M781" s="8"/>
      <c r="N781" s="4"/>
      <c r="O781" s="8"/>
      <c r="P781" s="4"/>
      <c r="Q781" s="8"/>
      <c r="R781" s="4"/>
      <c r="S781" s="8"/>
      <c r="T781" s="4"/>
      <c r="U781" s="8"/>
      <c r="V781" s="4"/>
      <c r="W781" s="8"/>
      <c r="X781" s="4"/>
      <c r="Y781" s="8"/>
      <c r="Z781" s="4"/>
      <c r="AA781" s="2"/>
      <c r="AB781" s="4"/>
      <c r="AC781" s="8"/>
      <c r="AD781" s="4"/>
    </row>
    <row r="782">
      <c r="B782" s="4"/>
      <c r="C782" s="4"/>
      <c r="D782" s="4"/>
      <c r="F782" s="4"/>
      <c r="G782" s="8"/>
      <c r="H782" s="4"/>
      <c r="I782" s="4"/>
      <c r="J782" s="4"/>
      <c r="K782" s="4"/>
      <c r="L782" s="4"/>
      <c r="M782" s="8"/>
      <c r="N782" s="4"/>
      <c r="O782" s="8"/>
      <c r="P782" s="4"/>
      <c r="Q782" s="8"/>
      <c r="R782" s="4"/>
      <c r="S782" s="8"/>
      <c r="T782" s="4"/>
      <c r="U782" s="8"/>
      <c r="V782" s="4"/>
      <c r="W782" s="8"/>
      <c r="X782" s="4"/>
      <c r="Y782" s="8"/>
      <c r="Z782" s="4"/>
      <c r="AA782" s="2"/>
      <c r="AB782" s="4"/>
      <c r="AC782" s="8"/>
      <c r="AD782" s="4"/>
    </row>
    <row r="783">
      <c r="B783" s="4"/>
      <c r="C783" s="4"/>
      <c r="D783" s="4"/>
      <c r="F783" s="4"/>
      <c r="G783" s="8"/>
      <c r="H783" s="4"/>
      <c r="I783" s="4"/>
      <c r="J783" s="4"/>
      <c r="K783" s="4"/>
      <c r="L783" s="4"/>
      <c r="M783" s="8"/>
      <c r="N783" s="4"/>
      <c r="O783" s="8"/>
      <c r="P783" s="4"/>
      <c r="Q783" s="8"/>
      <c r="R783" s="4"/>
      <c r="S783" s="8"/>
      <c r="T783" s="4"/>
      <c r="U783" s="8"/>
      <c r="V783" s="4"/>
      <c r="W783" s="8"/>
      <c r="X783" s="4"/>
      <c r="Y783" s="8"/>
      <c r="Z783" s="4"/>
      <c r="AA783" s="2"/>
      <c r="AB783" s="4"/>
      <c r="AC783" s="8"/>
      <c r="AD783" s="4"/>
    </row>
    <row r="784">
      <c r="B784" s="4"/>
      <c r="C784" s="4"/>
      <c r="D784" s="4"/>
      <c r="F784" s="4"/>
      <c r="G784" s="8"/>
      <c r="H784" s="4"/>
      <c r="I784" s="4"/>
      <c r="J784" s="4"/>
      <c r="K784" s="4"/>
      <c r="L784" s="4"/>
      <c r="M784" s="8"/>
      <c r="N784" s="4"/>
      <c r="O784" s="8"/>
      <c r="P784" s="4"/>
      <c r="Q784" s="8"/>
      <c r="R784" s="4"/>
      <c r="S784" s="8"/>
      <c r="T784" s="4"/>
      <c r="U784" s="8"/>
      <c r="V784" s="4"/>
      <c r="W784" s="8"/>
      <c r="X784" s="4"/>
      <c r="Y784" s="8"/>
      <c r="Z784" s="4"/>
      <c r="AA784" s="2"/>
      <c r="AB784" s="4"/>
      <c r="AC784" s="8"/>
      <c r="AD784" s="4"/>
    </row>
    <row r="785">
      <c r="B785" s="4"/>
      <c r="C785" s="4"/>
      <c r="D785" s="4"/>
      <c r="F785" s="4"/>
      <c r="G785" s="8"/>
      <c r="H785" s="4"/>
      <c r="I785" s="4"/>
      <c r="J785" s="4"/>
      <c r="K785" s="4"/>
      <c r="L785" s="4"/>
      <c r="M785" s="8"/>
      <c r="N785" s="4"/>
      <c r="O785" s="8"/>
      <c r="P785" s="4"/>
      <c r="Q785" s="8"/>
      <c r="R785" s="4"/>
      <c r="S785" s="8"/>
      <c r="T785" s="4"/>
      <c r="U785" s="8"/>
      <c r="V785" s="4"/>
      <c r="W785" s="8"/>
      <c r="X785" s="4"/>
      <c r="Y785" s="8"/>
      <c r="Z785" s="4"/>
      <c r="AA785" s="2"/>
      <c r="AB785" s="4"/>
      <c r="AC785" s="8"/>
      <c r="AD785" s="4"/>
    </row>
    <row r="786">
      <c r="B786" s="4"/>
      <c r="C786" s="4"/>
      <c r="D786" s="4"/>
      <c r="F786" s="4"/>
      <c r="G786" s="8"/>
      <c r="H786" s="4"/>
      <c r="I786" s="4"/>
      <c r="J786" s="4"/>
      <c r="K786" s="4"/>
      <c r="L786" s="4"/>
      <c r="M786" s="8"/>
      <c r="N786" s="4"/>
      <c r="O786" s="8"/>
      <c r="P786" s="4"/>
      <c r="Q786" s="8"/>
      <c r="R786" s="4"/>
      <c r="S786" s="8"/>
      <c r="T786" s="4"/>
      <c r="U786" s="8"/>
      <c r="V786" s="4"/>
      <c r="W786" s="8"/>
      <c r="X786" s="4"/>
      <c r="Y786" s="8"/>
      <c r="Z786" s="4"/>
      <c r="AA786" s="2"/>
      <c r="AB786" s="4"/>
      <c r="AC786" s="8"/>
      <c r="AD786" s="4"/>
    </row>
    <row r="787">
      <c r="B787" s="4"/>
      <c r="C787" s="4"/>
      <c r="D787" s="4"/>
      <c r="F787" s="4"/>
      <c r="G787" s="8"/>
      <c r="H787" s="4"/>
      <c r="I787" s="4"/>
      <c r="J787" s="4"/>
      <c r="K787" s="4"/>
      <c r="L787" s="4"/>
      <c r="M787" s="8"/>
      <c r="N787" s="4"/>
      <c r="O787" s="8"/>
      <c r="P787" s="4"/>
      <c r="Q787" s="8"/>
      <c r="R787" s="4"/>
      <c r="S787" s="8"/>
      <c r="T787" s="4"/>
      <c r="U787" s="8"/>
      <c r="V787" s="4"/>
      <c r="W787" s="8"/>
      <c r="X787" s="4"/>
      <c r="Y787" s="8"/>
      <c r="Z787" s="4"/>
      <c r="AA787" s="2"/>
      <c r="AB787" s="4"/>
      <c r="AC787" s="8"/>
      <c r="AD787" s="4"/>
    </row>
    <row r="788">
      <c r="B788" s="4"/>
      <c r="C788" s="4"/>
      <c r="D788" s="4"/>
      <c r="F788" s="4"/>
      <c r="G788" s="8"/>
      <c r="H788" s="4"/>
      <c r="I788" s="4"/>
      <c r="J788" s="4"/>
      <c r="K788" s="4"/>
      <c r="L788" s="4"/>
      <c r="M788" s="8"/>
      <c r="N788" s="4"/>
      <c r="O788" s="8"/>
      <c r="P788" s="4"/>
      <c r="Q788" s="8"/>
      <c r="R788" s="4"/>
      <c r="S788" s="8"/>
      <c r="T788" s="4"/>
      <c r="U788" s="8"/>
      <c r="V788" s="4"/>
      <c r="W788" s="8"/>
      <c r="X788" s="4"/>
      <c r="Y788" s="8"/>
      <c r="Z788" s="4"/>
      <c r="AA788" s="2"/>
      <c r="AB788" s="4"/>
      <c r="AC788" s="8"/>
      <c r="AD788" s="4"/>
    </row>
    <row r="789">
      <c r="B789" s="4"/>
      <c r="C789" s="4"/>
      <c r="D789" s="4"/>
      <c r="F789" s="4"/>
      <c r="G789" s="8"/>
      <c r="H789" s="4"/>
      <c r="I789" s="4"/>
      <c r="J789" s="4"/>
      <c r="K789" s="4"/>
      <c r="L789" s="4"/>
      <c r="M789" s="8"/>
      <c r="N789" s="4"/>
      <c r="O789" s="8"/>
      <c r="P789" s="4"/>
      <c r="Q789" s="8"/>
      <c r="R789" s="4"/>
      <c r="S789" s="8"/>
      <c r="T789" s="4"/>
      <c r="U789" s="8"/>
      <c r="V789" s="4"/>
      <c r="W789" s="8"/>
      <c r="X789" s="4"/>
      <c r="Y789" s="8"/>
      <c r="Z789" s="4"/>
      <c r="AA789" s="2"/>
      <c r="AB789" s="4"/>
      <c r="AC789" s="8"/>
      <c r="AD789" s="4"/>
    </row>
    <row r="790">
      <c r="B790" s="4"/>
      <c r="C790" s="4"/>
      <c r="D790" s="4"/>
      <c r="F790" s="4"/>
      <c r="G790" s="8"/>
      <c r="H790" s="4"/>
      <c r="I790" s="4"/>
      <c r="J790" s="4"/>
      <c r="K790" s="4"/>
      <c r="L790" s="4"/>
      <c r="M790" s="8"/>
      <c r="N790" s="4"/>
      <c r="O790" s="8"/>
      <c r="P790" s="4"/>
      <c r="Q790" s="8"/>
      <c r="R790" s="4"/>
      <c r="S790" s="8"/>
      <c r="T790" s="4"/>
      <c r="U790" s="8"/>
      <c r="V790" s="4"/>
      <c r="W790" s="8"/>
      <c r="X790" s="4"/>
      <c r="Y790" s="8"/>
      <c r="Z790" s="4"/>
      <c r="AA790" s="2"/>
      <c r="AB790" s="4"/>
      <c r="AC790" s="8"/>
      <c r="AD790" s="4"/>
    </row>
    <row r="791">
      <c r="B791" s="4"/>
      <c r="C791" s="4"/>
      <c r="D791" s="4"/>
      <c r="F791" s="4"/>
      <c r="G791" s="8"/>
      <c r="H791" s="4"/>
      <c r="I791" s="4"/>
      <c r="J791" s="4"/>
      <c r="K791" s="4"/>
      <c r="L791" s="4"/>
      <c r="M791" s="8"/>
      <c r="N791" s="4"/>
      <c r="O791" s="8"/>
      <c r="P791" s="4"/>
      <c r="Q791" s="8"/>
      <c r="R791" s="4"/>
      <c r="S791" s="8"/>
      <c r="T791" s="4"/>
      <c r="U791" s="8"/>
      <c r="V791" s="4"/>
      <c r="W791" s="8"/>
      <c r="X791" s="4"/>
      <c r="Y791" s="8"/>
      <c r="Z791" s="4"/>
      <c r="AA791" s="2"/>
      <c r="AB791" s="4"/>
      <c r="AC791" s="8"/>
      <c r="AD791" s="4"/>
    </row>
    <row r="792">
      <c r="B792" s="4"/>
      <c r="C792" s="4"/>
      <c r="D792" s="4"/>
      <c r="F792" s="4"/>
      <c r="G792" s="8"/>
      <c r="H792" s="4"/>
      <c r="I792" s="4"/>
      <c r="J792" s="4"/>
      <c r="K792" s="4"/>
      <c r="L792" s="4"/>
      <c r="M792" s="8"/>
      <c r="N792" s="4"/>
      <c r="O792" s="8"/>
      <c r="P792" s="4"/>
      <c r="Q792" s="8"/>
      <c r="R792" s="4"/>
      <c r="S792" s="8"/>
      <c r="T792" s="4"/>
      <c r="U792" s="8"/>
      <c r="V792" s="4"/>
      <c r="W792" s="8"/>
      <c r="X792" s="4"/>
      <c r="Y792" s="8"/>
      <c r="Z792" s="4"/>
      <c r="AA792" s="2"/>
      <c r="AB792" s="4"/>
      <c r="AC792" s="8"/>
      <c r="AD792" s="4"/>
    </row>
    <row r="793">
      <c r="B793" s="4"/>
      <c r="C793" s="4"/>
      <c r="D793" s="4"/>
      <c r="F793" s="4"/>
      <c r="G793" s="8"/>
      <c r="H793" s="4"/>
      <c r="I793" s="4"/>
      <c r="J793" s="4"/>
      <c r="K793" s="4"/>
      <c r="L793" s="4"/>
      <c r="M793" s="8"/>
      <c r="N793" s="4"/>
      <c r="O793" s="8"/>
      <c r="P793" s="4"/>
      <c r="Q793" s="8"/>
      <c r="R793" s="4"/>
      <c r="S793" s="8"/>
      <c r="T793" s="4"/>
      <c r="U793" s="8"/>
      <c r="V793" s="4"/>
      <c r="W793" s="8"/>
      <c r="X793" s="4"/>
      <c r="Y793" s="8"/>
      <c r="Z793" s="4"/>
      <c r="AA793" s="2"/>
      <c r="AB793" s="4"/>
      <c r="AC793" s="8"/>
      <c r="AD793" s="4"/>
    </row>
    <row r="794">
      <c r="B794" s="4"/>
      <c r="C794" s="4"/>
      <c r="D794" s="4"/>
      <c r="F794" s="4"/>
      <c r="G794" s="8"/>
      <c r="H794" s="4"/>
      <c r="I794" s="4"/>
      <c r="J794" s="4"/>
      <c r="K794" s="4"/>
      <c r="L794" s="4"/>
      <c r="M794" s="8"/>
      <c r="N794" s="4"/>
      <c r="O794" s="8"/>
      <c r="P794" s="4"/>
      <c r="Q794" s="8"/>
      <c r="R794" s="4"/>
      <c r="S794" s="8"/>
      <c r="T794" s="4"/>
      <c r="U794" s="8"/>
      <c r="V794" s="4"/>
      <c r="W794" s="8"/>
      <c r="X794" s="4"/>
      <c r="Y794" s="8"/>
      <c r="Z794" s="4"/>
      <c r="AA794" s="2"/>
      <c r="AB794" s="4"/>
      <c r="AC794" s="8"/>
      <c r="AD794" s="4"/>
    </row>
    <row r="795">
      <c r="B795" s="4"/>
      <c r="C795" s="4"/>
      <c r="D795" s="4"/>
      <c r="F795" s="4"/>
      <c r="G795" s="8"/>
      <c r="H795" s="4"/>
      <c r="I795" s="4"/>
      <c r="J795" s="4"/>
      <c r="K795" s="4"/>
      <c r="L795" s="4"/>
      <c r="M795" s="8"/>
      <c r="N795" s="4"/>
      <c r="O795" s="8"/>
      <c r="P795" s="4"/>
      <c r="Q795" s="8"/>
      <c r="R795" s="4"/>
      <c r="S795" s="8"/>
      <c r="T795" s="4"/>
      <c r="U795" s="8"/>
      <c r="V795" s="4"/>
      <c r="W795" s="8"/>
      <c r="X795" s="4"/>
      <c r="Y795" s="8"/>
      <c r="Z795" s="4"/>
      <c r="AA795" s="2"/>
      <c r="AB795" s="4"/>
      <c r="AC795" s="8"/>
      <c r="AD795" s="4"/>
    </row>
    <row r="796">
      <c r="B796" s="4"/>
      <c r="C796" s="4"/>
      <c r="D796" s="4"/>
      <c r="F796" s="4"/>
      <c r="G796" s="8"/>
      <c r="H796" s="4"/>
      <c r="I796" s="4"/>
      <c r="J796" s="4"/>
      <c r="K796" s="4"/>
      <c r="L796" s="4"/>
      <c r="M796" s="8"/>
      <c r="N796" s="4"/>
      <c r="O796" s="8"/>
      <c r="P796" s="4"/>
      <c r="Q796" s="8"/>
      <c r="R796" s="4"/>
      <c r="S796" s="8"/>
      <c r="T796" s="4"/>
      <c r="U796" s="8"/>
      <c r="V796" s="4"/>
      <c r="W796" s="8"/>
      <c r="X796" s="4"/>
      <c r="Y796" s="8"/>
      <c r="Z796" s="4"/>
      <c r="AA796" s="2"/>
      <c r="AB796" s="4"/>
      <c r="AC796" s="8"/>
      <c r="AD796" s="4"/>
    </row>
    <row r="797">
      <c r="B797" s="4"/>
      <c r="C797" s="4"/>
      <c r="D797" s="4"/>
      <c r="F797" s="4"/>
      <c r="G797" s="8"/>
      <c r="H797" s="4"/>
      <c r="I797" s="4"/>
      <c r="J797" s="4"/>
      <c r="K797" s="4"/>
      <c r="L797" s="4"/>
      <c r="M797" s="8"/>
      <c r="N797" s="4"/>
      <c r="O797" s="8"/>
      <c r="P797" s="4"/>
      <c r="Q797" s="8"/>
      <c r="R797" s="4"/>
      <c r="S797" s="8"/>
      <c r="T797" s="4"/>
      <c r="U797" s="8"/>
      <c r="V797" s="4"/>
      <c r="W797" s="8"/>
      <c r="X797" s="4"/>
      <c r="Y797" s="8"/>
      <c r="Z797" s="4"/>
      <c r="AA797" s="2"/>
      <c r="AB797" s="4"/>
      <c r="AC797" s="8"/>
      <c r="AD797" s="4"/>
    </row>
    <row r="798">
      <c r="B798" s="4"/>
      <c r="C798" s="4"/>
      <c r="D798" s="4"/>
      <c r="F798" s="4"/>
      <c r="G798" s="8"/>
      <c r="H798" s="4"/>
      <c r="I798" s="4"/>
      <c r="J798" s="4"/>
      <c r="K798" s="4"/>
      <c r="L798" s="4"/>
      <c r="M798" s="8"/>
      <c r="N798" s="4"/>
      <c r="O798" s="8"/>
      <c r="P798" s="4"/>
      <c r="Q798" s="8"/>
      <c r="R798" s="4"/>
      <c r="S798" s="8"/>
      <c r="T798" s="4"/>
      <c r="U798" s="8"/>
      <c r="V798" s="4"/>
      <c r="W798" s="8"/>
      <c r="X798" s="4"/>
      <c r="Y798" s="8"/>
      <c r="Z798" s="4"/>
      <c r="AA798" s="2"/>
      <c r="AB798" s="4"/>
      <c r="AC798" s="8"/>
      <c r="AD798" s="4"/>
    </row>
    <row r="799">
      <c r="B799" s="4"/>
      <c r="C799" s="4"/>
      <c r="D799" s="4"/>
      <c r="F799" s="4"/>
      <c r="G799" s="8"/>
      <c r="H799" s="4"/>
      <c r="I799" s="4"/>
      <c r="J799" s="4"/>
      <c r="K799" s="4"/>
      <c r="L799" s="4"/>
      <c r="M799" s="8"/>
      <c r="N799" s="4"/>
      <c r="O799" s="8"/>
      <c r="P799" s="4"/>
      <c r="Q799" s="8"/>
      <c r="R799" s="4"/>
      <c r="S799" s="8"/>
      <c r="T799" s="4"/>
      <c r="U799" s="8"/>
      <c r="V799" s="4"/>
      <c r="W799" s="8"/>
      <c r="X799" s="4"/>
      <c r="Y799" s="8"/>
      <c r="Z799" s="4"/>
      <c r="AA799" s="2"/>
      <c r="AB799" s="4"/>
      <c r="AC799" s="8"/>
      <c r="AD799" s="4"/>
    </row>
    <row r="800">
      <c r="B800" s="4"/>
      <c r="C800" s="4"/>
      <c r="D800" s="4"/>
      <c r="F800" s="4"/>
      <c r="G800" s="8"/>
      <c r="H800" s="4"/>
      <c r="I800" s="4"/>
      <c r="J800" s="4"/>
      <c r="K800" s="4"/>
      <c r="L800" s="4"/>
      <c r="M800" s="8"/>
      <c r="N800" s="4"/>
      <c r="O800" s="8"/>
      <c r="P800" s="4"/>
      <c r="Q800" s="8"/>
      <c r="R800" s="4"/>
      <c r="S800" s="8"/>
      <c r="T800" s="4"/>
      <c r="U800" s="8"/>
      <c r="V800" s="4"/>
      <c r="W800" s="8"/>
      <c r="X800" s="4"/>
      <c r="Y800" s="8"/>
      <c r="Z800" s="4"/>
      <c r="AA800" s="2"/>
      <c r="AB800" s="4"/>
      <c r="AC800" s="8"/>
      <c r="AD800" s="4"/>
    </row>
    <row r="801">
      <c r="B801" s="4"/>
      <c r="C801" s="4"/>
      <c r="D801" s="4"/>
      <c r="F801" s="4"/>
      <c r="G801" s="8"/>
      <c r="H801" s="4"/>
      <c r="I801" s="4"/>
      <c r="J801" s="4"/>
      <c r="K801" s="4"/>
      <c r="L801" s="4"/>
      <c r="M801" s="8"/>
      <c r="N801" s="4"/>
      <c r="O801" s="8"/>
      <c r="P801" s="4"/>
      <c r="Q801" s="8"/>
      <c r="R801" s="4"/>
      <c r="S801" s="8"/>
      <c r="T801" s="4"/>
      <c r="U801" s="8"/>
      <c r="V801" s="4"/>
      <c r="W801" s="8"/>
      <c r="X801" s="4"/>
      <c r="Y801" s="8"/>
      <c r="Z801" s="4"/>
      <c r="AA801" s="2"/>
      <c r="AB801" s="4"/>
      <c r="AC801" s="8"/>
      <c r="AD801" s="4"/>
    </row>
    <row r="802">
      <c r="B802" s="4"/>
      <c r="C802" s="4"/>
      <c r="D802" s="4"/>
      <c r="F802" s="4"/>
      <c r="G802" s="8"/>
      <c r="H802" s="4"/>
      <c r="I802" s="4"/>
      <c r="J802" s="4"/>
      <c r="K802" s="4"/>
      <c r="L802" s="4"/>
      <c r="M802" s="8"/>
      <c r="N802" s="4"/>
      <c r="O802" s="8"/>
      <c r="P802" s="4"/>
      <c r="Q802" s="8"/>
      <c r="R802" s="4"/>
      <c r="S802" s="8"/>
      <c r="T802" s="4"/>
      <c r="U802" s="8"/>
      <c r="V802" s="4"/>
      <c r="W802" s="8"/>
      <c r="X802" s="4"/>
      <c r="Y802" s="8"/>
      <c r="Z802" s="4"/>
      <c r="AA802" s="2"/>
      <c r="AB802" s="4"/>
      <c r="AC802" s="8"/>
      <c r="AD802" s="4"/>
    </row>
    <row r="803">
      <c r="B803" s="4"/>
      <c r="C803" s="4"/>
      <c r="D803" s="4"/>
      <c r="F803" s="4"/>
      <c r="G803" s="8"/>
      <c r="H803" s="4"/>
      <c r="I803" s="4"/>
      <c r="J803" s="4"/>
      <c r="K803" s="4"/>
      <c r="L803" s="4"/>
      <c r="M803" s="8"/>
      <c r="N803" s="4"/>
      <c r="O803" s="8"/>
      <c r="P803" s="4"/>
      <c r="Q803" s="8"/>
      <c r="R803" s="4"/>
      <c r="S803" s="8"/>
      <c r="T803" s="4"/>
      <c r="U803" s="8"/>
      <c r="V803" s="4"/>
      <c r="W803" s="8"/>
      <c r="X803" s="4"/>
      <c r="Y803" s="8"/>
      <c r="Z803" s="4"/>
      <c r="AA803" s="2"/>
      <c r="AB803" s="4"/>
      <c r="AC803" s="8"/>
      <c r="AD803" s="4"/>
    </row>
    <row r="804">
      <c r="B804" s="4"/>
      <c r="C804" s="4"/>
      <c r="D804" s="4"/>
      <c r="F804" s="4"/>
      <c r="G804" s="8"/>
      <c r="H804" s="4"/>
      <c r="I804" s="4"/>
      <c r="J804" s="4"/>
      <c r="K804" s="4"/>
      <c r="L804" s="4"/>
      <c r="M804" s="8"/>
      <c r="N804" s="4"/>
      <c r="O804" s="8"/>
      <c r="P804" s="4"/>
      <c r="Q804" s="8"/>
      <c r="R804" s="4"/>
      <c r="S804" s="8"/>
      <c r="T804" s="4"/>
      <c r="U804" s="8"/>
      <c r="V804" s="4"/>
      <c r="W804" s="8"/>
      <c r="X804" s="4"/>
      <c r="Y804" s="8"/>
      <c r="Z804" s="4"/>
      <c r="AA804" s="2"/>
      <c r="AB804" s="4"/>
      <c r="AC804" s="8"/>
      <c r="AD804" s="4"/>
    </row>
    <row r="805">
      <c r="B805" s="4"/>
      <c r="C805" s="4"/>
      <c r="D805" s="4"/>
      <c r="F805" s="4"/>
      <c r="G805" s="8"/>
      <c r="H805" s="4"/>
      <c r="I805" s="4"/>
      <c r="J805" s="4"/>
      <c r="K805" s="4"/>
      <c r="L805" s="4"/>
      <c r="M805" s="8"/>
      <c r="N805" s="4"/>
      <c r="O805" s="8"/>
      <c r="P805" s="4"/>
      <c r="Q805" s="8"/>
      <c r="R805" s="4"/>
      <c r="S805" s="8"/>
      <c r="T805" s="4"/>
      <c r="U805" s="8"/>
      <c r="V805" s="4"/>
      <c r="W805" s="8"/>
      <c r="X805" s="4"/>
      <c r="Y805" s="8"/>
      <c r="Z805" s="4"/>
      <c r="AA805" s="2"/>
      <c r="AB805" s="4"/>
      <c r="AC805" s="8"/>
      <c r="AD805" s="4"/>
    </row>
    <row r="806">
      <c r="B806" s="4"/>
      <c r="C806" s="4"/>
      <c r="D806" s="4"/>
      <c r="F806" s="4"/>
      <c r="G806" s="8"/>
      <c r="H806" s="4"/>
      <c r="I806" s="4"/>
      <c r="J806" s="4"/>
      <c r="K806" s="4"/>
      <c r="L806" s="4"/>
      <c r="M806" s="8"/>
      <c r="N806" s="4"/>
      <c r="O806" s="8"/>
      <c r="P806" s="4"/>
      <c r="Q806" s="8"/>
      <c r="R806" s="4"/>
      <c r="S806" s="8"/>
      <c r="T806" s="4"/>
      <c r="U806" s="8"/>
      <c r="V806" s="4"/>
      <c r="W806" s="8"/>
      <c r="X806" s="4"/>
      <c r="Y806" s="8"/>
      <c r="Z806" s="4"/>
      <c r="AA806" s="2"/>
      <c r="AB806" s="4"/>
      <c r="AC806" s="8"/>
      <c r="AD806" s="4"/>
    </row>
    <row r="807">
      <c r="B807" s="4"/>
      <c r="C807" s="4"/>
      <c r="D807" s="4"/>
      <c r="F807" s="4"/>
      <c r="G807" s="8"/>
      <c r="H807" s="4"/>
      <c r="I807" s="4"/>
      <c r="J807" s="4"/>
      <c r="K807" s="4"/>
      <c r="L807" s="4"/>
      <c r="M807" s="8"/>
      <c r="N807" s="4"/>
      <c r="O807" s="8"/>
      <c r="P807" s="4"/>
      <c r="Q807" s="8"/>
      <c r="R807" s="4"/>
      <c r="S807" s="8"/>
      <c r="T807" s="4"/>
      <c r="U807" s="8"/>
      <c r="V807" s="4"/>
      <c r="W807" s="8"/>
      <c r="X807" s="4"/>
      <c r="Y807" s="8"/>
      <c r="Z807" s="4"/>
      <c r="AA807" s="2"/>
      <c r="AB807" s="4"/>
      <c r="AC807" s="8"/>
      <c r="AD807" s="4"/>
    </row>
    <row r="808">
      <c r="B808" s="4"/>
      <c r="C808" s="4"/>
      <c r="D808" s="4"/>
      <c r="F808" s="4"/>
      <c r="G808" s="8"/>
      <c r="H808" s="4"/>
      <c r="I808" s="4"/>
      <c r="J808" s="4"/>
      <c r="K808" s="4"/>
      <c r="L808" s="4"/>
      <c r="M808" s="8"/>
      <c r="N808" s="4"/>
      <c r="O808" s="8"/>
      <c r="P808" s="4"/>
      <c r="Q808" s="8"/>
      <c r="R808" s="4"/>
      <c r="S808" s="8"/>
      <c r="T808" s="4"/>
      <c r="U808" s="8"/>
      <c r="V808" s="4"/>
      <c r="W808" s="8"/>
      <c r="X808" s="4"/>
      <c r="Y808" s="8"/>
      <c r="Z808" s="4"/>
      <c r="AA808" s="2"/>
      <c r="AB808" s="4"/>
      <c r="AC808" s="8"/>
      <c r="AD808" s="4"/>
    </row>
    <row r="809">
      <c r="B809" s="4"/>
      <c r="C809" s="4"/>
      <c r="D809" s="4"/>
      <c r="F809" s="4"/>
      <c r="G809" s="8"/>
      <c r="H809" s="4"/>
      <c r="I809" s="4"/>
      <c r="J809" s="4"/>
      <c r="K809" s="4"/>
      <c r="L809" s="4"/>
      <c r="M809" s="8"/>
      <c r="N809" s="4"/>
      <c r="O809" s="8"/>
      <c r="P809" s="4"/>
      <c r="Q809" s="8"/>
      <c r="R809" s="4"/>
      <c r="S809" s="8"/>
      <c r="T809" s="4"/>
      <c r="U809" s="8"/>
      <c r="V809" s="4"/>
      <c r="W809" s="8"/>
      <c r="X809" s="4"/>
      <c r="Y809" s="8"/>
      <c r="Z809" s="4"/>
      <c r="AA809" s="2"/>
      <c r="AB809" s="4"/>
      <c r="AC809" s="8"/>
      <c r="AD809" s="4"/>
    </row>
    <row r="810">
      <c r="B810" s="4"/>
      <c r="C810" s="4"/>
      <c r="D810" s="4"/>
      <c r="F810" s="4"/>
      <c r="G810" s="8"/>
      <c r="H810" s="4"/>
      <c r="I810" s="4"/>
      <c r="J810" s="4"/>
      <c r="K810" s="4"/>
      <c r="L810" s="4"/>
      <c r="M810" s="8"/>
      <c r="N810" s="4"/>
      <c r="O810" s="8"/>
      <c r="P810" s="4"/>
      <c r="Q810" s="8"/>
      <c r="R810" s="4"/>
      <c r="S810" s="8"/>
      <c r="T810" s="4"/>
      <c r="U810" s="8"/>
      <c r="V810" s="4"/>
      <c r="W810" s="8"/>
      <c r="X810" s="4"/>
      <c r="Y810" s="8"/>
      <c r="Z810" s="4"/>
      <c r="AA810" s="2"/>
      <c r="AB810" s="4"/>
      <c r="AC810" s="8"/>
      <c r="AD810" s="4"/>
    </row>
    <row r="811">
      <c r="B811" s="4"/>
      <c r="C811" s="4"/>
      <c r="D811" s="4"/>
      <c r="F811" s="4"/>
      <c r="G811" s="8"/>
      <c r="H811" s="4"/>
      <c r="I811" s="4"/>
      <c r="J811" s="4"/>
      <c r="K811" s="4"/>
      <c r="L811" s="4"/>
      <c r="M811" s="8"/>
      <c r="N811" s="4"/>
      <c r="O811" s="8"/>
      <c r="P811" s="4"/>
      <c r="Q811" s="8"/>
      <c r="R811" s="4"/>
      <c r="S811" s="8"/>
      <c r="T811" s="4"/>
      <c r="U811" s="8"/>
      <c r="V811" s="4"/>
      <c r="W811" s="8"/>
      <c r="X811" s="4"/>
      <c r="Y811" s="8"/>
      <c r="Z811" s="4"/>
      <c r="AA811" s="2"/>
      <c r="AB811" s="4"/>
      <c r="AC811" s="8"/>
      <c r="AD811" s="4"/>
    </row>
    <row r="812">
      <c r="B812" s="4"/>
      <c r="C812" s="4"/>
      <c r="D812" s="4"/>
      <c r="F812" s="4"/>
      <c r="G812" s="8"/>
      <c r="H812" s="4"/>
      <c r="I812" s="4"/>
      <c r="J812" s="4"/>
      <c r="K812" s="4"/>
      <c r="L812" s="4"/>
      <c r="M812" s="8"/>
      <c r="N812" s="4"/>
      <c r="O812" s="8"/>
      <c r="P812" s="4"/>
      <c r="Q812" s="8"/>
      <c r="R812" s="4"/>
      <c r="S812" s="8"/>
      <c r="T812" s="4"/>
      <c r="U812" s="8"/>
      <c r="V812" s="4"/>
      <c r="W812" s="8"/>
      <c r="X812" s="4"/>
      <c r="Y812" s="8"/>
      <c r="Z812" s="4"/>
      <c r="AA812" s="2"/>
      <c r="AB812" s="4"/>
      <c r="AC812" s="8"/>
      <c r="AD812" s="4"/>
    </row>
    <row r="813">
      <c r="B813" s="4"/>
      <c r="C813" s="4"/>
      <c r="D813" s="4"/>
      <c r="F813" s="4"/>
      <c r="G813" s="8"/>
      <c r="H813" s="4"/>
      <c r="I813" s="4"/>
      <c r="J813" s="4"/>
      <c r="K813" s="4"/>
      <c r="L813" s="4"/>
      <c r="M813" s="8"/>
      <c r="N813" s="4"/>
      <c r="O813" s="8"/>
      <c r="P813" s="4"/>
      <c r="Q813" s="8"/>
      <c r="R813" s="4"/>
      <c r="S813" s="8"/>
      <c r="T813" s="4"/>
      <c r="U813" s="8"/>
      <c r="V813" s="4"/>
      <c r="W813" s="8"/>
      <c r="X813" s="4"/>
      <c r="Y813" s="8"/>
      <c r="Z813" s="4"/>
      <c r="AA813" s="2"/>
      <c r="AB813" s="4"/>
      <c r="AC813" s="8"/>
      <c r="AD813" s="4"/>
    </row>
    <row r="814">
      <c r="B814" s="4"/>
      <c r="C814" s="4"/>
      <c r="D814" s="4"/>
      <c r="F814" s="4"/>
      <c r="G814" s="8"/>
      <c r="H814" s="4"/>
      <c r="I814" s="4"/>
      <c r="J814" s="4"/>
      <c r="K814" s="4"/>
      <c r="L814" s="4"/>
      <c r="M814" s="8"/>
      <c r="N814" s="4"/>
      <c r="O814" s="8"/>
      <c r="P814" s="4"/>
      <c r="Q814" s="8"/>
      <c r="R814" s="4"/>
      <c r="S814" s="8"/>
      <c r="T814" s="4"/>
      <c r="U814" s="8"/>
      <c r="V814" s="4"/>
      <c r="W814" s="8"/>
      <c r="X814" s="4"/>
      <c r="Y814" s="8"/>
      <c r="Z814" s="4"/>
      <c r="AA814" s="2"/>
      <c r="AB814" s="4"/>
      <c r="AC814" s="8"/>
      <c r="AD814" s="4"/>
    </row>
    <row r="815">
      <c r="B815" s="4"/>
      <c r="C815" s="4"/>
      <c r="D815" s="4"/>
      <c r="F815" s="4"/>
      <c r="G815" s="8"/>
      <c r="H815" s="4"/>
      <c r="I815" s="4"/>
      <c r="J815" s="4"/>
      <c r="K815" s="4"/>
      <c r="L815" s="4"/>
      <c r="M815" s="8"/>
      <c r="N815" s="4"/>
      <c r="O815" s="8"/>
      <c r="P815" s="4"/>
      <c r="Q815" s="8"/>
      <c r="R815" s="4"/>
      <c r="S815" s="8"/>
      <c r="T815" s="4"/>
      <c r="U815" s="8"/>
      <c r="V815" s="4"/>
      <c r="W815" s="8"/>
      <c r="X815" s="4"/>
      <c r="Y815" s="8"/>
      <c r="Z815" s="4"/>
      <c r="AA815" s="2"/>
      <c r="AB815" s="4"/>
      <c r="AC815" s="8"/>
      <c r="AD815" s="4"/>
    </row>
    <row r="816">
      <c r="B816" s="4"/>
      <c r="C816" s="4"/>
      <c r="D816" s="4"/>
      <c r="F816" s="4"/>
      <c r="G816" s="8"/>
      <c r="H816" s="4"/>
      <c r="I816" s="4"/>
      <c r="J816" s="4"/>
      <c r="K816" s="4"/>
      <c r="L816" s="4"/>
      <c r="M816" s="8"/>
      <c r="N816" s="4"/>
      <c r="O816" s="8"/>
      <c r="P816" s="4"/>
      <c r="Q816" s="8"/>
      <c r="R816" s="4"/>
      <c r="S816" s="8"/>
      <c r="T816" s="4"/>
      <c r="U816" s="8"/>
      <c r="V816" s="4"/>
      <c r="W816" s="8"/>
      <c r="X816" s="4"/>
      <c r="Y816" s="8"/>
      <c r="Z816" s="4"/>
      <c r="AA816" s="2"/>
      <c r="AB816" s="4"/>
      <c r="AC816" s="8"/>
      <c r="AD816" s="4"/>
    </row>
    <row r="817">
      <c r="B817" s="4"/>
      <c r="C817" s="4"/>
      <c r="D817" s="4"/>
      <c r="F817" s="4"/>
      <c r="G817" s="8"/>
      <c r="H817" s="4"/>
      <c r="I817" s="4"/>
      <c r="J817" s="4"/>
      <c r="K817" s="4"/>
      <c r="L817" s="4"/>
      <c r="M817" s="8"/>
      <c r="N817" s="4"/>
      <c r="O817" s="8"/>
      <c r="P817" s="4"/>
      <c r="Q817" s="8"/>
      <c r="R817" s="4"/>
      <c r="S817" s="8"/>
      <c r="T817" s="4"/>
      <c r="U817" s="8"/>
      <c r="V817" s="4"/>
      <c r="W817" s="8"/>
      <c r="X817" s="4"/>
      <c r="Y817" s="8"/>
      <c r="Z817" s="4"/>
      <c r="AA817" s="2"/>
      <c r="AB817" s="4"/>
      <c r="AC817" s="8"/>
      <c r="AD817" s="4"/>
    </row>
    <row r="818">
      <c r="B818" s="4"/>
      <c r="C818" s="4"/>
      <c r="D818" s="4"/>
      <c r="F818" s="4"/>
      <c r="G818" s="8"/>
      <c r="H818" s="4"/>
      <c r="I818" s="4"/>
      <c r="J818" s="4"/>
      <c r="K818" s="4"/>
      <c r="L818" s="4"/>
      <c r="M818" s="8"/>
      <c r="N818" s="4"/>
      <c r="O818" s="8"/>
      <c r="P818" s="4"/>
      <c r="Q818" s="8"/>
      <c r="R818" s="4"/>
      <c r="S818" s="8"/>
      <c r="T818" s="4"/>
      <c r="U818" s="8"/>
      <c r="V818" s="4"/>
      <c r="W818" s="8"/>
      <c r="X818" s="4"/>
      <c r="Y818" s="8"/>
      <c r="Z818" s="4"/>
      <c r="AA818" s="2"/>
      <c r="AB818" s="4"/>
      <c r="AC818" s="8"/>
      <c r="AD818" s="4"/>
    </row>
    <row r="819">
      <c r="B819" s="4"/>
      <c r="C819" s="4"/>
      <c r="D819" s="4"/>
      <c r="F819" s="4"/>
      <c r="G819" s="8"/>
      <c r="H819" s="4"/>
      <c r="I819" s="4"/>
      <c r="J819" s="4"/>
      <c r="K819" s="4"/>
      <c r="L819" s="4"/>
      <c r="M819" s="8"/>
      <c r="N819" s="4"/>
      <c r="O819" s="8"/>
      <c r="P819" s="4"/>
      <c r="Q819" s="8"/>
      <c r="R819" s="4"/>
      <c r="S819" s="8"/>
      <c r="T819" s="4"/>
      <c r="U819" s="8"/>
      <c r="V819" s="4"/>
      <c r="W819" s="8"/>
      <c r="X819" s="4"/>
      <c r="Y819" s="8"/>
      <c r="Z819" s="4"/>
      <c r="AA819" s="2"/>
      <c r="AB819" s="4"/>
      <c r="AC819" s="8"/>
      <c r="AD819" s="4"/>
    </row>
    <row r="820">
      <c r="B820" s="4"/>
      <c r="C820" s="4"/>
      <c r="D820" s="4"/>
      <c r="F820" s="4"/>
      <c r="G820" s="8"/>
      <c r="H820" s="4"/>
      <c r="I820" s="4"/>
      <c r="J820" s="4"/>
      <c r="K820" s="4"/>
      <c r="L820" s="4"/>
      <c r="M820" s="8"/>
      <c r="N820" s="4"/>
      <c r="O820" s="8"/>
      <c r="P820" s="4"/>
      <c r="Q820" s="8"/>
      <c r="R820" s="4"/>
      <c r="S820" s="8"/>
      <c r="T820" s="4"/>
      <c r="U820" s="8"/>
      <c r="V820" s="4"/>
      <c r="W820" s="8"/>
      <c r="X820" s="4"/>
      <c r="Y820" s="8"/>
      <c r="Z820" s="4"/>
      <c r="AA820" s="2"/>
      <c r="AB820" s="4"/>
      <c r="AC820" s="8"/>
      <c r="AD820" s="4"/>
    </row>
    <row r="821">
      <c r="B821" s="4"/>
      <c r="C821" s="4"/>
      <c r="D821" s="4"/>
      <c r="F821" s="4"/>
      <c r="G821" s="8"/>
      <c r="H821" s="4"/>
      <c r="I821" s="4"/>
      <c r="J821" s="4"/>
      <c r="K821" s="4"/>
      <c r="L821" s="4"/>
      <c r="M821" s="8"/>
      <c r="N821" s="4"/>
      <c r="O821" s="8"/>
      <c r="P821" s="4"/>
      <c r="Q821" s="8"/>
      <c r="R821" s="4"/>
      <c r="S821" s="8"/>
      <c r="T821" s="4"/>
      <c r="U821" s="8"/>
      <c r="V821" s="4"/>
      <c r="W821" s="8"/>
      <c r="X821" s="4"/>
      <c r="Y821" s="8"/>
      <c r="Z821" s="4"/>
      <c r="AA821" s="2"/>
      <c r="AB821" s="4"/>
      <c r="AC821" s="8"/>
      <c r="AD821" s="4"/>
    </row>
    <row r="822">
      <c r="B822" s="4"/>
      <c r="C822" s="4"/>
      <c r="D822" s="4"/>
      <c r="F822" s="4"/>
      <c r="G822" s="8"/>
      <c r="H822" s="4"/>
      <c r="I822" s="4"/>
      <c r="J822" s="4"/>
      <c r="K822" s="4"/>
      <c r="L822" s="4"/>
      <c r="M822" s="8"/>
      <c r="N822" s="4"/>
      <c r="O822" s="8"/>
      <c r="P822" s="4"/>
      <c r="Q822" s="8"/>
      <c r="R822" s="4"/>
      <c r="S822" s="8"/>
      <c r="T822" s="4"/>
      <c r="U822" s="8"/>
      <c r="V822" s="4"/>
      <c r="W822" s="8"/>
      <c r="X822" s="4"/>
      <c r="Y822" s="8"/>
      <c r="Z822" s="4"/>
      <c r="AA822" s="2"/>
      <c r="AB822" s="4"/>
      <c r="AC822" s="8"/>
      <c r="AD822" s="4"/>
    </row>
    <row r="823">
      <c r="B823" s="4"/>
      <c r="C823" s="4"/>
      <c r="D823" s="4"/>
      <c r="F823" s="4"/>
      <c r="G823" s="8"/>
      <c r="H823" s="4"/>
      <c r="I823" s="4"/>
      <c r="J823" s="4"/>
      <c r="K823" s="4"/>
      <c r="L823" s="4"/>
      <c r="M823" s="8"/>
      <c r="N823" s="4"/>
      <c r="O823" s="8"/>
      <c r="P823" s="4"/>
      <c r="Q823" s="8"/>
      <c r="R823" s="4"/>
      <c r="S823" s="8"/>
      <c r="T823" s="4"/>
      <c r="U823" s="8"/>
      <c r="V823" s="4"/>
      <c r="W823" s="8"/>
      <c r="X823" s="4"/>
      <c r="Y823" s="8"/>
      <c r="Z823" s="4"/>
      <c r="AA823" s="2"/>
      <c r="AB823" s="4"/>
      <c r="AC823" s="8"/>
      <c r="AD823" s="4"/>
    </row>
    <row r="824">
      <c r="B824" s="4"/>
      <c r="C824" s="4"/>
      <c r="D824" s="4"/>
      <c r="F824" s="4"/>
      <c r="G824" s="8"/>
      <c r="H824" s="4"/>
      <c r="I824" s="4"/>
      <c r="J824" s="4"/>
      <c r="K824" s="4"/>
      <c r="L824" s="4"/>
      <c r="M824" s="8"/>
      <c r="N824" s="4"/>
      <c r="O824" s="8"/>
      <c r="P824" s="4"/>
      <c r="Q824" s="8"/>
      <c r="R824" s="4"/>
      <c r="S824" s="8"/>
      <c r="T824" s="4"/>
      <c r="U824" s="8"/>
      <c r="V824" s="4"/>
      <c r="W824" s="8"/>
      <c r="X824" s="4"/>
      <c r="Y824" s="8"/>
      <c r="Z824" s="4"/>
      <c r="AA824" s="2"/>
      <c r="AB824" s="4"/>
      <c r="AC824" s="8"/>
      <c r="AD824" s="4"/>
    </row>
    <row r="825">
      <c r="B825" s="4"/>
      <c r="C825" s="4"/>
      <c r="D825" s="4"/>
      <c r="F825" s="4"/>
      <c r="G825" s="8"/>
      <c r="H825" s="4"/>
      <c r="I825" s="4"/>
      <c r="J825" s="4"/>
      <c r="K825" s="4"/>
      <c r="L825" s="4"/>
      <c r="M825" s="8"/>
      <c r="N825" s="4"/>
      <c r="O825" s="8"/>
      <c r="P825" s="4"/>
      <c r="Q825" s="8"/>
      <c r="R825" s="4"/>
      <c r="S825" s="8"/>
      <c r="T825" s="4"/>
      <c r="U825" s="8"/>
      <c r="V825" s="4"/>
      <c r="W825" s="8"/>
      <c r="X825" s="4"/>
      <c r="Y825" s="8"/>
      <c r="Z825" s="4"/>
      <c r="AA825" s="2"/>
      <c r="AB825" s="4"/>
      <c r="AC825" s="8"/>
      <c r="AD825" s="4"/>
    </row>
    <row r="826">
      <c r="B826" s="4"/>
      <c r="C826" s="4"/>
      <c r="D826" s="4"/>
      <c r="F826" s="4"/>
      <c r="G826" s="8"/>
      <c r="H826" s="4"/>
      <c r="I826" s="4"/>
      <c r="J826" s="4"/>
      <c r="K826" s="4"/>
      <c r="L826" s="4"/>
      <c r="M826" s="8"/>
      <c r="N826" s="4"/>
      <c r="O826" s="8"/>
      <c r="P826" s="4"/>
      <c r="Q826" s="8"/>
      <c r="R826" s="4"/>
      <c r="S826" s="8"/>
      <c r="T826" s="4"/>
      <c r="U826" s="8"/>
      <c r="V826" s="4"/>
      <c r="W826" s="8"/>
      <c r="X826" s="4"/>
      <c r="Y826" s="8"/>
      <c r="Z826" s="4"/>
      <c r="AA826" s="2"/>
      <c r="AB826" s="4"/>
      <c r="AC826" s="8"/>
      <c r="AD826" s="4"/>
    </row>
    <row r="827">
      <c r="B827" s="4"/>
      <c r="C827" s="4"/>
      <c r="D827" s="4"/>
      <c r="F827" s="4"/>
      <c r="G827" s="8"/>
      <c r="H827" s="4"/>
      <c r="I827" s="4"/>
      <c r="J827" s="4"/>
      <c r="K827" s="4"/>
      <c r="L827" s="4"/>
      <c r="M827" s="8"/>
      <c r="N827" s="4"/>
      <c r="O827" s="8"/>
      <c r="P827" s="4"/>
      <c r="Q827" s="8"/>
      <c r="R827" s="4"/>
      <c r="S827" s="8"/>
      <c r="T827" s="4"/>
      <c r="U827" s="8"/>
      <c r="V827" s="4"/>
      <c r="W827" s="8"/>
      <c r="X827" s="4"/>
      <c r="Y827" s="8"/>
      <c r="Z827" s="4"/>
      <c r="AA827" s="2"/>
      <c r="AB827" s="4"/>
      <c r="AC827" s="8"/>
      <c r="AD827" s="4"/>
    </row>
    <row r="828">
      <c r="B828" s="4"/>
      <c r="C828" s="4"/>
      <c r="D828" s="4"/>
      <c r="F828" s="4"/>
      <c r="G828" s="8"/>
      <c r="H828" s="4"/>
      <c r="I828" s="4"/>
      <c r="J828" s="4"/>
      <c r="K828" s="4"/>
      <c r="L828" s="4"/>
      <c r="M828" s="8"/>
      <c r="N828" s="4"/>
      <c r="O828" s="8"/>
      <c r="P828" s="4"/>
      <c r="Q828" s="8"/>
      <c r="R828" s="4"/>
      <c r="S828" s="8"/>
      <c r="T828" s="4"/>
      <c r="U828" s="8"/>
      <c r="V828" s="4"/>
      <c r="W828" s="8"/>
      <c r="X828" s="4"/>
      <c r="Y828" s="8"/>
      <c r="Z828" s="4"/>
      <c r="AA828" s="2"/>
      <c r="AB828" s="4"/>
      <c r="AC828" s="8"/>
      <c r="AD828" s="4"/>
    </row>
    <row r="829">
      <c r="B829" s="4"/>
      <c r="C829" s="4"/>
      <c r="D829" s="4"/>
      <c r="F829" s="4"/>
      <c r="G829" s="8"/>
      <c r="H829" s="4"/>
      <c r="I829" s="4"/>
      <c r="J829" s="4"/>
      <c r="K829" s="4"/>
      <c r="L829" s="4"/>
      <c r="M829" s="8"/>
      <c r="N829" s="4"/>
      <c r="O829" s="8"/>
      <c r="P829" s="4"/>
      <c r="Q829" s="8"/>
      <c r="R829" s="4"/>
      <c r="S829" s="8"/>
      <c r="T829" s="4"/>
      <c r="U829" s="8"/>
      <c r="V829" s="4"/>
      <c r="W829" s="8"/>
      <c r="X829" s="4"/>
      <c r="Y829" s="8"/>
      <c r="Z829" s="4"/>
      <c r="AA829" s="2"/>
      <c r="AB829" s="4"/>
      <c r="AC829" s="8"/>
      <c r="AD829" s="4"/>
    </row>
    <row r="830">
      <c r="B830" s="4"/>
      <c r="C830" s="4"/>
      <c r="D830" s="4"/>
      <c r="F830" s="4"/>
      <c r="G830" s="8"/>
      <c r="H830" s="4"/>
      <c r="I830" s="4"/>
      <c r="J830" s="4"/>
      <c r="K830" s="4"/>
      <c r="L830" s="4"/>
      <c r="M830" s="8"/>
      <c r="N830" s="4"/>
      <c r="O830" s="8"/>
      <c r="P830" s="4"/>
      <c r="Q830" s="8"/>
      <c r="R830" s="4"/>
      <c r="S830" s="8"/>
      <c r="T830" s="4"/>
      <c r="U830" s="8"/>
      <c r="V830" s="4"/>
      <c r="W830" s="8"/>
      <c r="X830" s="4"/>
      <c r="Y830" s="8"/>
      <c r="Z830" s="4"/>
      <c r="AA830" s="2"/>
      <c r="AB830" s="4"/>
      <c r="AC830" s="8"/>
      <c r="AD830" s="4"/>
    </row>
    <row r="831">
      <c r="B831" s="4"/>
      <c r="C831" s="4"/>
      <c r="D831" s="4"/>
      <c r="F831" s="4"/>
      <c r="G831" s="8"/>
      <c r="H831" s="4"/>
      <c r="I831" s="4"/>
      <c r="J831" s="4"/>
      <c r="K831" s="4"/>
      <c r="L831" s="4"/>
      <c r="M831" s="8"/>
      <c r="N831" s="4"/>
      <c r="O831" s="8"/>
      <c r="P831" s="4"/>
      <c r="Q831" s="8"/>
      <c r="R831" s="4"/>
      <c r="S831" s="8"/>
      <c r="T831" s="4"/>
      <c r="U831" s="8"/>
      <c r="V831" s="4"/>
      <c r="W831" s="8"/>
      <c r="X831" s="4"/>
      <c r="Y831" s="8"/>
      <c r="Z831" s="4"/>
      <c r="AA831" s="2"/>
      <c r="AB831" s="4"/>
      <c r="AC831" s="8"/>
      <c r="AD831" s="4"/>
    </row>
    <row r="832">
      <c r="B832" s="4"/>
      <c r="C832" s="4"/>
      <c r="D832" s="4"/>
      <c r="F832" s="4"/>
      <c r="G832" s="8"/>
      <c r="H832" s="4"/>
      <c r="I832" s="4"/>
      <c r="J832" s="4"/>
      <c r="K832" s="4"/>
      <c r="L832" s="4"/>
      <c r="M832" s="8"/>
      <c r="N832" s="4"/>
      <c r="O832" s="8"/>
      <c r="P832" s="4"/>
      <c r="Q832" s="8"/>
      <c r="R832" s="4"/>
      <c r="S832" s="8"/>
      <c r="T832" s="4"/>
      <c r="U832" s="8"/>
      <c r="V832" s="4"/>
      <c r="W832" s="8"/>
      <c r="X832" s="4"/>
      <c r="Y832" s="8"/>
      <c r="Z832" s="4"/>
      <c r="AA832" s="2"/>
      <c r="AB832" s="4"/>
      <c r="AC832" s="8"/>
      <c r="AD832" s="4"/>
    </row>
    <row r="833">
      <c r="B833" s="4"/>
      <c r="C833" s="4"/>
      <c r="D833" s="4"/>
      <c r="F833" s="4"/>
      <c r="G833" s="8"/>
      <c r="H833" s="4"/>
      <c r="I833" s="4"/>
      <c r="J833" s="4"/>
      <c r="K833" s="4"/>
      <c r="L833" s="4"/>
      <c r="M833" s="8"/>
      <c r="N833" s="4"/>
      <c r="O833" s="8"/>
      <c r="P833" s="4"/>
      <c r="Q833" s="8"/>
      <c r="R833" s="4"/>
      <c r="S833" s="8"/>
      <c r="T833" s="4"/>
      <c r="U833" s="8"/>
      <c r="V833" s="4"/>
      <c r="W833" s="8"/>
      <c r="X833" s="4"/>
      <c r="Y833" s="8"/>
      <c r="Z833" s="4"/>
      <c r="AA833" s="2"/>
      <c r="AB833" s="4"/>
      <c r="AC833" s="8"/>
      <c r="AD833" s="4"/>
    </row>
    <row r="834">
      <c r="B834" s="4"/>
      <c r="C834" s="4"/>
      <c r="D834" s="4"/>
      <c r="F834" s="4"/>
      <c r="G834" s="8"/>
      <c r="H834" s="4"/>
      <c r="I834" s="4"/>
      <c r="J834" s="4"/>
      <c r="K834" s="4"/>
      <c r="L834" s="4"/>
      <c r="M834" s="8"/>
      <c r="N834" s="4"/>
      <c r="O834" s="8"/>
      <c r="P834" s="4"/>
      <c r="Q834" s="8"/>
      <c r="R834" s="4"/>
      <c r="S834" s="8"/>
      <c r="T834" s="4"/>
      <c r="U834" s="8"/>
      <c r="V834" s="4"/>
      <c r="W834" s="8"/>
      <c r="X834" s="4"/>
      <c r="Y834" s="8"/>
      <c r="Z834" s="4"/>
      <c r="AA834" s="2"/>
      <c r="AB834" s="4"/>
      <c r="AC834" s="8"/>
      <c r="AD834" s="4"/>
    </row>
    <row r="835">
      <c r="B835" s="4"/>
      <c r="C835" s="4"/>
      <c r="D835" s="4"/>
      <c r="F835" s="4"/>
      <c r="G835" s="8"/>
      <c r="H835" s="4"/>
      <c r="I835" s="4"/>
      <c r="J835" s="4"/>
      <c r="K835" s="4"/>
      <c r="L835" s="4"/>
      <c r="M835" s="8"/>
      <c r="N835" s="4"/>
      <c r="O835" s="8"/>
      <c r="P835" s="4"/>
      <c r="Q835" s="8"/>
      <c r="R835" s="4"/>
      <c r="S835" s="8"/>
      <c r="T835" s="4"/>
      <c r="U835" s="8"/>
      <c r="V835" s="4"/>
      <c r="W835" s="8"/>
      <c r="X835" s="4"/>
      <c r="Y835" s="8"/>
      <c r="Z835" s="4"/>
      <c r="AA835" s="2"/>
      <c r="AB835" s="4"/>
      <c r="AC835" s="8"/>
      <c r="AD835" s="4"/>
    </row>
    <row r="836">
      <c r="B836" s="4"/>
      <c r="C836" s="4"/>
      <c r="D836" s="4"/>
      <c r="F836" s="4"/>
      <c r="G836" s="8"/>
      <c r="H836" s="4"/>
      <c r="I836" s="4"/>
      <c r="J836" s="4"/>
      <c r="K836" s="4"/>
      <c r="L836" s="4"/>
      <c r="M836" s="8"/>
      <c r="N836" s="4"/>
      <c r="O836" s="8"/>
      <c r="P836" s="4"/>
      <c r="Q836" s="8"/>
      <c r="R836" s="4"/>
      <c r="S836" s="8"/>
      <c r="T836" s="4"/>
      <c r="U836" s="8"/>
      <c r="V836" s="4"/>
      <c r="W836" s="8"/>
      <c r="X836" s="4"/>
      <c r="Y836" s="8"/>
      <c r="Z836" s="4"/>
      <c r="AA836" s="2"/>
      <c r="AB836" s="4"/>
      <c r="AC836" s="8"/>
      <c r="AD836" s="4"/>
    </row>
    <row r="837">
      <c r="B837" s="4"/>
      <c r="C837" s="4"/>
      <c r="D837" s="4"/>
      <c r="F837" s="4"/>
      <c r="G837" s="8"/>
      <c r="H837" s="4"/>
      <c r="I837" s="4"/>
      <c r="J837" s="4"/>
      <c r="K837" s="4"/>
      <c r="L837" s="4"/>
      <c r="M837" s="8"/>
      <c r="N837" s="4"/>
      <c r="O837" s="8"/>
      <c r="P837" s="4"/>
      <c r="Q837" s="8"/>
      <c r="R837" s="4"/>
      <c r="S837" s="8"/>
      <c r="T837" s="4"/>
      <c r="U837" s="8"/>
      <c r="V837" s="4"/>
      <c r="W837" s="8"/>
      <c r="X837" s="4"/>
      <c r="Y837" s="8"/>
      <c r="Z837" s="4"/>
      <c r="AA837" s="2"/>
      <c r="AB837" s="4"/>
      <c r="AC837" s="8"/>
      <c r="AD837" s="4"/>
    </row>
    <row r="838">
      <c r="B838" s="4"/>
      <c r="C838" s="4"/>
      <c r="D838" s="4"/>
      <c r="F838" s="4"/>
      <c r="G838" s="8"/>
      <c r="H838" s="4"/>
      <c r="I838" s="4"/>
      <c r="J838" s="4"/>
      <c r="K838" s="4"/>
      <c r="L838" s="4"/>
      <c r="M838" s="8"/>
      <c r="N838" s="4"/>
      <c r="O838" s="8"/>
      <c r="P838" s="4"/>
      <c r="Q838" s="8"/>
      <c r="R838" s="4"/>
      <c r="S838" s="8"/>
      <c r="T838" s="4"/>
      <c r="U838" s="8"/>
      <c r="V838" s="4"/>
      <c r="W838" s="8"/>
      <c r="X838" s="4"/>
      <c r="Y838" s="8"/>
      <c r="Z838" s="4"/>
      <c r="AA838" s="2"/>
      <c r="AB838" s="4"/>
      <c r="AC838" s="8"/>
      <c r="AD838" s="4"/>
    </row>
    <row r="839">
      <c r="B839" s="4"/>
      <c r="C839" s="4"/>
      <c r="D839" s="4"/>
      <c r="F839" s="4"/>
      <c r="G839" s="8"/>
      <c r="H839" s="4"/>
      <c r="I839" s="4"/>
      <c r="J839" s="4"/>
      <c r="K839" s="4"/>
      <c r="L839" s="4"/>
      <c r="M839" s="8"/>
      <c r="N839" s="4"/>
      <c r="O839" s="8"/>
      <c r="P839" s="4"/>
      <c r="Q839" s="8"/>
      <c r="R839" s="4"/>
      <c r="S839" s="8"/>
      <c r="T839" s="4"/>
      <c r="U839" s="8"/>
      <c r="V839" s="4"/>
      <c r="W839" s="8"/>
      <c r="X839" s="4"/>
      <c r="Y839" s="8"/>
      <c r="Z839" s="4"/>
      <c r="AA839" s="2"/>
      <c r="AB839" s="4"/>
      <c r="AC839" s="8"/>
      <c r="AD839" s="4"/>
    </row>
    <row r="840">
      <c r="B840" s="4"/>
      <c r="C840" s="4"/>
      <c r="D840" s="4"/>
      <c r="F840" s="4"/>
      <c r="G840" s="8"/>
      <c r="H840" s="4"/>
      <c r="I840" s="4"/>
      <c r="J840" s="4"/>
      <c r="K840" s="4"/>
      <c r="L840" s="4"/>
      <c r="M840" s="8"/>
      <c r="N840" s="4"/>
      <c r="O840" s="8"/>
      <c r="P840" s="4"/>
      <c r="Q840" s="8"/>
      <c r="R840" s="4"/>
      <c r="S840" s="8"/>
      <c r="T840" s="4"/>
      <c r="U840" s="8"/>
      <c r="V840" s="4"/>
      <c r="W840" s="8"/>
      <c r="X840" s="4"/>
      <c r="Y840" s="8"/>
      <c r="Z840" s="4"/>
      <c r="AA840" s="2"/>
      <c r="AB840" s="4"/>
      <c r="AC840" s="8"/>
      <c r="AD840" s="4"/>
    </row>
    <row r="841">
      <c r="B841" s="4"/>
      <c r="C841" s="4"/>
      <c r="D841" s="4"/>
      <c r="F841" s="4"/>
      <c r="G841" s="8"/>
      <c r="H841" s="4"/>
      <c r="I841" s="4"/>
      <c r="J841" s="4"/>
      <c r="K841" s="4"/>
      <c r="L841" s="4"/>
      <c r="M841" s="8"/>
      <c r="N841" s="4"/>
      <c r="O841" s="8"/>
      <c r="P841" s="4"/>
      <c r="Q841" s="8"/>
      <c r="R841" s="4"/>
      <c r="S841" s="8"/>
      <c r="T841" s="4"/>
      <c r="U841" s="8"/>
      <c r="V841" s="4"/>
      <c r="W841" s="8"/>
      <c r="X841" s="4"/>
      <c r="Y841" s="8"/>
      <c r="Z841" s="4"/>
      <c r="AA841" s="2"/>
      <c r="AB841" s="4"/>
      <c r="AC841" s="8"/>
      <c r="AD841" s="4"/>
    </row>
    <row r="842">
      <c r="B842" s="4"/>
      <c r="C842" s="4"/>
      <c r="D842" s="4"/>
      <c r="F842" s="4"/>
      <c r="G842" s="8"/>
      <c r="H842" s="4"/>
      <c r="I842" s="4"/>
      <c r="J842" s="4"/>
      <c r="K842" s="4"/>
      <c r="L842" s="4"/>
      <c r="M842" s="8"/>
      <c r="N842" s="4"/>
      <c r="O842" s="8"/>
      <c r="P842" s="4"/>
      <c r="Q842" s="8"/>
      <c r="R842" s="4"/>
      <c r="S842" s="8"/>
      <c r="T842" s="4"/>
      <c r="U842" s="8"/>
      <c r="V842" s="4"/>
      <c r="W842" s="8"/>
      <c r="X842" s="4"/>
      <c r="Y842" s="8"/>
      <c r="Z842" s="4"/>
      <c r="AA842" s="2"/>
      <c r="AB842" s="4"/>
      <c r="AC842" s="8"/>
      <c r="AD842" s="4"/>
    </row>
    <row r="843">
      <c r="B843" s="4"/>
      <c r="C843" s="4"/>
      <c r="D843" s="4"/>
      <c r="F843" s="4"/>
      <c r="G843" s="8"/>
      <c r="H843" s="4"/>
      <c r="I843" s="4"/>
      <c r="J843" s="4"/>
      <c r="K843" s="4"/>
      <c r="L843" s="4"/>
      <c r="M843" s="8"/>
      <c r="N843" s="4"/>
      <c r="O843" s="8"/>
      <c r="P843" s="4"/>
      <c r="Q843" s="8"/>
      <c r="R843" s="4"/>
      <c r="S843" s="8"/>
      <c r="T843" s="4"/>
      <c r="U843" s="8"/>
      <c r="V843" s="4"/>
      <c r="W843" s="8"/>
      <c r="X843" s="4"/>
      <c r="Y843" s="8"/>
      <c r="Z843" s="4"/>
      <c r="AA843" s="2"/>
      <c r="AB843" s="4"/>
      <c r="AC843" s="8"/>
      <c r="AD843" s="4"/>
    </row>
    <row r="844">
      <c r="B844" s="4"/>
      <c r="C844" s="4"/>
      <c r="D844" s="4"/>
      <c r="F844" s="4"/>
      <c r="G844" s="8"/>
      <c r="H844" s="4"/>
      <c r="I844" s="4"/>
      <c r="J844" s="4"/>
      <c r="K844" s="4"/>
      <c r="L844" s="4"/>
      <c r="M844" s="8"/>
      <c r="N844" s="4"/>
      <c r="O844" s="8"/>
      <c r="P844" s="4"/>
      <c r="Q844" s="8"/>
      <c r="R844" s="4"/>
      <c r="S844" s="8"/>
      <c r="T844" s="4"/>
      <c r="U844" s="8"/>
      <c r="V844" s="4"/>
      <c r="W844" s="8"/>
      <c r="X844" s="4"/>
      <c r="Y844" s="8"/>
      <c r="Z844" s="4"/>
      <c r="AA844" s="2"/>
      <c r="AB844" s="4"/>
      <c r="AC844" s="8"/>
      <c r="AD844" s="4"/>
    </row>
    <row r="845">
      <c r="B845" s="4"/>
      <c r="C845" s="4"/>
      <c r="D845" s="4"/>
      <c r="F845" s="4"/>
      <c r="G845" s="8"/>
      <c r="H845" s="4"/>
      <c r="I845" s="4"/>
      <c r="J845" s="4"/>
      <c r="K845" s="4"/>
      <c r="L845" s="4"/>
      <c r="M845" s="8"/>
      <c r="N845" s="4"/>
      <c r="O845" s="8"/>
      <c r="P845" s="4"/>
      <c r="Q845" s="8"/>
      <c r="R845" s="4"/>
      <c r="S845" s="8"/>
      <c r="T845" s="4"/>
      <c r="U845" s="8"/>
      <c r="V845" s="4"/>
      <c r="W845" s="8"/>
      <c r="X845" s="4"/>
      <c r="Y845" s="8"/>
      <c r="Z845" s="4"/>
      <c r="AA845" s="2"/>
      <c r="AB845" s="4"/>
      <c r="AC845" s="8"/>
      <c r="AD845" s="4"/>
    </row>
    <row r="846">
      <c r="B846" s="4"/>
      <c r="C846" s="4"/>
      <c r="D846" s="4"/>
      <c r="F846" s="4"/>
      <c r="G846" s="8"/>
      <c r="H846" s="4"/>
      <c r="I846" s="4"/>
      <c r="J846" s="4"/>
      <c r="K846" s="4"/>
      <c r="L846" s="4"/>
      <c r="M846" s="8"/>
      <c r="N846" s="4"/>
      <c r="O846" s="8"/>
      <c r="P846" s="4"/>
      <c r="Q846" s="8"/>
      <c r="R846" s="4"/>
      <c r="S846" s="8"/>
      <c r="T846" s="4"/>
      <c r="U846" s="8"/>
      <c r="V846" s="4"/>
      <c r="W846" s="8"/>
      <c r="X846" s="4"/>
      <c r="Y846" s="8"/>
      <c r="Z846" s="4"/>
      <c r="AA846" s="2"/>
      <c r="AB846" s="4"/>
      <c r="AC846" s="8"/>
      <c r="AD846" s="4"/>
    </row>
    <row r="847">
      <c r="B847" s="4"/>
      <c r="C847" s="4"/>
      <c r="D847" s="4"/>
      <c r="F847" s="4"/>
      <c r="G847" s="8"/>
      <c r="H847" s="4"/>
      <c r="I847" s="4"/>
      <c r="J847" s="4"/>
      <c r="K847" s="4"/>
      <c r="L847" s="4"/>
      <c r="M847" s="8"/>
      <c r="N847" s="4"/>
      <c r="O847" s="8"/>
      <c r="P847" s="4"/>
      <c r="Q847" s="8"/>
      <c r="R847" s="4"/>
      <c r="S847" s="8"/>
      <c r="T847" s="4"/>
      <c r="U847" s="8"/>
      <c r="V847" s="4"/>
      <c r="W847" s="8"/>
      <c r="X847" s="4"/>
      <c r="Y847" s="8"/>
      <c r="Z847" s="4"/>
      <c r="AA847" s="2"/>
      <c r="AB847" s="4"/>
      <c r="AC847" s="8"/>
      <c r="AD847" s="4"/>
    </row>
    <row r="848">
      <c r="B848" s="4"/>
      <c r="C848" s="4"/>
      <c r="D848" s="4"/>
      <c r="F848" s="4"/>
      <c r="G848" s="8"/>
      <c r="H848" s="4"/>
      <c r="I848" s="4"/>
      <c r="J848" s="4"/>
      <c r="K848" s="4"/>
      <c r="L848" s="4"/>
      <c r="M848" s="8"/>
      <c r="N848" s="4"/>
      <c r="O848" s="8"/>
      <c r="P848" s="4"/>
      <c r="Q848" s="8"/>
      <c r="R848" s="4"/>
      <c r="S848" s="8"/>
      <c r="T848" s="4"/>
      <c r="U848" s="8"/>
      <c r="V848" s="4"/>
      <c r="W848" s="8"/>
      <c r="X848" s="4"/>
      <c r="Y848" s="8"/>
      <c r="Z848" s="4"/>
      <c r="AA848" s="2"/>
      <c r="AB848" s="4"/>
      <c r="AC848" s="8"/>
      <c r="AD848" s="4"/>
    </row>
    <row r="849">
      <c r="B849" s="4"/>
      <c r="C849" s="4"/>
      <c r="D849" s="4"/>
      <c r="F849" s="4"/>
      <c r="G849" s="8"/>
      <c r="H849" s="4"/>
      <c r="I849" s="4"/>
      <c r="J849" s="4"/>
      <c r="K849" s="4"/>
      <c r="L849" s="4"/>
      <c r="M849" s="8"/>
      <c r="N849" s="4"/>
      <c r="O849" s="8"/>
      <c r="P849" s="4"/>
      <c r="Q849" s="8"/>
      <c r="R849" s="4"/>
      <c r="S849" s="8"/>
      <c r="T849" s="4"/>
      <c r="U849" s="8"/>
      <c r="V849" s="4"/>
      <c r="W849" s="8"/>
      <c r="X849" s="4"/>
      <c r="Y849" s="8"/>
      <c r="Z849" s="4"/>
      <c r="AA849" s="2"/>
      <c r="AB849" s="4"/>
      <c r="AC849" s="8"/>
      <c r="AD849" s="4"/>
    </row>
    <row r="850">
      <c r="B850" s="4"/>
      <c r="C850" s="4"/>
      <c r="D850" s="4"/>
      <c r="F850" s="4"/>
      <c r="G850" s="8"/>
      <c r="H850" s="4"/>
      <c r="I850" s="4"/>
      <c r="J850" s="4"/>
      <c r="K850" s="4"/>
      <c r="L850" s="4"/>
      <c r="M850" s="8"/>
      <c r="N850" s="4"/>
      <c r="O850" s="8"/>
      <c r="P850" s="4"/>
      <c r="Q850" s="8"/>
      <c r="R850" s="4"/>
      <c r="S850" s="8"/>
      <c r="T850" s="4"/>
      <c r="U850" s="8"/>
      <c r="V850" s="4"/>
      <c r="W850" s="8"/>
      <c r="X850" s="4"/>
      <c r="Y850" s="8"/>
      <c r="Z850" s="4"/>
      <c r="AA850" s="2"/>
      <c r="AB850" s="4"/>
      <c r="AC850" s="8"/>
      <c r="AD850" s="4"/>
    </row>
    <row r="851">
      <c r="B851" s="4"/>
      <c r="C851" s="4"/>
      <c r="D851" s="4"/>
      <c r="F851" s="4"/>
      <c r="G851" s="8"/>
      <c r="H851" s="4"/>
      <c r="I851" s="4"/>
      <c r="J851" s="4"/>
      <c r="K851" s="4"/>
      <c r="L851" s="4"/>
      <c r="M851" s="8"/>
      <c r="N851" s="4"/>
      <c r="O851" s="8"/>
      <c r="P851" s="4"/>
      <c r="Q851" s="8"/>
      <c r="R851" s="4"/>
      <c r="S851" s="8"/>
      <c r="T851" s="4"/>
      <c r="U851" s="8"/>
      <c r="V851" s="4"/>
      <c r="W851" s="8"/>
      <c r="X851" s="4"/>
      <c r="Y851" s="8"/>
      <c r="Z851" s="4"/>
      <c r="AA851" s="2"/>
      <c r="AB851" s="4"/>
      <c r="AC851" s="8"/>
      <c r="AD851" s="4"/>
    </row>
    <row r="852">
      <c r="B852" s="4"/>
      <c r="C852" s="4"/>
      <c r="D852" s="4"/>
      <c r="F852" s="4"/>
      <c r="G852" s="8"/>
      <c r="H852" s="4"/>
      <c r="I852" s="4"/>
      <c r="J852" s="4"/>
      <c r="K852" s="4"/>
      <c r="L852" s="4"/>
      <c r="M852" s="8"/>
      <c r="N852" s="4"/>
      <c r="O852" s="8"/>
      <c r="P852" s="4"/>
      <c r="Q852" s="8"/>
      <c r="R852" s="4"/>
      <c r="S852" s="8"/>
      <c r="T852" s="4"/>
      <c r="U852" s="8"/>
      <c r="V852" s="4"/>
      <c r="W852" s="8"/>
      <c r="X852" s="4"/>
      <c r="Y852" s="8"/>
      <c r="Z852" s="4"/>
      <c r="AA852" s="2"/>
      <c r="AB852" s="4"/>
      <c r="AC852" s="8"/>
      <c r="AD852" s="4"/>
    </row>
    <row r="853">
      <c r="B853" s="4"/>
      <c r="C853" s="4"/>
      <c r="D853" s="4"/>
      <c r="F853" s="4"/>
      <c r="G853" s="8"/>
      <c r="H853" s="4"/>
      <c r="I853" s="4"/>
      <c r="J853" s="4"/>
      <c r="K853" s="4"/>
      <c r="L853" s="4"/>
      <c r="M853" s="8"/>
      <c r="N853" s="4"/>
      <c r="O853" s="8"/>
      <c r="P853" s="4"/>
      <c r="Q853" s="8"/>
      <c r="R853" s="4"/>
      <c r="S853" s="8"/>
      <c r="T853" s="4"/>
      <c r="U853" s="8"/>
      <c r="V853" s="4"/>
      <c r="W853" s="8"/>
      <c r="X853" s="4"/>
      <c r="Y853" s="8"/>
      <c r="Z853" s="4"/>
      <c r="AA853" s="2"/>
      <c r="AB853" s="4"/>
      <c r="AC853" s="8"/>
      <c r="AD853" s="4"/>
    </row>
    <row r="854">
      <c r="B854" s="4"/>
      <c r="C854" s="4"/>
      <c r="D854" s="4"/>
      <c r="F854" s="4"/>
      <c r="G854" s="8"/>
      <c r="H854" s="4"/>
      <c r="I854" s="4"/>
      <c r="J854" s="4"/>
      <c r="K854" s="4"/>
      <c r="L854" s="4"/>
      <c r="M854" s="8"/>
      <c r="N854" s="4"/>
      <c r="O854" s="8"/>
      <c r="P854" s="4"/>
      <c r="Q854" s="8"/>
      <c r="R854" s="4"/>
      <c r="S854" s="8"/>
      <c r="T854" s="4"/>
      <c r="U854" s="8"/>
      <c r="V854" s="4"/>
      <c r="W854" s="8"/>
      <c r="X854" s="4"/>
      <c r="Y854" s="8"/>
      <c r="Z854" s="4"/>
      <c r="AA854" s="2"/>
      <c r="AB854" s="4"/>
      <c r="AC854" s="8"/>
      <c r="AD854" s="4"/>
    </row>
    <row r="855">
      <c r="B855" s="4"/>
      <c r="C855" s="4"/>
      <c r="D855" s="4"/>
      <c r="F855" s="4"/>
      <c r="G855" s="8"/>
      <c r="H855" s="4"/>
      <c r="I855" s="4"/>
      <c r="J855" s="4"/>
      <c r="K855" s="4"/>
      <c r="L855" s="4"/>
      <c r="M855" s="8"/>
      <c r="N855" s="4"/>
      <c r="O855" s="8"/>
      <c r="P855" s="4"/>
      <c r="Q855" s="8"/>
      <c r="R855" s="4"/>
      <c r="S855" s="8"/>
      <c r="T855" s="4"/>
      <c r="U855" s="8"/>
      <c r="V855" s="4"/>
      <c r="W855" s="8"/>
      <c r="X855" s="4"/>
      <c r="Y855" s="8"/>
      <c r="Z855" s="4"/>
      <c r="AA855" s="2"/>
      <c r="AB855" s="4"/>
      <c r="AC855" s="8"/>
      <c r="AD855" s="4"/>
    </row>
    <row r="856">
      <c r="B856" s="4"/>
      <c r="C856" s="4"/>
      <c r="D856" s="4"/>
      <c r="F856" s="4"/>
      <c r="G856" s="8"/>
      <c r="H856" s="4"/>
      <c r="I856" s="4"/>
      <c r="J856" s="4"/>
      <c r="K856" s="4"/>
      <c r="L856" s="4"/>
      <c r="M856" s="8"/>
      <c r="N856" s="4"/>
      <c r="O856" s="8"/>
      <c r="P856" s="4"/>
      <c r="Q856" s="8"/>
      <c r="R856" s="4"/>
      <c r="S856" s="8"/>
      <c r="T856" s="4"/>
      <c r="U856" s="8"/>
      <c r="V856" s="4"/>
      <c r="W856" s="8"/>
      <c r="X856" s="4"/>
      <c r="Y856" s="8"/>
      <c r="Z856" s="4"/>
      <c r="AA856" s="2"/>
      <c r="AB856" s="4"/>
      <c r="AC856" s="8"/>
      <c r="AD856" s="4"/>
    </row>
    <row r="857">
      <c r="B857" s="4"/>
      <c r="C857" s="4"/>
      <c r="D857" s="4"/>
      <c r="F857" s="4"/>
      <c r="G857" s="8"/>
      <c r="H857" s="4"/>
      <c r="I857" s="4"/>
      <c r="J857" s="4"/>
      <c r="K857" s="4"/>
      <c r="L857" s="4"/>
      <c r="M857" s="8"/>
      <c r="N857" s="4"/>
      <c r="O857" s="8"/>
      <c r="P857" s="4"/>
      <c r="Q857" s="8"/>
      <c r="R857" s="4"/>
      <c r="S857" s="8"/>
      <c r="T857" s="4"/>
      <c r="U857" s="8"/>
      <c r="V857" s="4"/>
      <c r="W857" s="8"/>
      <c r="X857" s="4"/>
      <c r="Y857" s="8"/>
      <c r="Z857" s="4"/>
      <c r="AA857" s="2"/>
      <c r="AB857" s="4"/>
      <c r="AC857" s="8"/>
      <c r="AD857" s="4"/>
    </row>
    <row r="858">
      <c r="B858" s="4"/>
      <c r="C858" s="4"/>
      <c r="D858" s="4"/>
      <c r="F858" s="4"/>
      <c r="G858" s="8"/>
      <c r="H858" s="4"/>
      <c r="I858" s="4"/>
      <c r="J858" s="4"/>
      <c r="K858" s="4"/>
      <c r="L858" s="4"/>
      <c r="M858" s="8"/>
      <c r="N858" s="4"/>
      <c r="O858" s="8"/>
      <c r="P858" s="4"/>
      <c r="Q858" s="8"/>
      <c r="R858" s="4"/>
      <c r="S858" s="8"/>
      <c r="T858" s="4"/>
      <c r="U858" s="8"/>
      <c r="V858" s="4"/>
      <c r="W858" s="8"/>
      <c r="X858" s="4"/>
      <c r="Y858" s="8"/>
      <c r="Z858" s="4"/>
      <c r="AA858" s="2"/>
      <c r="AB858" s="4"/>
      <c r="AC858" s="8"/>
      <c r="AD858" s="4"/>
    </row>
    <row r="859">
      <c r="B859" s="4"/>
      <c r="C859" s="4"/>
      <c r="D859" s="4"/>
      <c r="F859" s="4"/>
      <c r="G859" s="8"/>
      <c r="H859" s="4"/>
      <c r="I859" s="4"/>
      <c r="J859" s="4"/>
      <c r="K859" s="4"/>
      <c r="L859" s="4"/>
      <c r="M859" s="8"/>
      <c r="N859" s="4"/>
      <c r="O859" s="8"/>
      <c r="P859" s="4"/>
      <c r="Q859" s="8"/>
      <c r="R859" s="4"/>
      <c r="S859" s="8"/>
      <c r="T859" s="4"/>
      <c r="U859" s="8"/>
      <c r="V859" s="4"/>
      <c r="W859" s="8"/>
      <c r="X859" s="4"/>
      <c r="Y859" s="8"/>
      <c r="Z859" s="4"/>
      <c r="AA859" s="2"/>
      <c r="AB859" s="4"/>
      <c r="AC859" s="8"/>
      <c r="AD859" s="4"/>
    </row>
    <row r="860">
      <c r="B860" s="4"/>
      <c r="C860" s="4"/>
      <c r="D860" s="4"/>
      <c r="F860" s="4"/>
      <c r="G860" s="8"/>
      <c r="H860" s="4"/>
      <c r="I860" s="4"/>
      <c r="J860" s="4"/>
      <c r="K860" s="4"/>
      <c r="L860" s="4"/>
      <c r="M860" s="8"/>
      <c r="N860" s="4"/>
      <c r="O860" s="8"/>
      <c r="P860" s="4"/>
      <c r="Q860" s="8"/>
      <c r="R860" s="4"/>
      <c r="S860" s="8"/>
      <c r="T860" s="4"/>
      <c r="U860" s="8"/>
      <c r="V860" s="4"/>
      <c r="W860" s="8"/>
      <c r="X860" s="4"/>
      <c r="Y860" s="8"/>
      <c r="Z860" s="4"/>
      <c r="AA860" s="2"/>
      <c r="AB860" s="4"/>
      <c r="AC860" s="8"/>
      <c r="AD860" s="4"/>
    </row>
    <row r="861">
      <c r="B861" s="4"/>
      <c r="C861" s="4"/>
      <c r="D861" s="4"/>
      <c r="F861" s="4"/>
      <c r="G861" s="8"/>
      <c r="H861" s="4"/>
      <c r="I861" s="4"/>
      <c r="J861" s="4"/>
      <c r="K861" s="4"/>
      <c r="L861" s="4"/>
      <c r="M861" s="8"/>
      <c r="N861" s="4"/>
      <c r="O861" s="8"/>
      <c r="P861" s="4"/>
      <c r="Q861" s="8"/>
      <c r="R861" s="4"/>
      <c r="S861" s="8"/>
      <c r="T861" s="4"/>
      <c r="U861" s="8"/>
      <c r="V861" s="4"/>
      <c r="W861" s="8"/>
      <c r="X861" s="4"/>
      <c r="Y861" s="8"/>
      <c r="Z861" s="4"/>
      <c r="AA861" s="2"/>
      <c r="AB861" s="4"/>
      <c r="AC861" s="8"/>
      <c r="AD861" s="4"/>
    </row>
    <row r="862">
      <c r="B862" s="4"/>
      <c r="C862" s="4"/>
      <c r="D862" s="4"/>
      <c r="F862" s="4"/>
      <c r="G862" s="8"/>
      <c r="H862" s="4"/>
      <c r="I862" s="4"/>
      <c r="J862" s="4"/>
      <c r="K862" s="4"/>
      <c r="L862" s="4"/>
      <c r="M862" s="8"/>
      <c r="N862" s="4"/>
      <c r="O862" s="8"/>
      <c r="P862" s="4"/>
      <c r="Q862" s="8"/>
      <c r="R862" s="4"/>
      <c r="S862" s="8"/>
      <c r="T862" s="4"/>
      <c r="U862" s="8"/>
      <c r="V862" s="4"/>
      <c r="W862" s="8"/>
      <c r="X862" s="4"/>
      <c r="Y862" s="8"/>
      <c r="Z862" s="4"/>
      <c r="AA862" s="2"/>
      <c r="AB862" s="4"/>
      <c r="AC862" s="8"/>
      <c r="AD862" s="4"/>
    </row>
    <row r="863">
      <c r="B863" s="4"/>
      <c r="C863" s="4"/>
      <c r="D863" s="4"/>
      <c r="F863" s="4"/>
      <c r="G863" s="8"/>
      <c r="H863" s="4"/>
      <c r="I863" s="4"/>
      <c r="J863" s="4"/>
      <c r="K863" s="4"/>
      <c r="L863" s="4"/>
      <c r="M863" s="8"/>
      <c r="N863" s="4"/>
      <c r="O863" s="8"/>
      <c r="P863" s="4"/>
      <c r="Q863" s="8"/>
      <c r="R863" s="4"/>
      <c r="S863" s="8"/>
      <c r="T863" s="4"/>
      <c r="U863" s="8"/>
      <c r="V863" s="4"/>
      <c r="W863" s="8"/>
      <c r="X863" s="4"/>
      <c r="Y863" s="8"/>
      <c r="Z863" s="4"/>
      <c r="AA863" s="2"/>
      <c r="AB863" s="4"/>
      <c r="AC863" s="8"/>
      <c r="AD863" s="4"/>
    </row>
    <row r="864">
      <c r="B864" s="4"/>
      <c r="C864" s="4"/>
      <c r="D864" s="4"/>
      <c r="F864" s="4"/>
      <c r="G864" s="8"/>
      <c r="H864" s="4"/>
      <c r="I864" s="4"/>
      <c r="J864" s="4"/>
      <c r="K864" s="4"/>
      <c r="L864" s="4"/>
      <c r="M864" s="8"/>
      <c r="N864" s="4"/>
      <c r="O864" s="8"/>
      <c r="P864" s="4"/>
      <c r="Q864" s="8"/>
      <c r="R864" s="4"/>
      <c r="S864" s="8"/>
      <c r="T864" s="4"/>
      <c r="U864" s="8"/>
      <c r="V864" s="4"/>
      <c r="W864" s="8"/>
      <c r="X864" s="4"/>
      <c r="Y864" s="8"/>
      <c r="Z864" s="4"/>
      <c r="AA864" s="2"/>
      <c r="AB864" s="4"/>
      <c r="AC864" s="8"/>
      <c r="AD864" s="4"/>
    </row>
    <row r="865">
      <c r="B865" s="4"/>
      <c r="C865" s="4"/>
      <c r="D865" s="4"/>
      <c r="F865" s="4"/>
      <c r="G865" s="8"/>
      <c r="H865" s="4"/>
      <c r="I865" s="4"/>
      <c r="J865" s="4"/>
      <c r="K865" s="4"/>
      <c r="L865" s="4"/>
      <c r="M865" s="8"/>
      <c r="N865" s="4"/>
      <c r="O865" s="8"/>
      <c r="P865" s="4"/>
      <c r="Q865" s="8"/>
      <c r="R865" s="4"/>
      <c r="S865" s="8"/>
      <c r="T865" s="4"/>
      <c r="U865" s="8"/>
      <c r="V865" s="4"/>
      <c r="W865" s="8"/>
      <c r="X865" s="4"/>
      <c r="Y865" s="8"/>
      <c r="Z865" s="4"/>
      <c r="AA865" s="2"/>
      <c r="AB865" s="4"/>
      <c r="AC865" s="8"/>
      <c r="AD865" s="4"/>
    </row>
    <row r="866">
      <c r="B866" s="4"/>
      <c r="C866" s="4"/>
      <c r="D866" s="4"/>
      <c r="F866" s="4"/>
      <c r="G866" s="8"/>
      <c r="H866" s="4"/>
      <c r="I866" s="4"/>
      <c r="J866" s="4"/>
      <c r="K866" s="4"/>
      <c r="L866" s="4"/>
      <c r="M866" s="8"/>
      <c r="N866" s="4"/>
      <c r="O866" s="8"/>
      <c r="P866" s="4"/>
      <c r="Q866" s="8"/>
      <c r="R866" s="4"/>
      <c r="S866" s="8"/>
      <c r="T866" s="4"/>
      <c r="U866" s="8"/>
      <c r="V866" s="4"/>
      <c r="W866" s="8"/>
      <c r="X866" s="4"/>
      <c r="Y866" s="8"/>
      <c r="Z866" s="4"/>
      <c r="AA866" s="2"/>
      <c r="AB866" s="4"/>
      <c r="AC866" s="8"/>
      <c r="AD866" s="4"/>
    </row>
    <row r="867">
      <c r="B867" s="4"/>
      <c r="C867" s="4"/>
      <c r="D867" s="4"/>
      <c r="F867" s="4"/>
      <c r="G867" s="8"/>
      <c r="H867" s="4"/>
      <c r="I867" s="4"/>
      <c r="J867" s="4"/>
      <c r="K867" s="4"/>
      <c r="L867" s="4"/>
      <c r="M867" s="8"/>
      <c r="N867" s="4"/>
      <c r="O867" s="8"/>
      <c r="P867" s="4"/>
      <c r="Q867" s="8"/>
      <c r="R867" s="4"/>
      <c r="S867" s="8"/>
      <c r="T867" s="4"/>
      <c r="U867" s="8"/>
      <c r="V867" s="4"/>
      <c r="W867" s="8"/>
      <c r="X867" s="4"/>
      <c r="Y867" s="8"/>
      <c r="Z867" s="4"/>
      <c r="AA867" s="2"/>
      <c r="AB867" s="4"/>
      <c r="AC867" s="8"/>
      <c r="AD867" s="4"/>
    </row>
    <row r="868">
      <c r="B868" s="4"/>
      <c r="C868" s="4"/>
      <c r="D868" s="4"/>
      <c r="F868" s="4"/>
      <c r="G868" s="8"/>
      <c r="H868" s="4"/>
      <c r="I868" s="4"/>
      <c r="J868" s="4"/>
      <c r="K868" s="4"/>
      <c r="L868" s="4"/>
      <c r="M868" s="8"/>
      <c r="N868" s="4"/>
      <c r="O868" s="8"/>
      <c r="P868" s="4"/>
      <c r="Q868" s="8"/>
      <c r="R868" s="4"/>
      <c r="S868" s="8"/>
      <c r="T868" s="4"/>
      <c r="U868" s="8"/>
      <c r="V868" s="4"/>
      <c r="W868" s="8"/>
      <c r="X868" s="4"/>
      <c r="Y868" s="8"/>
      <c r="Z868" s="4"/>
      <c r="AA868" s="2"/>
      <c r="AB868" s="4"/>
      <c r="AC868" s="8"/>
      <c r="AD868" s="4"/>
    </row>
    <row r="869">
      <c r="B869" s="4"/>
      <c r="C869" s="4"/>
      <c r="D869" s="4"/>
      <c r="F869" s="4"/>
      <c r="G869" s="8"/>
      <c r="H869" s="4"/>
      <c r="I869" s="4"/>
      <c r="J869" s="4"/>
      <c r="K869" s="4"/>
      <c r="L869" s="4"/>
      <c r="M869" s="8"/>
      <c r="N869" s="4"/>
      <c r="O869" s="8"/>
      <c r="P869" s="4"/>
      <c r="Q869" s="8"/>
      <c r="R869" s="4"/>
      <c r="S869" s="8"/>
      <c r="T869" s="4"/>
      <c r="U869" s="8"/>
      <c r="V869" s="4"/>
      <c r="W869" s="8"/>
      <c r="X869" s="4"/>
      <c r="Y869" s="8"/>
      <c r="Z869" s="4"/>
      <c r="AA869" s="2"/>
      <c r="AB869" s="4"/>
      <c r="AC869" s="8"/>
      <c r="AD869" s="4"/>
    </row>
    <row r="870">
      <c r="B870" s="4"/>
      <c r="C870" s="4"/>
      <c r="D870" s="4"/>
      <c r="F870" s="4"/>
      <c r="G870" s="8"/>
      <c r="H870" s="4"/>
      <c r="I870" s="4"/>
      <c r="J870" s="4"/>
      <c r="K870" s="4"/>
      <c r="L870" s="4"/>
      <c r="M870" s="8"/>
      <c r="N870" s="4"/>
      <c r="O870" s="8"/>
      <c r="P870" s="4"/>
      <c r="Q870" s="8"/>
      <c r="R870" s="4"/>
      <c r="S870" s="8"/>
      <c r="T870" s="4"/>
      <c r="U870" s="8"/>
      <c r="V870" s="4"/>
      <c r="W870" s="8"/>
      <c r="X870" s="4"/>
      <c r="Y870" s="8"/>
      <c r="Z870" s="4"/>
      <c r="AA870" s="2"/>
      <c r="AB870" s="4"/>
      <c r="AC870" s="8"/>
      <c r="AD870" s="4"/>
    </row>
    <row r="871">
      <c r="B871" s="4"/>
      <c r="C871" s="4"/>
      <c r="D871" s="4"/>
      <c r="F871" s="4"/>
      <c r="G871" s="8"/>
      <c r="H871" s="4"/>
      <c r="I871" s="4"/>
      <c r="J871" s="4"/>
      <c r="K871" s="4"/>
      <c r="L871" s="4"/>
      <c r="M871" s="8"/>
      <c r="N871" s="4"/>
      <c r="O871" s="8"/>
      <c r="P871" s="4"/>
      <c r="Q871" s="8"/>
      <c r="R871" s="4"/>
      <c r="S871" s="8"/>
      <c r="T871" s="4"/>
      <c r="U871" s="8"/>
      <c r="V871" s="4"/>
      <c r="W871" s="8"/>
      <c r="X871" s="4"/>
      <c r="Y871" s="8"/>
      <c r="Z871" s="4"/>
      <c r="AA871" s="2"/>
      <c r="AB871" s="4"/>
      <c r="AC871" s="8"/>
      <c r="AD871" s="4"/>
    </row>
    <row r="872">
      <c r="B872" s="4"/>
      <c r="C872" s="4"/>
      <c r="D872" s="4"/>
      <c r="F872" s="4"/>
      <c r="G872" s="8"/>
      <c r="H872" s="4"/>
      <c r="I872" s="4"/>
      <c r="J872" s="4"/>
      <c r="K872" s="4"/>
      <c r="L872" s="4"/>
      <c r="M872" s="8"/>
      <c r="N872" s="4"/>
      <c r="O872" s="8"/>
      <c r="P872" s="4"/>
      <c r="Q872" s="8"/>
      <c r="R872" s="4"/>
      <c r="S872" s="8"/>
      <c r="T872" s="4"/>
      <c r="U872" s="8"/>
      <c r="V872" s="4"/>
      <c r="W872" s="8"/>
      <c r="X872" s="4"/>
      <c r="Y872" s="8"/>
      <c r="Z872" s="4"/>
      <c r="AA872" s="2"/>
      <c r="AB872" s="4"/>
      <c r="AC872" s="8"/>
      <c r="AD872" s="4"/>
    </row>
    <row r="873">
      <c r="B873" s="4"/>
      <c r="C873" s="4"/>
      <c r="D873" s="4"/>
      <c r="F873" s="4"/>
      <c r="G873" s="8"/>
      <c r="H873" s="4"/>
      <c r="I873" s="4"/>
      <c r="J873" s="4"/>
      <c r="K873" s="4"/>
      <c r="L873" s="4"/>
      <c r="M873" s="8"/>
      <c r="N873" s="4"/>
      <c r="O873" s="8"/>
      <c r="P873" s="4"/>
      <c r="Q873" s="8"/>
      <c r="R873" s="4"/>
      <c r="S873" s="8"/>
      <c r="T873" s="4"/>
      <c r="U873" s="8"/>
      <c r="V873" s="4"/>
      <c r="W873" s="8"/>
      <c r="X873" s="4"/>
      <c r="Y873" s="8"/>
      <c r="Z873" s="4"/>
      <c r="AA873" s="2"/>
      <c r="AB873" s="4"/>
      <c r="AC873" s="8"/>
      <c r="AD873" s="4"/>
    </row>
    <row r="874">
      <c r="B874" s="4"/>
      <c r="C874" s="4"/>
      <c r="D874" s="4"/>
      <c r="F874" s="4"/>
      <c r="G874" s="8"/>
      <c r="H874" s="4"/>
      <c r="I874" s="4"/>
      <c r="J874" s="4"/>
      <c r="K874" s="4"/>
      <c r="L874" s="4"/>
      <c r="M874" s="8"/>
      <c r="N874" s="4"/>
      <c r="O874" s="8"/>
      <c r="P874" s="4"/>
      <c r="Q874" s="8"/>
      <c r="R874" s="4"/>
      <c r="S874" s="8"/>
      <c r="T874" s="4"/>
      <c r="U874" s="8"/>
      <c r="V874" s="4"/>
      <c r="W874" s="8"/>
      <c r="X874" s="4"/>
      <c r="Y874" s="8"/>
      <c r="Z874" s="4"/>
      <c r="AA874" s="2"/>
      <c r="AB874" s="4"/>
      <c r="AC874" s="8"/>
      <c r="AD874" s="4"/>
    </row>
    <row r="875">
      <c r="B875" s="4"/>
      <c r="C875" s="4"/>
      <c r="D875" s="4"/>
      <c r="F875" s="4"/>
      <c r="G875" s="8"/>
      <c r="H875" s="4"/>
      <c r="I875" s="4"/>
      <c r="J875" s="4"/>
      <c r="K875" s="4"/>
      <c r="L875" s="4"/>
      <c r="M875" s="8"/>
      <c r="N875" s="4"/>
      <c r="O875" s="8"/>
      <c r="P875" s="4"/>
      <c r="Q875" s="8"/>
      <c r="R875" s="4"/>
      <c r="S875" s="8"/>
      <c r="T875" s="4"/>
      <c r="U875" s="8"/>
      <c r="V875" s="4"/>
      <c r="W875" s="8"/>
      <c r="X875" s="4"/>
      <c r="Y875" s="8"/>
      <c r="Z875" s="4"/>
      <c r="AA875" s="2"/>
      <c r="AB875" s="4"/>
      <c r="AC875" s="8"/>
      <c r="AD875" s="4"/>
    </row>
    <row r="876">
      <c r="B876" s="4"/>
      <c r="C876" s="4"/>
      <c r="D876" s="4"/>
      <c r="F876" s="4"/>
      <c r="G876" s="8"/>
      <c r="H876" s="4"/>
      <c r="I876" s="4"/>
      <c r="J876" s="4"/>
      <c r="K876" s="4"/>
      <c r="L876" s="4"/>
      <c r="M876" s="8"/>
      <c r="N876" s="4"/>
      <c r="O876" s="8"/>
      <c r="P876" s="4"/>
      <c r="Q876" s="8"/>
      <c r="R876" s="4"/>
      <c r="S876" s="8"/>
      <c r="T876" s="4"/>
      <c r="U876" s="8"/>
      <c r="V876" s="4"/>
      <c r="W876" s="8"/>
      <c r="X876" s="4"/>
      <c r="Y876" s="8"/>
      <c r="Z876" s="4"/>
      <c r="AA876" s="2"/>
      <c r="AB876" s="4"/>
      <c r="AC876" s="8"/>
      <c r="AD876" s="4"/>
    </row>
    <row r="877">
      <c r="B877" s="4"/>
      <c r="C877" s="4"/>
      <c r="D877" s="4"/>
      <c r="F877" s="4"/>
      <c r="G877" s="8"/>
      <c r="H877" s="4"/>
      <c r="I877" s="4"/>
      <c r="J877" s="4"/>
      <c r="K877" s="4"/>
      <c r="L877" s="4"/>
      <c r="M877" s="8"/>
      <c r="N877" s="4"/>
      <c r="O877" s="8"/>
      <c r="P877" s="4"/>
      <c r="Q877" s="8"/>
      <c r="R877" s="4"/>
      <c r="S877" s="8"/>
      <c r="T877" s="4"/>
      <c r="U877" s="8"/>
      <c r="V877" s="4"/>
      <c r="W877" s="8"/>
      <c r="X877" s="4"/>
      <c r="Y877" s="8"/>
      <c r="Z877" s="4"/>
      <c r="AA877" s="2"/>
      <c r="AB877" s="4"/>
      <c r="AC877" s="8"/>
      <c r="AD877" s="4"/>
    </row>
    <row r="878">
      <c r="B878" s="4"/>
      <c r="C878" s="4"/>
      <c r="D878" s="4"/>
      <c r="F878" s="4"/>
      <c r="G878" s="8"/>
      <c r="H878" s="4"/>
      <c r="I878" s="4"/>
      <c r="J878" s="4"/>
      <c r="K878" s="4"/>
      <c r="L878" s="4"/>
      <c r="M878" s="8"/>
      <c r="N878" s="4"/>
      <c r="O878" s="8"/>
      <c r="P878" s="4"/>
      <c r="Q878" s="8"/>
      <c r="R878" s="4"/>
      <c r="S878" s="8"/>
      <c r="T878" s="4"/>
      <c r="U878" s="8"/>
      <c r="V878" s="4"/>
      <c r="W878" s="8"/>
      <c r="X878" s="4"/>
      <c r="Y878" s="8"/>
      <c r="Z878" s="4"/>
      <c r="AA878" s="2"/>
      <c r="AB878" s="4"/>
      <c r="AC878" s="8"/>
      <c r="AD878" s="4"/>
    </row>
    <row r="879">
      <c r="B879" s="4"/>
      <c r="C879" s="4"/>
      <c r="D879" s="4"/>
      <c r="F879" s="4"/>
      <c r="G879" s="8"/>
      <c r="H879" s="4"/>
      <c r="I879" s="4"/>
      <c r="J879" s="4"/>
      <c r="K879" s="4"/>
      <c r="L879" s="4"/>
      <c r="M879" s="8"/>
      <c r="N879" s="4"/>
      <c r="O879" s="8"/>
      <c r="P879" s="4"/>
      <c r="Q879" s="8"/>
      <c r="R879" s="4"/>
      <c r="S879" s="8"/>
      <c r="T879" s="4"/>
      <c r="U879" s="8"/>
      <c r="V879" s="4"/>
      <c r="W879" s="8"/>
      <c r="X879" s="4"/>
      <c r="Y879" s="8"/>
      <c r="Z879" s="4"/>
      <c r="AA879" s="2"/>
      <c r="AB879" s="4"/>
      <c r="AC879" s="8"/>
      <c r="AD879" s="4"/>
    </row>
    <row r="880">
      <c r="B880" s="4"/>
      <c r="C880" s="4"/>
      <c r="D880" s="4"/>
      <c r="F880" s="4"/>
      <c r="G880" s="8"/>
      <c r="H880" s="4"/>
      <c r="I880" s="4"/>
      <c r="J880" s="4"/>
      <c r="K880" s="4"/>
      <c r="L880" s="4"/>
      <c r="M880" s="8"/>
      <c r="N880" s="4"/>
      <c r="O880" s="8"/>
      <c r="P880" s="4"/>
      <c r="Q880" s="8"/>
      <c r="R880" s="4"/>
      <c r="S880" s="8"/>
      <c r="T880" s="4"/>
      <c r="U880" s="8"/>
      <c r="V880" s="4"/>
      <c r="W880" s="8"/>
      <c r="X880" s="4"/>
      <c r="Y880" s="8"/>
      <c r="Z880" s="4"/>
      <c r="AA880" s="2"/>
      <c r="AB880" s="4"/>
      <c r="AC880" s="8"/>
      <c r="AD880" s="4"/>
    </row>
    <row r="881">
      <c r="B881" s="4"/>
      <c r="C881" s="4"/>
      <c r="D881" s="4"/>
      <c r="F881" s="4"/>
      <c r="G881" s="8"/>
      <c r="H881" s="4"/>
      <c r="I881" s="4"/>
      <c r="J881" s="4"/>
      <c r="K881" s="4"/>
      <c r="L881" s="4"/>
      <c r="M881" s="8"/>
      <c r="N881" s="4"/>
      <c r="O881" s="8"/>
      <c r="P881" s="4"/>
      <c r="Q881" s="8"/>
      <c r="R881" s="4"/>
      <c r="S881" s="8"/>
      <c r="T881" s="4"/>
      <c r="U881" s="8"/>
      <c r="V881" s="4"/>
      <c r="W881" s="8"/>
      <c r="X881" s="4"/>
      <c r="Y881" s="8"/>
      <c r="Z881" s="4"/>
      <c r="AA881" s="2"/>
      <c r="AB881" s="4"/>
      <c r="AC881" s="8"/>
      <c r="AD881" s="4"/>
    </row>
    <row r="882">
      <c r="B882" s="4"/>
      <c r="C882" s="4"/>
      <c r="D882" s="4"/>
      <c r="F882" s="4"/>
      <c r="G882" s="8"/>
      <c r="H882" s="4"/>
      <c r="I882" s="4"/>
      <c r="J882" s="4"/>
      <c r="K882" s="4"/>
      <c r="L882" s="4"/>
      <c r="M882" s="8"/>
      <c r="N882" s="4"/>
      <c r="O882" s="8"/>
      <c r="P882" s="4"/>
      <c r="Q882" s="8"/>
      <c r="R882" s="4"/>
      <c r="S882" s="8"/>
      <c r="T882" s="4"/>
      <c r="U882" s="8"/>
      <c r="V882" s="4"/>
      <c r="W882" s="8"/>
      <c r="X882" s="4"/>
      <c r="Y882" s="8"/>
      <c r="Z882" s="4"/>
      <c r="AA882" s="2"/>
      <c r="AB882" s="4"/>
      <c r="AC882" s="8"/>
      <c r="AD882" s="4"/>
    </row>
    <row r="883">
      <c r="B883" s="4"/>
      <c r="C883" s="4"/>
      <c r="D883" s="4"/>
      <c r="F883" s="4"/>
      <c r="G883" s="8"/>
      <c r="H883" s="4"/>
      <c r="I883" s="4"/>
      <c r="J883" s="4"/>
      <c r="K883" s="4"/>
      <c r="L883" s="4"/>
      <c r="M883" s="8"/>
      <c r="N883" s="4"/>
      <c r="O883" s="8"/>
      <c r="P883" s="4"/>
      <c r="Q883" s="8"/>
      <c r="R883" s="4"/>
      <c r="S883" s="8"/>
      <c r="T883" s="4"/>
      <c r="U883" s="8"/>
      <c r="V883" s="4"/>
      <c r="W883" s="8"/>
      <c r="X883" s="4"/>
      <c r="Y883" s="8"/>
      <c r="Z883" s="4"/>
      <c r="AA883" s="2"/>
      <c r="AB883" s="4"/>
      <c r="AC883" s="8"/>
      <c r="AD883" s="4"/>
    </row>
    <row r="884">
      <c r="B884" s="4"/>
      <c r="C884" s="4"/>
      <c r="D884" s="4"/>
      <c r="F884" s="4"/>
      <c r="G884" s="8"/>
      <c r="H884" s="4"/>
      <c r="I884" s="4"/>
      <c r="J884" s="4"/>
      <c r="K884" s="4"/>
      <c r="L884" s="4"/>
      <c r="M884" s="8"/>
      <c r="N884" s="4"/>
      <c r="O884" s="8"/>
      <c r="P884" s="4"/>
      <c r="Q884" s="8"/>
      <c r="R884" s="4"/>
      <c r="S884" s="8"/>
      <c r="T884" s="4"/>
      <c r="U884" s="8"/>
      <c r="V884" s="4"/>
      <c r="W884" s="8"/>
      <c r="X884" s="4"/>
      <c r="Y884" s="8"/>
      <c r="Z884" s="4"/>
      <c r="AA884" s="2"/>
      <c r="AB884" s="4"/>
      <c r="AC884" s="8"/>
      <c r="AD884" s="4"/>
    </row>
    <row r="885">
      <c r="B885" s="4"/>
      <c r="C885" s="4"/>
      <c r="D885" s="4"/>
      <c r="F885" s="4"/>
      <c r="G885" s="8"/>
      <c r="H885" s="4"/>
      <c r="I885" s="4"/>
      <c r="J885" s="4"/>
      <c r="K885" s="4"/>
      <c r="L885" s="4"/>
      <c r="M885" s="8"/>
      <c r="N885" s="4"/>
      <c r="O885" s="8"/>
      <c r="P885" s="4"/>
      <c r="Q885" s="8"/>
      <c r="R885" s="4"/>
      <c r="S885" s="8"/>
      <c r="T885" s="4"/>
      <c r="U885" s="8"/>
      <c r="V885" s="4"/>
      <c r="W885" s="8"/>
      <c r="X885" s="4"/>
      <c r="Y885" s="8"/>
      <c r="Z885" s="4"/>
      <c r="AA885" s="2"/>
      <c r="AB885" s="4"/>
      <c r="AC885" s="8"/>
      <c r="AD885" s="4"/>
    </row>
    <row r="886">
      <c r="B886" s="4"/>
      <c r="C886" s="4"/>
      <c r="D886" s="4"/>
      <c r="F886" s="4"/>
      <c r="G886" s="8"/>
      <c r="H886" s="4"/>
      <c r="I886" s="4"/>
      <c r="J886" s="4"/>
      <c r="K886" s="4"/>
      <c r="L886" s="4"/>
      <c r="M886" s="8"/>
      <c r="N886" s="4"/>
      <c r="O886" s="8"/>
      <c r="P886" s="4"/>
      <c r="Q886" s="8"/>
      <c r="R886" s="4"/>
      <c r="S886" s="8"/>
      <c r="T886" s="4"/>
      <c r="U886" s="8"/>
      <c r="V886" s="4"/>
      <c r="W886" s="8"/>
      <c r="X886" s="4"/>
      <c r="Y886" s="8"/>
      <c r="Z886" s="4"/>
      <c r="AA886" s="2"/>
      <c r="AB886" s="4"/>
      <c r="AC886" s="8"/>
      <c r="AD886" s="4"/>
    </row>
    <row r="887">
      <c r="B887" s="4"/>
      <c r="C887" s="4"/>
      <c r="D887" s="4"/>
      <c r="F887" s="4"/>
      <c r="G887" s="8"/>
      <c r="H887" s="4"/>
      <c r="I887" s="4"/>
      <c r="J887" s="4"/>
      <c r="K887" s="4"/>
      <c r="L887" s="4"/>
      <c r="M887" s="8"/>
      <c r="N887" s="4"/>
      <c r="O887" s="8"/>
      <c r="P887" s="4"/>
      <c r="Q887" s="8"/>
      <c r="R887" s="4"/>
      <c r="S887" s="8"/>
      <c r="T887" s="4"/>
      <c r="U887" s="8"/>
      <c r="V887" s="4"/>
      <c r="W887" s="8"/>
      <c r="X887" s="4"/>
      <c r="Y887" s="8"/>
      <c r="Z887" s="4"/>
      <c r="AA887" s="2"/>
      <c r="AB887" s="4"/>
      <c r="AC887" s="8"/>
      <c r="AD887" s="4"/>
    </row>
    <row r="888">
      <c r="B888" s="4"/>
      <c r="C888" s="4"/>
      <c r="D888" s="4"/>
      <c r="F888" s="4"/>
      <c r="G888" s="8"/>
      <c r="H888" s="4"/>
      <c r="I888" s="4"/>
      <c r="J888" s="4"/>
      <c r="K888" s="4"/>
      <c r="L888" s="4"/>
      <c r="M888" s="8"/>
      <c r="N888" s="4"/>
      <c r="O888" s="8"/>
      <c r="P888" s="4"/>
      <c r="Q888" s="8"/>
      <c r="R888" s="4"/>
      <c r="S888" s="8"/>
      <c r="T888" s="4"/>
      <c r="U888" s="8"/>
      <c r="V888" s="4"/>
      <c r="W888" s="8"/>
      <c r="X888" s="4"/>
      <c r="Y888" s="8"/>
      <c r="Z888" s="4"/>
      <c r="AA888" s="2"/>
      <c r="AB888" s="4"/>
      <c r="AC888" s="8"/>
      <c r="AD888" s="4"/>
    </row>
    <row r="889">
      <c r="B889" s="4"/>
      <c r="C889" s="4"/>
      <c r="D889" s="4"/>
      <c r="F889" s="4"/>
      <c r="G889" s="8"/>
      <c r="H889" s="4"/>
      <c r="I889" s="4"/>
      <c r="J889" s="4"/>
      <c r="K889" s="4"/>
      <c r="L889" s="4"/>
      <c r="M889" s="8"/>
      <c r="N889" s="4"/>
      <c r="O889" s="8"/>
      <c r="P889" s="4"/>
      <c r="Q889" s="8"/>
      <c r="R889" s="4"/>
      <c r="S889" s="8"/>
      <c r="T889" s="4"/>
      <c r="U889" s="8"/>
      <c r="V889" s="4"/>
      <c r="W889" s="8"/>
      <c r="X889" s="4"/>
      <c r="Y889" s="8"/>
      <c r="Z889" s="4"/>
      <c r="AA889" s="2"/>
      <c r="AB889" s="4"/>
      <c r="AC889" s="8"/>
      <c r="AD889" s="4"/>
    </row>
    <row r="890">
      <c r="B890" s="4"/>
      <c r="C890" s="4"/>
      <c r="D890" s="4"/>
      <c r="F890" s="4"/>
      <c r="G890" s="8"/>
      <c r="H890" s="4"/>
      <c r="I890" s="4"/>
      <c r="J890" s="4"/>
      <c r="K890" s="4"/>
      <c r="L890" s="4"/>
      <c r="M890" s="8"/>
      <c r="N890" s="4"/>
      <c r="O890" s="8"/>
      <c r="P890" s="4"/>
      <c r="Q890" s="8"/>
      <c r="R890" s="4"/>
      <c r="S890" s="8"/>
      <c r="T890" s="4"/>
      <c r="U890" s="8"/>
      <c r="V890" s="4"/>
      <c r="W890" s="8"/>
      <c r="X890" s="4"/>
      <c r="Y890" s="8"/>
      <c r="Z890" s="4"/>
      <c r="AA890" s="2"/>
      <c r="AB890" s="4"/>
      <c r="AC890" s="8"/>
      <c r="AD890" s="4"/>
    </row>
    <row r="891">
      <c r="B891" s="4"/>
      <c r="C891" s="4"/>
      <c r="D891" s="4"/>
      <c r="F891" s="4"/>
      <c r="G891" s="8"/>
      <c r="H891" s="4"/>
      <c r="I891" s="4"/>
      <c r="J891" s="4"/>
      <c r="K891" s="4"/>
      <c r="L891" s="4"/>
      <c r="M891" s="8"/>
      <c r="N891" s="4"/>
      <c r="O891" s="8"/>
      <c r="P891" s="4"/>
      <c r="Q891" s="8"/>
      <c r="R891" s="4"/>
      <c r="S891" s="8"/>
      <c r="T891" s="4"/>
      <c r="U891" s="8"/>
      <c r="V891" s="4"/>
      <c r="W891" s="8"/>
      <c r="X891" s="4"/>
      <c r="Y891" s="8"/>
      <c r="Z891" s="4"/>
      <c r="AA891" s="2"/>
      <c r="AB891" s="4"/>
      <c r="AC891" s="8"/>
      <c r="AD891" s="4"/>
    </row>
    <row r="892">
      <c r="B892" s="4"/>
      <c r="C892" s="4"/>
      <c r="D892" s="4"/>
      <c r="F892" s="4"/>
      <c r="G892" s="8"/>
      <c r="H892" s="4"/>
      <c r="I892" s="4"/>
      <c r="J892" s="4"/>
      <c r="K892" s="4"/>
      <c r="L892" s="4"/>
      <c r="M892" s="8"/>
      <c r="N892" s="4"/>
      <c r="O892" s="8"/>
      <c r="P892" s="4"/>
      <c r="Q892" s="8"/>
      <c r="R892" s="4"/>
      <c r="S892" s="8"/>
      <c r="T892" s="4"/>
      <c r="U892" s="8"/>
      <c r="V892" s="4"/>
      <c r="W892" s="8"/>
      <c r="X892" s="4"/>
      <c r="Y892" s="8"/>
      <c r="Z892" s="4"/>
      <c r="AA892" s="2"/>
      <c r="AB892" s="4"/>
      <c r="AC892" s="8"/>
      <c r="AD892" s="4"/>
    </row>
    <row r="893">
      <c r="B893" s="4"/>
      <c r="C893" s="4"/>
      <c r="D893" s="4"/>
      <c r="F893" s="4"/>
      <c r="G893" s="8"/>
      <c r="H893" s="4"/>
      <c r="I893" s="4"/>
      <c r="J893" s="4"/>
      <c r="K893" s="4"/>
      <c r="L893" s="4"/>
      <c r="M893" s="8"/>
      <c r="N893" s="4"/>
      <c r="O893" s="8"/>
      <c r="P893" s="4"/>
      <c r="Q893" s="8"/>
      <c r="R893" s="4"/>
      <c r="S893" s="8"/>
      <c r="T893" s="4"/>
      <c r="U893" s="8"/>
      <c r="V893" s="4"/>
      <c r="W893" s="8"/>
      <c r="X893" s="4"/>
      <c r="Y893" s="8"/>
      <c r="Z893" s="4"/>
      <c r="AA893" s="2"/>
      <c r="AB893" s="4"/>
      <c r="AC893" s="8"/>
      <c r="AD893" s="4"/>
    </row>
    <row r="894">
      <c r="B894" s="4"/>
      <c r="C894" s="4"/>
      <c r="D894" s="4"/>
      <c r="F894" s="4"/>
      <c r="G894" s="8"/>
      <c r="H894" s="4"/>
      <c r="I894" s="4"/>
      <c r="J894" s="4"/>
      <c r="K894" s="4"/>
      <c r="L894" s="4"/>
      <c r="M894" s="8"/>
      <c r="N894" s="4"/>
      <c r="O894" s="8"/>
      <c r="P894" s="4"/>
      <c r="Q894" s="8"/>
      <c r="R894" s="4"/>
      <c r="S894" s="8"/>
      <c r="T894" s="4"/>
      <c r="U894" s="8"/>
      <c r="V894" s="4"/>
      <c r="W894" s="8"/>
      <c r="X894" s="4"/>
      <c r="Y894" s="8"/>
      <c r="Z894" s="4"/>
      <c r="AA894" s="2"/>
      <c r="AB894" s="4"/>
      <c r="AC894" s="8"/>
      <c r="AD894" s="4"/>
    </row>
    <row r="895">
      <c r="B895" s="4"/>
      <c r="C895" s="4"/>
      <c r="D895" s="4"/>
      <c r="F895" s="4"/>
      <c r="G895" s="8"/>
      <c r="H895" s="4"/>
      <c r="I895" s="4"/>
      <c r="J895" s="4"/>
      <c r="K895" s="4"/>
      <c r="L895" s="4"/>
      <c r="M895" s="8"/>
      <c r="N895" s="4"/>
      <c r="O895" s="8"/>
      <c r="P895" s="4"/>
      <c r="Q895" s="8"/>
      <c r="R895" s="4"/>
      <c r="S895" s="8"/>
      <c r="T895" s="4"/>
      <c r="U895" s="8"/>
      <c r="V895" s="4"/>
      <c r="W895" s="8"/>
      <c r="X895" s="4"/>
      <c r="Y895" s="8"/>
      <c r="Z895" s="4"/>
      <c r="AA895" s="2"/>
      <c r="AB895" s="4"/>
      <c r="AC895" s="8"/>
      <c r="AD895" s="4"/>
    </row>
    <row r="896">
      <c r="B896" s="4"/>
      <c r="C896" s="4"/>
      <c r="D896" s="4"/>
      <c r="F896" s="4"/>
      <c r="G896" s="8"/>
      <c r="H896" s="4"/>
      <c r="I896" s="4"/>
      <c r="J896" s="4"/>
      <c r="K896" s="4"/>
      <c r="L896" s="4"/>
      <c r="M896" s="8"/>
      <c r="N896" s="4"/>
      <c r="O896" s="8"/>
      <c r="P896" s="4"/>
      <c r="Q896" s="8"/>
      <c r="R896" s="4"/>
      <c r="S896" s="8"/>
      <c r="T896" s="4"/>
      <c r="U896" s="8"/>
      <c r="V896" s="4"/>
      <c r="W896" s="8"/>
      <c r="X896" s="4"/>
      <c r="Y896" s="8"/>
      <c r="Z896" s="4"/>
      <c r="AA896" s="2"/>
      <c r="AB896" s="4"/>
      <c r="AC896" s="8"/>
      <c r="AD896" s="4"/>
    </row>
    <row r="897">
      <c r="B897" s="4"/>
      <c r="C897" s="4"/>
      <c r="D897" s="4"/>
      <c r="F897" s="4"/>
      <c r="G897" s="8"/>
      <c r="H897" s="4"/>
      <c r="I897" s="4"/>
      <c r="J897" s="4"/>
      <c r="K897" s="4"/>
      <c r="L897" s="4"/>
      <c r="M897" s="8"/>
      <c r="N897" s="4"/>
      <c r="O897" s="8"/>
      <c r="P897" s="4"/>
      <c r="Q897" s="8"/>
      <c r="R897" s="4"/>
      <c r="S897" s="8"/>
      <c r="T897" s="4"/>
      <c r="U897" s="8"/>
      <c r="V897" s="4"/>
      <c r="W897" s="8"/>
      <c r="X897" s="4"/>
      <c r="Y897" s="8"/>
      <c r="Z897" s="4"/>
      <c r="AA897" s="2"/>
      <c r="AB897" s="4"/>
      <c r="AC897" s="8"/>
      <c r="AD897" s="4"/>
    </row>
    <row r="898">
      <c r="B898" s="4"/>
      <c r="C898" s="4"/>
      <c r="D898" s="4"/>
      <c r="F898" s="4"/>
      <c r="G898" s="8"/>
      <c r="H898" s="4"/>
      <c r="I898" s="4"/>
      <c r="J898" s="4"/>
      <c r="K898" s="4"/>
      <c r="L898" s="4"/>
      <c r="M898" s="8"/>
      <c r="N898" s="4"/>
      <c r="O898" s="8"/>
      <c r="P898" s="4"/>
      <c r="Q898" s="8"/>
      <c r="R898" s="4"/>
      <c r="S898" s="8"/>
      <c r="T898" s="4"/>
      <c r="U898" s="8"/>
      <c r="V898" s="4"/>
      <c r="W898" s="8"/>
      <c r="X898" s="4"/>
      <c r="Y898" s="8"/>
      <c r="Z898" s="4"/>
      <c r="AA898" s="2"/>
      <c r="AB898" s="4"/>
      <c r="AC898" s="8"/>
      <c r="AD898" s="4"/>
    </row>
    <row r="899">
      <c r="B899" s="4"/>
      <c r="C899" s="4"/>
      <c r="D899" s="4"/>
      <c r="F899" s="4"/>
      <c r="G899" s="8"/>
      <c r="H899" s="4"/>
      <c r="I899" s="4"/>
      <c r="J899" s="4"/>
      <c r="K899" s="4"/>
      <c r="L899" s="4"/>
      <c r="M899" s="8"/>
      <c r="N899" s="4"/>
      <c r="O899" s="8"/>
      <c r="P899" s="4"/>
      <c r="Q899" s="8"/>
      <c r="R899" s="4"/>
      <c r="S899" s="8"/>
      <c r="T899" s="4"/>
      <c r="U899" s="8"/>
      <c r="V899" s="4"/>
      <c r="W899" s="8"/>
      <c r="X899" s="4"/>
      <c r="Y899" s="8"/>
      <c r="Z899" s="4"/>
      <c r="AA899" s="2"/>
      <c r="AB899" s="4"/>
      <c r="AC899" s="8"/>
      <c r="AD899" s="4"/>
    </row>
    <row r="900">
      <c r="B900" s="4"/>
      <c r="C900" s="4"/>
      <c r="D900" s="4"/>
      <c r="F900" s="4"/>
      <c r="G900" s="8"/>
      <c r="H900" s="4"/>
      <c r="I900" s="4"/>
      <c r="J900" s="4"/>
      <c r="K900" s="4"/>
      <c r="L900" s="4"/>
      <c r="M900" s="8"/>
      <c r="N900" s="4"/>
      <c r="O900" s="8"/>
      <c r="P900" s="4"/>
      <c r="Q900" s="8"/>
      <c r="R900" s="4"/>
      <c r="S900" s="8"/>
      <c r="T900" s="4"/>
      <c r="U900" s="8"/>
      <c r="V900" s="4"/>
      <c r="W900" s="8"/>
      <c r="X900" s="4"/>
      <c r="Y900" s="8"/>
      <c r="Z900" s="4"/>
      <c r="AA900" s="2"/>
      <c r="AB900" s="4"/>
      <c r="AC900" s="8"/>
      <c r="AD900" s="4"/>
    </row>
    <row r="901">
      <c r="B901" s="4"/>
      <c r="C901" s="4"/>
      <c r="D901" s="4"/>
      <c r="F901" s="4"/>
      <c r="G901" s="8"/>
      <c r="H901" s="4"/>
      <c r="I901" s="4"/>
      <c r="J901" s="4"/>
      <c r="K901" s="4"/>
      <c r="L901" s="4"/>
      <c r="M901" s="8"/>
      <c r="N901" s="4"/>
      <c r="O901" s="8"/>
      <c r="P901" s="4"/>
      <c r="Q901" s="8"/>
      <c r="R901" s="4"/>
      <c r="S901" s="8"/>
      <c r="T901" s="4"/>
      <c r="U901" s="8"/>
      <c r="V901" s="4"/>
      <c r="W901" s="8"/>
      <c r="X901" s="4"/>
      <c r="Y901" s="8"/>
      <c r="Z901" s="4"/>
      <c r="AA901" s="2"/>
      <c r="AB901" s="4"/>
      <c r="AC901" s="8"/>
      <c r="AD901" s="4"/>
    </row>
    <row r="902">
      <c r="B902" s="4"/>
      <c r="C902" s="4"/>
      <c r="D902" s="4"/>
      <c r="F902" s="4"/>
      <c r="G902" s="8"/>
      <c r="H902" s="4"/>
      <c r="I902" s="4"/>
      <c r="J902" s="4"/>
      <c r="K902" s="4"/>
      <c r="L902" s="4"/>
      <c r="M902" s="8"/>
      <c r="N902" s="4"/>
      <c r="O902" s="8"/>
      <c r="P902" s="4"/>
      <c r="Q902" s="8"/>
      <c r="R902" s="4"/>
      <c r="S902" s="8"/>
      <c r="T902" s="4"/>
      <c r="U902" s="8"/>
      <c r="V902" s="4"/>
      <c r="W902" s="8"/>
      <c r="X902" s="4"/>
      <c r="Y902" s="8"/>
      <c r="Z902" s="4"/>
      <c r="AA902" s="2"/>
      <c r="AB902" s="4"/>
      <c r="AC902" s="8"/>
      <c r="AD902" s="4"/>
    </row>
    <row r="903">
      <c r="B903" s="4"/>
      <c r="C903" s="4"/>
      <c r="D903" s="4"/>
      <c r="F903" s="4"/>
      <c r="G903" s="8"/>
      <c r="H903" s="4"/>
      <c r="I903" s="4"/>
      <c r="J903" s="4"/>
      <c r="K903" s="4"/>
      <c r="L903" s="4"/>
      <c r="M903" s="8"/>
      <c r="N903" s="4"/>
      <c r="O903" s="8"/>
      <c r="P903" s="4"/>
      <c r="Q903" s="8"/>
      <c r="R903" s="4"/>
      <c r="S903" s="8"/>
      <c r="T903" s="4"/>
      <c r="U903" s="8"/>
      <c r="V903" s="4"/>
      <c r="W903" s="8"/>
      <c r="X903" s="4"/>
      <c r="Y903" s="8"/>
      <c r="Z903" s="4"/>
      <c r="AA903" s="2"/>
      <c r="AB903" s="4"/>
      <c r="AC903" s="8"/>
      <c r="AD903" s="4"/>
    </row>
    <row r="904">
      <c r="B904" s="4"/>
      <c r="C904" s="4"/>
      <c r="D904" s="4"/>
      <c r="F904" s="4"/>
      <c r="G904" s="8"/>
      <c r="H904" s="4"/>
      <c r="I904" s="4"/>
      <c r="J904" s="4"/>
      <c r="K904" s="4"/>
      <c r="L904" s="4"/>
      <c r="M904" s="8"/>
      <c r="N904" s="4"/>
      <c r="O904" s="8"/>
      <c r="P904" s="4"/>
      <c r="Q904" s="8"/>
      <c r="R904" s="4"/>
      <c r="S904" s="8"/>
      <c r="T904" s="4"/>
      <c r="U904" s="8"/>
      <c r="V904" s="4"/>
      <c r="W904" s="8"/>
      <c r="X904" s="4"/>
      <c r="Y904" s="8"/>
      <c r="Z904" s="4"/>
      <c r="AA904" s="2"/>
      <c r="AB904" s="4"/>
      <c r="AC904" s="8"/>
      <c r="AD904" s="4"/>
    </row>
    <row r="905">
      <c r="B905" s="4"/>
      <c r="C905" s="4"/>
      <c r="D905" s="4"/>
      <c r="F905" s="4"/>
      <c r="G905" s="8"/>
      <c r="H905" s="4"/>
      <c r="I905" s="4"/>
      <c r="J905" s="4"/>
      <c r="K905" s="4"/>
      <c r="L905" s="4"/>
      <c r="M905" s="8"/>
      <c r="N905" s="4"/>
      <c r="O905" s="8"/>
      <c r="P905" s="4"/>
      <c r="Q905" s="8"/>
      <c r="R905" s="4"/>
      <c r="S905" s="8"/>
      <c r="T905" s="4"/>
      <c r="U905" s="8"/>
      <c r="V905" s="4"/>
      <c r="W905" s="8"/>
      <c r="X905" s="4"/>
      <c r="Y905" s="8"/>
      <c r="Z905" s="4"/>
      <c r="AA905" s="2"/>
      <c r="AB905" s="4"/>
      <c r="AC905" s="8"/>
      <c r="AD905" s="4"/>
    </row>
    <row r="906">
      <c r="B906" s="4"/>
      <c r="C906" s="4"/>
      <c r="D906" s="4"/>
      <c r="F906" s="4"/>
      <c r="G906" s="8"/>
      <c r="H906" s="4"/>
      <c r="I906" s="4"/>
      <c r="J906" s="4"/>
      <c r="K906" s="4"/>
      <c r="L906" s="4"/>
      <c r="M906" s="8"/>
      <c r="N906" s="4"/>
      <c r="O906" s="8"/>
      <c r="P906" s="4"/>
      <c r="Q906" s="8"/>
      <c r="R906" s="4"/>
      <c r="S906" s="8"/>
      <c r="T906" s="4"/>
      <c r="U906" s="8"/>
      <c r="V906" s="4"/>
      <c r="W906" s="8"/>
      <c r="X906" s="4"/>
      <c r="Y906" s="8"/>
      <c r="Z906" s="4"/>
      <c r="AA906" s="2"/>
      <c r="AB906" s="4"/>
      <c r="AC906" s="8"/>
      <c r="AD906" s="4"/>
    </row>
    <row r="907">
      <c r="B907" s="4"/>
      <c r="C907" s="4"/>
      <c r="D907" s="4"/>
      <c r="F907" s="4"/>
      <c r="G907" s="8"/>
      <c r="H907" s="4"/>
      <c r="I907" s="4"/>
      <c r="J907" s="4"/>
      <c r="K907" s="4"/>
      <c r="L907" s="4"/>
      <c r="M907" s="8"/>
      <c r="N907" s="4"/>
      <c r="O907" s="8"/>
      <c r="P907" s="4"/>
      <c r="Q907" s="8"/>
      <c r="R907" s="4"/>
      <c r="S907" s="8"/>
      <c r="T907" s="4"/>
      <c r="U907" s="8"/>
      <c r="V907" s="4"/>
      <c r="W907" s="8"/>
      <c r="X907" s="4"/>
      <c r="Y907" s="8"/>
      <c r="Z907" s="4"/>
      <c r="AA907" s="2"/>
      <c r="AB907" s="4"/>
      <c r="AC907" s="8"/>
      <c r="AD907" s="4"/>
    </row>
    <row r="908">
      <c r="B908" s="4"/>
      <c r="C908" s="4"/>
      <c r="D908" s="4"/>
      <c r="F908" s="4"/>
      <c r="G908" s="8"/>
      <c r="H908" s="4"/>
      <c r="I908" s="4"/>
      <c r="J908" s="4"/>
      <c r="K908" s="4"/>
      <c r="L908" s="4"/>
      <c r="M908" s="8"/>
      <c r="N908" s="4"/>
      <c r="O908" s="8"/>
      <c r="P908" s="4"/>
      <c r="Q908" s="8"/>
      <c r="R908" s="4"/>
      <c r="S908" s="8"/>
      <c r="T908" s="4"/>
      <c r="U908" s="8"/>
      <c r="V908" s="4"/>
      <c r="W908" s="8"/>
      <c r="X908" s="4"/>
      <c r="Y908" s="8"/>
      <c r="Z908" s="4"/>
      <c r="AA908" s="2"/>
      <c r="AB908" s="4"/>
      <c r="AC908" s="8"/>
      <c r="AD908" s="4"/>
    </row>
    <row r="909">
      <c r="B909" s="4"/>
      <c r="C909" s="4"/>
      <c r="D909" s="4"/>
      <c r="F909" s="4"/>
      <c r="G909" s="8"/>
      <c r="H909" s="4"/>
      <c r="I909" s="4"/>
      <c r="J909" s="4"/>
      <c r="K909" s="4"/>
      <c r="L909" s="4"/>
      <c r="M909" s="8"/>
      <c r="N909" s="4"/>
      <c r="O909" s="8"/>
      <c r="P909" s="4"/>
      <c r="Q909" s="8"/>
      <c r="R909" s="4"/>
      <c r="S909" s="8"/>
      <c r="T909" s="4"/>
      <c r="U909" s="8"/>
      <c r="V909" s="4"/>
      <c r="W909" s="8"/>
      <c r="X909" s="4"/>
      <c r="Y909" s="8"/>
      <c r="Z909" s="4"/>
      <c r="AA909" s="2"/>
      <c r="AB909" s="4"/>
      <c r="AC909" s="8"/>
      <c r="AD909" s="4"/>
    </row>
    <row r="910">
      <c r="B910" s="4"/>
      <c r="C910" s="4"/>
      <c r="D910" s="4"/>
      <c r="F910" s="4"/>
      <c r="G910" s="8"/>
      <c r="H910" s="4"/>
      <c r="I910" s="4"/>
      <c r="J910" s="4"/>
      <c r="K910" s="4"/>
      <c r="L910" s="4"/>
      <c r="M910" s="8"/>
      <c r="N910" s="4"/>
      <c r="O910" s="8"/>
      <c r="P910" s="4"/>
      <c r="Q910" s="8"/>
      <c r="R910" s="4"/>
      <c r="S910" s="8"/>
      <c r="T910" s="4"/>
      <c r="U910" s="8"/>
      <c r="V910" s="4"/>
      <c r="W910" s="8"/>
      <c r="X910" s="4"/>
      <c r="Y910" s="8"/>
      <c r="Z910" s="4"/>
      <c r="AA910" s="2"/>
      <c r="AB910" s="4"/>
      <c r="AC910" s="8"/>
      <c r="AD910" s="4"/>
    </row>
    <row r="911">
      <c r="B911" s="4"/>
      <c r="C911" s="4"/>
      <c r="D911" s="4"/>
      <c r="F911" s="4"/>
      <c r="G911" s="8"/>
      <c r="H911" s="4"/>
      <c r="I911" s="4"/>
      <c r="J911" s="4"/>
      <c r="K911" s="4"/>
      <c r="L911" s="4"/>
      <c r="M911" s="8"/>
      <c r="N911" s="4"/>
      <c r="O911" s="8"/>
      <c r="P911" s="4"/>
      <c r="Q911" s="8"/>
      <c r="R911" s="4"/>
      <c r="S911" s="8"/>
      <c r="T911" s="4"/>
      <c r="U911" s="8"/>
      <c r="V911" s="4"/>
      <c r="W911" s="8"/>
      <c r="X911" s="4"/>
      <c r="Y911" s="8"/>
      <c r="Z911" s="4"/>
      <c r="AA911" s="2"/>
      <c r="AB911" s="4"/>
      <c r="AC911" s="8"/>
      <c r="AD911" s="4"/>
    </row>
    <row r="912">
      <c r="B912" s="4"/>
      <c r="C912" s="4"/>
      <c r="D912" s="4"/>
      <c r="F912" s="4"/>
      <c r="G912" s="8"/>
      <c r="H912" s="4"/>
      <c r="I912" s="4"/>
      <c r="J912" s="4"/>
      <c r="K912" s="4"/>
      <c r="L912" s="4"/>
      <c r="M912" s="8"/>
      <c r="N912" s="4"/>
      <c r="O912" s="8"/>
      <c r="P912" s="4"/>
      <c r="Q912" s="8"/>
      <c r="R912" s="4"/>
      <c r="S912" s="8"/>
      <c r="T912" s="4"/>
      <c r="U912" s="8"/>
      <c r="V912" s="4"/>
      <c r="W912" s="8"/>
      <c r="X912" s="4"/>
      <c r="Y912" s="8"/>
      <c r="Z912" s="4"/>
      <c r="AA912" s="2"/>
      <c r="AB912" s="4"/>
      <c r="AC912" s="8"/>
      <c r="AD912" s="4"/>
    </row>
    <row r="913">
      <c r="B913" s="4"/>
      <c r="C913" s="4"/>
      <c r="D913" s="4"/>
      <c r="F913" s="4"/>
      <c r="G913" s="8"/>
      <c r="H913" s="4"/>
      <c r="I913" s="4"/>
      <c r="J913" s="4"/>
      <c r="K913" s="4"/>
      <c r="L913" s="4"/>
      <c r="M913" s="8"/>
      <c r="N913" s="4"/>
      <c r="O913" s="8"/>
      <c r="P913" s="4"/>
      <c r="Q913" s="8"/>
      <c r="R913" s="4"/>
      <c r="S913" s="8"/>
      <c r="T913" s="4"/>
      <c r="U913" s="8"/>
      <c r="V913" s="4"/>
      <c r="W913" s="8"/>
      <c r="X913" s="4"/>
      <c r="Y913" s="8"/>
      <c r="Z913" s="4"/>
      <c r="AA913" s="2"/>
      <c r="AB913" s="4"/>
      <c r="AC913" s="8"/>
      <c r="AD913" s="4"/>
    </row>
    <row r="914">
      <c r="B914" s="4"/>
      <c r="C914" s="4"/>
      <c r="D914" s="4"/>
      <c r="F914" s="4"/>
      <c r="G914" s="8"/>
      <c r="H914" s="4"/>
      <c r="I914" s="4"/>
      <c r="J914" s="4"/>
      <c r="K914" s="4"/>
      <c r="L914" s="4"/>
      <c r="M914" s="8"/>
      <c r="N914" s="4"/>
      <c r="O914" s="8"/>
      <c r="P914" s="4"/>
      <c r="Q914" s="8"/>
      <c r="R914" s="4"/>
      <c r="S914" s="8"/>
      <c r="T914" s="4"/>
      <c r="U914" s="8"/>
      <c r="V914" s="4"/>
      <c r="W914" s="8"/>
      <c r="X914" s="4"/>
      <c r="Y914" s="8"/>
      <c r="Z914" s="4"/>
      <c r="AA914" s="2"/>
      <c r="AB914" s="4"/>
      <c r="AC914" s="8"/>
      <c r="AD914" s="4"/>
    </row>
    <row r="915">
      <c r="B915" s="4"/>
      <c r="C915" s="4"/>
      <c r="D915" s="4"/>
      <c r="F915" s="4"/>
      <c r="G915" s="8"/>
      <c r="H915" s="4"/>
      <c r="I915" s="4"/>
      <c r="J915" s="4"/>
      <c r="K915" s="4"/>
      <c r="L915" s="4"/>
      <c r="M915" s="8"/>
      <c r="N915" s="4"/>
      <c r="O915" s="8"/>
      <c r="P915" s="4"/>
      <c r="Q915" s="8"/>
      <c r="R915" s="4"/>
      <c r="S915" s="8"/>
      <c r="T915" s="4"/>
      <c r="U915" s="8"/>
      <c r="V915" s="4"/>
      <c r="W915" s="8"/>
      <c r="X915" s="4"/>
      <c r="Y915" s="8"/>
      <c r="Z915" s="4"/>
      <c r="AA915" s="2"/>
      <c r="AB915" s="4"/>
      <c r="AC915" s="8"/>
      <c r="AD915" s="4"/>
    </row>
    <row r="916">
      <c r="B916" s="4"/>
      <c r="C916" s="4"/>
      <c r="D916" s="4"/>
      <c r="F916" s="4"/>
      <c r="G916" s="8"/>
      <c r="H916" s="4"/>
      <c r="I916" s="4"/>
      <c r="J916" s="4"/>
      <c r="K916" s="4"/>
      <c r="L916" s="4"/>
      <c r="M916" s="8"/>
      <c r="N916" s="4"/>
      <c r="O916" s="8"/>
      <c r="P916" s="4"/>
      <c r="Q916" s="8"/>
      <c r="R916" s="4"/>
      <c r="S916" s="8"/>
      <c r="T916" s="4"/>
      <c r="U916" s="8"/>
      <c r="V916" s="4"/>
      <c r="W916" s="8"/>
      <c r="X916" s="4"/>
      <c r="Y916" s="8"/>
      <c r="Z916" s="4"/>
      <c r="AA916" s="2"/>
      <c r="AB916" s="4"/>
      <c r="AC916" s="8"/>
      <c r="AD916" s="4"/>
    </row>
    <row r="917">
      <c r="B917" s="4"/>
      <c r="C917" s="4"/>
      <c r="D917" s="4"/>
      <c r="F917" s="4"/>
      <c r="G917" s="8"/>
      <c r="H917" s="4"/>
      <c r="I917" s="4"/>
      <c r="J917" s="4"/>
      <c r="K917" s="4"/>
      <c r="L917" s="4"/>
      <c r="M917" s="8"/>
      <c r="N917" s="4"/>
      <c r="O917" s="8"/>
      <c r="P917" s="4"/>
      <c r="Q917" s="8"/>
      <c r="R917" s="4"/>
      <c r="S917" s="8"/>
      <c r="T917" s="4"/>
      <c r="U917" s="8"/>
      <c r="V917" s="4"/>
      <c r="W917" s="8"/>
      <c r="X917" s="4"/>
      <c r="Y917" s="8"/>
      <c r="Z917" s="4"/>
      <c r="AA917" s="2"/>
      <c r="AB917" s="4"/>
      <c r="AC917" s="8"/>
      <c r="AD917" s="4"/>
    </row>
    <row r="918">
      <c r="B918" s="4"/>
      <c r="C918" s="4"/>
      <c r="D918" s="4"/>
      <c r="F918" s="4"/>
      <c r="G918" s="8"/>
      <c r="H918" s="4"/>
      <c r="I918" s="4"/>
      <c r="J918" s="4"/>
      <c r="K918" s="4"/>
      <c r="L918" s="4"/>
      <c r="M918" s="8"/>
      <c r="N918" s="4"/>
      <c r="O918" s="8"/>
      <c r="P918" s="4"/>
      <c r="Q918" s="8"/>
      <c r="R918" s="4"/>
      <c r="S918" s="8"/>
      <c r="T918" s="4"/>
      <c r="U918" s="8"/>
      <c r="V918" s="4"/>
      <c r="W918" s="8"/>
      <c r="X918" s="4"/>
      <c r="Y918" s="8"/>
      <c r="Z918" s="4"/>
      <c r="AA918" s="2"/>
      <c r="AB918" s="4"/>
      <c r="AC918" s="8"/>
      <c r="AD918" s="4"/>
    </row>
    <row r="919">
      <c r="B919" s="4"/>
      <c r="C919" s="4"/>
      <c r="D919" s="4"/>
      <c r="F919" s="4"/>
      <c r="G919" s="8"/>
      <c r="H919" s="4"/>
      <c r="I919" s="4"/>
      <c r="J919" s="4"/>
      <c r="K919" s="4"/>
      <c r="L919" s="4"/>
      <c r="M919" s="8"/>
      <c r="N919" s="4"/>
      <c r="O919" s="8"/>
      <c r="P919" s="4"/>
      <c r="Q919" s="8"/>
      <c r="R919" s="4"/>
      <c r="S919" s="8"/>
      <c r="T919" s="4"/>
      <c r="U919" s="8"/>
      <c r="V919" s="4"/>
      <c r="W919" s="8"/>
      <c r="X919" s="4"/>
      <c r="Y919" s="8"/>
      <c r="Z919" s="4"/>
      <c r="AA919" s="2"/>
      <c r="AB919" s="4"/>
      <c r="AC919" s="8"/>
      <c r="AD919" s="4"/>
    </row>
    <row r="920">
      <c r="B920" s="4"/>
      <c r="C920" s="4"/>
      <c r="D920" s="4"/>
      <c r="F920" s="4"/>
      <c r="G920" s="8"/>
      <c r="H920" s="4"/>
      <c r="I920" s="4"/>
      <c r="J920" s="4"/>
      <c r="K920" s="4"/>
      <c r="L920" s="4"/>
      <c r="M920" s="8"/>
      <c r="N920" s="4"/>
      <c r="O920" s="8"/>
      <c r="P920" s="4"/>
      <c r="Q920" s="8"/>
      <c r="R920" s="4"/>
      <c r="S920" s="8"/>
      <c r="T920" s="4"/>
      <c r="U920" s="8"/>
      <c r="V920" s="4"/>
      <c r="W920" s="8"/>
      <c r="X920" s="4"/>
      <c r="Y920" s="8"/>
      <c r="Z920" s="4"/>
      <c r="AA920" s="2"/>
      <c r="AB920" s="4"/>
      <c r="AC920" s="8"/>
      <c r="AD920" s="4"/>
    </row>
    <row r="921">
      <c r="B921" s="4"/>
      <c r="C921" s="4"/>
      <c r="D921" s="4"/>
      <c r="F921" s="4"/>
      <c r="G921" s="8"/>
      <c r="H921" s="4"/>
      <c r="I921" s="4"/>
      <c r="J921" s="4"/>
      <c r="K921" s="4"/>
      <c r="L921" s="4"/>
      <c r="M921" s="8"/>
      <c r="N921" s="4"/>
      <c r="O921" s="8"/>
      <c r="P921" s="4"/>
      <c r="Q921" s="8"/>
      <c r="R921" s="4"/>
      <c r="S921" s="8"/>
      <c r="T921" s="4"/>
      <c r="U921" s="8"/>
      <c r="V921" s="4"/>
      <c r="W921" s="8"/>
      <c r="X921" s="4"/>
      <c r="Y921" s="8"/>
      <c r="Z921" s="4"/>
      <c r="AA921" s="2"/>
      <c r="AB921" s="4"/>
      <c r="AC921" s="8"/>
      <c r="AD921" s="4"/>
    </row>
    <row r="922">
      <c r="B922" s="4"/>
      <c r="C922" s="4"/>
      <c r="D922" s="4"/>
      <c r="F922" s="4"/>
      <c r="G922" s="8"/>
      <c r="H922" s="4"/>
      <c r="I922" s="4"/>
      <c r="J922" s="4"/>
      <c r="K922" s="4"/>
      <c r="L922" s="4"/>
      <c r="M922" s="8"/>
      <c r="N922" s="4"/>
      <c r="O922" s="8"/>
      <c r="P922" s="4"/>
      <c r="Q922" s="8"/>
      <c r="R922" s="4"/>
      <c r="S922" s="8"/>
      <c r="T922" s="4"/>
      <c r="U922" s="8"/>
      <c r="V922" s="4"/>
      <c r="W922" s="8"/>
      <c r="X922" s="4"/>
      <c r="Y922" s="8"/>
      <c r="Z922" s="4"/>
      <c r="AA922" s="2"/>
      <c r="AB922" s="4"/>
      <c r="AC922" s="8"/>
      <c r="AD922" s="4"/>
    </row>
    <row r="923">
      <c r="B923" s="4"/>
      <c r="C923" s="4"/>
      <c r="D923" s="4"/>
      <c r="F923" s="4"/>
      <c r="G923" s="8"/>
      <c r="H923" s="4"/>
      <c r="I923" s="4"/>
      <c r="J923" s="4"/>
      <c r="K923" s="4"/>
      <c r="L923" s="4"/>
      <c r="M923" s="8"/>
      <c r="N923" s="4"/>
      <c r="O923" s="8"/>
      <c r="P923" s="4"/>
      <c r="Q923" s="8"/>
      <c r="R923" s="4"/>
      <c r="S923" s="8"/>
      <c r="T923" s="4"/>
      <c r="U923" s="8"/>
      <c r="V923" s="4"/>
      <c r="W923" s="8"/>
      <c r="X923" s="4"/>
      <c r="Y923" s="8"/>
      <c r="Z923" s="4"/>
      <c r="AA923" s="2"/>
      <c r="AB923" s="4"/>
      <c r="AC923" s="8"/>
      <c r="AD923" s="4"/>
    </row>
    <row r="924">
      <c r="B924" s="4"/>
      <c r="C924" s="4"/>
      <c r="D924" s="4"/>
      <c r="F924" s="4"/>
      <c r="G924" s="8"/>
      <c r="H924" s="4"/>
      <c r="I924" s="4"/>
      <c r="J924" s="4"/>
      <c r="K924" s="4"/>
      <c r="L924" s="4"/>
      <c r="M924" s="8"/>
      <c r="N924" s="4"/>
      <c r="O924" s="8"/>
      <c r="P924" s="4"/>
      <c r="Q924" s="8"/>
      <c r="R924" s="4"/>
      <c r="S924" s="8"/>
      <c r="T924" s="4"/>
      <c r="U924" s="8"/>
      <c r="V924" s="4"/>
      <c r="W924" s="8"/>
      <c r="X924" s="4"/>
      <c r="Y924" s="8"/>
      <c r="Z924" s="4"/>
      <c r="AA924" s="2"/>
      <c r="AB924" s="4"/>
      <c r="AC924" s="8"/>
      <c r="AD924" s="4"/>
    </row>
    <row r="925">
      <c r="B925" s="4"/>
      <c r="C925" s="4"/>
      <c r="D925" s="4"/>
      <c r="F925" s="4"/>
      <c r="G925" s="8"/>
      <c r="H925" s="4"/>
      <c r="I925" s="4"/>
      <c r="J925" s="4"/>
      <c r="K925" s="4"/>
      <c r="L925" s="4"/>
      <c r="M925" s="8"/>
      <c r="N925" s="4"/>
      <c r="O925" s="8"/>
      <c r="P925" s="4"/>
      <c r="Q925" s="8"/>
      <c r="R925" s="4"/>
      <c r="S925" s="8"/>
      <c r="T925" s="4"/>
      <c r="U925" s="8"/>
      <c r="V925" s="4"/>
      <c r="W925" s="8"/>
      <c r="X925" s="4"/>
      <c r="Y925" s="8"/>
      <c r="Z925" s="4"/>
      <c r="AA925" s="2"/>
      <c r="AB925" s="4"/>
      <c r="AC925" s="8"/>
      <c r="AD925" s="4"/>
    </row>
    <row r="926">
      <c r="B926" s="4"/>
      <c r="C926" s="4"/>
      <c r="D926" s="4"/>
      <c r="F926" s="4"/>
      <c r="G926" s="8"/>
      <c r="H926" s="4"/>
      <c r="I926" s="4"/>
      <c r="J926" s="4"/>
      <c r="K926" s="4"/>
      <c r="L926" s="4"/>
      <c r="M926" s="8"/>
      <c r="N926" s="4"/>
      <c r="O926" s="8"/>
      <c r="P926" s="4"/>
      <c r="Q926" s="8"/>
      <c r="R926" s="4"/>
      <c r="S926" s="8"/>
      <c r="T926" s="4"/>
      <c r="U926" s="8"/>
      <c r="V926" s="4"/>
      <c r="W926" s="8"/>
      <c r="X926" s="4"/>
      <c r="Y926" s="8"/>
      <c r="Z926" s="4"/>
      <c r="AA926" s="2"/>
      <c r="AB926" s="4"/>
      <c r="AC926" s="8"/>
      <c r="AD926" s="4"/>
    </row>
    <row r="927">
      <c r="B927" s="4"/>
      <c r="C927" s="4"/>
      <c r="D927" s="4"/>
      <c r="F927" s="4"/>
      <c r="G927" s="8"/>
      <c r="H927" s="4"/>
      <c r="I927" s="4"/>
      <c r="J927" s="4"/>
      <c r="K927" s="4"/>
      <c r="L927" s="4"/>
      <c r="M927" s="8"/>
      <c r="N927" s="4"/>
      <c r="O927" s="8"/>
      <c r="P927" s="4"/>
      <c r="Q927" s="8"/>
      <c r="R927" s="4"/>
      <c r="S927" s="8"/>
      <c r="T927" s="4"/>
      <c r="U927" s="8"/>
      <c r="V927" s="4"/>
      <c r="W927" s="8"/>
      <c r="X927" s="4"/>
      <c r="Y927" s="8"/>
      <c r="Z927" s="4"/>
      <c r="AA927" s="2"/>
      <c r="AB927" s="4"/>
      <c r="AC927" s="8"/>
      <c r="AD927" s="4"/>
    </row>
    <row r="928">
      <c r="B928" s="4"/>
      <c r="C928" s="4"/>
      <c r="D928" s="4"/>
      <c r="F928" s="4"/>
      <c r="G928" s="8"/>
      <c r="H928" s="4"/>
      <c r="I928" s="4"/>
      <c r="J928" s="4"/>
      <c r="K928" s="4"/>
      <c r="L928" s="4"/>
      <c r="M928" s="8"/>
      <c r="N928" s="4"/>
      <c r="O928" s="8"/>
      <c r="P928" s="4"/>
      <c r="Q928" s="8"/>
      <c r="R928" s="4"/>
      <c r="S928" s="8"/>
      <c r="T928" s="4"/>
      <c r="U928" s="8"/>
      <c r="V928" s="4"/>
      <c r="W928" s="8"/>
      <c r="X928" s="4"/>
      <c r="Y928" s="8"/>
      <c r="Z928" s="4"/>
      <c r="AA928" s="2"/>
      <c r="AB928" s="4"/>
      <c r="AC928" s="8"/>
      <c r="AD928" s="4"/>
    </row>
    <row r="929">
      <c r="B929" s="4"/>
      <c r="C929" s="4"/>
      <c r="D929" s="4"/>
      <c r="F929" s="4"/>
      <c r="G929" s="8"/>
      <c r="H929" s="4"/>
      <c r="I929" s="4"/>
      <c r="J929" s="4"/>
      <c r="K929" s="4"/>
      <c r="L929" s="4"/>
      <c r="M929" s="8"/>
      <c r="N929" s="4"/>
      <c r="O929" s="8"/>
      <c r="P929" s="4"/>
      <c r="Q929" s="8"/>
      <c r="R929" s="4"/>
      <c r="S929" s="8"/>
      <c r="T929" s="4"/>
      <c r="U929" s="8"/>
      <c r="V929" s="4"/>
      <c r="W929" s="8"/>
      <c r="X929" s="4"/>
      <c r="Y929" s="8"/>
      <c r="Z929" s="4"/>
      <c r="AA929" s="2"/>
      <c r="AB929" s="4"/>
      <c r="AC929" s="8"/>
      <c r="AD929" s="4"/>
    </row>
    <row r="930">
      <c r="B930" s="4"/>
      <c r="C930" s="4"/>
      <c r="D930" s="4"/>
      <c r="F930" s="4"/>
      <c r="G930" s="8"/>
      <c r="H930" s="4"/>
      <c r="I930" s="4"/>
      <c r="J930" s="4"/>
      <c r="K930" s="4"/>
      <c r="L930" s="4"/>
      <c r="M930" s="8"/>
      <c r="N930" s="4"/>
      <c r="O930" s="8"/>
      <c r="P930" s="4"/>
      <c r="Q930" s="8"/>
      <c r="R930" s="4"/>
      <c r="S930" s="8"/>
      <c r="T930" s="4"/>
      <c r="U930" s="8"/>
      <c r="V930" s="4"/>
      <c r="W930" s="8"/>
      <c r="X930" s="4"/>
      <c r="Y930" s="8"/>
      <c r="Z930" s="4"/>
      <c r="AA930" s="2"/>
      <c r="AB930" s="4"/>
      <c r="AC930" s="8"/>
      <c r="AD930" s="4"/>
    </row>
    <row r="931">
      <c r="B931" s="4"/>
      <c r="C931" s="4"/>
      <c r="D931" s="4"/>
      <c r="F931" s="4"/>
      <c r="G931" s="8"/>
      <c r="H931" s="4"/>
      <c r="I931" s="4"/>
      <c r="J931" s="4"/>
      <c r="K931" s="4"/>
      <c r="L931" s="4"/>
      <c r="M931" s="8"/>
      <c r="N931" s="4"/>
      <c r="O931" s="8"/>
      <c r="P931" s="4"/>
      <c r="Q931" s="8"/>
      <c r="R931" s="4"/>
      <c r="S931" s="8"/>
      <c r="T931" s="4"/>
      <c r="U931" s="8"/>
      <c r="V931" s="4"/>
      <c r="W931" s="8"/>
      <c r="X931" s="4"/>
      <c r="Y931" s="8"/>
      <c r="Z931" s="4"/>
      <c r="AA931" s="2"/>
      <c r="AB931" s="4"/>
      <c r="AC931" s="8"/>
      <c r="AD931" s="4"/>
    </row>
    <row r="932">
      <c r="B932" s="4"/>
      <c r="C932" s="4"/>
      <c r="D932" s="4"/>
      <c r="F932" s="4"/>
      <c r="G932" s="8"/>
      <c r="H932" s="4"/>
      <c r="I932" s="4"/>
      <c r="J932" s="4"/>
      <c r="K932" s="4"/>
      <c r="L932" s="4"/>
      <c r="M932" s="8"/>
      <c r="N932" s="4"/>
      <c r="O932" s="8"/>
      <c r="P932" s="4"/>
      <c r="Q932" s="8"/>
      <c r="R932" s="4"/>
      <c r="S932" s="8"/>
      <c r="T932" s="4"/>
      <c r="U932" s="8"/>
      <c r="V932" s="4"/>
      <c r="W932" s="8"/>
      <c r="X932" s="4"/>
      <c r="Y932" s="8"/>
      <c r="Z932" s="4"/>
      <c r="AA932" s="2"/>
      <c r="AB932" s="4"/>
      <c r="AC932" s="8"/>
      <c r="AD932" s="4"/>
    </row>
    <row r="933">
      <c r="B933" s="4"/>
      <c r="C933" s="4"/>
      <c r="D933" s="4"/>
      <c r="F933" s="4"/>
      <c r="G933" s="8"/>
      <c r="H933" s="4"/>
      <c r="I933" s="4"/>
      <c r="J933" s="4"/>
      <c r="K933" s="4"/>
      <c r="L933" s="4"/>
      <c r="M933" s="8"/>
      <c r="N933" s="4"/>
      <c r="O933" s="8"/>
      <c r="P933" s="4"/>
      <c r="Q933" s="8"/>
      <c r="R933" s="4"/>
      <c r="S933" s="8"/>
      <c r="T933" s="4"/>
      <c r="U933" s="8"/>
      <c r="V933" s="4"/>
      <c r="W933" s="8"/>
      <c r="X933" s="4"/>
      <c r="Y933" s="8"/>
      <c r="Z933" s="4"/>
      <c r="AA933" s="2"/>
      <c r="AB933" s="4"/>
      <c r="AC933" s="8"/>
      <c r="AD933" s="4"/>
    </row>
    <row r="934">
      <c r="B934" s="4"/>
      <c r="C934" s="4"/>
      <c r="D934" s="4"/>
      <c r="F934" s="4"/>
      <c r="G934" s="8"/>
      <c r="H934" s="4"/>
      <c r="I934" s="4"/>
      <c r="J934" s="4"/>
      <c r="K934" s="4"/>
      <c r="L934" s="4"/>
      <c r="M934" s="8"/>
      <c r="N934" s="4"/>
      <c r="O934" s="8"/>
      <c r="P934" s="4"/>
      <c r="Q934" s="8"/>
      <c r="R934" s="4"/>
      <c r="S934" s="8"/>
      <c r="T934" s="4"/>
      <c r="U934" s="8"/>
      <c r="V934" s="4"/>
      <c r="W934" s="8"/>
      <c r="X934" s="4"/>
      <c r="Y934" s="8"/>
      <c r="Z934" s="4"/>
      <c r="AA934" s="2"/>
      <c r="AB934" s="4"/>
      <c r="AC934" s="8"/>
      <c r="AD934" s="4"/>
    </row>
    <row r="935">
      <c r="B935" s="4"/>
      <c r="C935" s="4"/>
      <c r="D935" s="4"/>
      <c r="F935" s="4"/>
      <c r="G935" s="8"/>
      <c r="H935" s="4"/>
      <c r="I935" s="4"/>
      <c r="J935" s="4"/>
      <c r="K935" s="4"/>
      <c r="L935" s="4"/>
      <c r="M935" s="8"/>
      <c r="N935" s="4"/>
      <c r="O935" s="8"/>
      <c r="P935" s="4"/>
      <c r="Q935" s="8"/>
      <c r="R935" s="4"/>
      <c r="S935" s="8"/>
      <c r="T935" s="4"/>
      <c r="U935" s="8"/>
      <c r="V935" s="4"/>
      <c r="W935" s="8"/>
      <c r="X935" s="4"/>
      <c r="Y935" s="8"/>
      <c r="Z935" s="4"/>
      <c r="AA935" s="2"/>
      <c r="AB935" s="4"/>
      <c r="AC935" s="8"/>
      <c r="AD935" s="4"/>
    </row>
    <row r="936">
      <c r="B936" s="4"/>
      <c r="C936" s="4"/>
      <c r="D936" s="4"/>
      <c r="F936" s="4"/>
      <c r="G936" s="8"/>
      <c r="H936" s="4"/>
      <c r="I936" s="4"/>
      <c r="J936" s="4"/>
      <c r="K936" s="4"/>
      <c r="L936" s="4"/>
      <c r="M936" s="8"/>
      <c r="N936" s="4"/>
      <c r="O936" s="8"/>
      <c r="P936" s="4"/>
      <c r="Q936" s="8"/>
      <c r="R936" s="4"/>
      <c r="S936" s="8"/>
      <c r="T936" s="4"/>
      <c r="U936" s="8"/>
      <c r="V936" s="4"/>
      <c r="W936" s="8"/>
      <c r="X936" s="4"/>
      <c r="Y936" s="8"/>
      <c r="Z936" s="4"/>
      <c r="AA936" s="2"/>
      <c r="AB936" s="4"/>
      <c r="AC936" s="8"/>
      <c r="AD936" s="4"/>
    </row>
    <row r="937">
      <c r="B937" s="4"/>
      <c r="C937" s="4"/>
      <c r="D937" s="4"/>
      <c r="F937" s="4"/>
      <c r="G937" s="8"/>
      <c r="H937" s="4"/>
      <c r="I937" s="4"/>
      <c r="J937" s="4"/>
      <c r="K937" s="4"/>
      <c r="L937" s="4"/>
      <c r="M937" s="8"/>
      <c r="N937" s="4"/>
      <c r="O937" s="8"/>
      <c r="P937" s="4"/>
      <c r="Q937" s="8"/>
      <c r="R937" s="4"/>
      <c r="S937" s="8"/>
      <c r="T937" s="4"/>
      <c r="U937" s="8"/>
      <c r="V937" s="4"/>
      <c r="W937" s="8"/>
      <c r="X937" s="4"/>
      <c r="Y937" s="8"/>
      <c r="Z937" s="4"/>
      <c r="AA937" s="2"/>
      <c r="AB937" s="4"/>
      <c r="AC937" s="8"/>
      <c r="AD937" s="4"/>
    </row>
    <row r="938">
      <c r="B938" s="4"/>
      <c r="C938" s="4"/>
      <c r="D938" s="4"/>
      <c r="F938" s="4"/>
      <c r="G938" s="8"/>
      <c r="H938" s="4"/>
      <c r="I938" s="4"/>
      <c r="J938" s="4"/>
      <c r="K938" s="4"/>
      <c r="L938" s="4"/>
      <c r="M938" s="8"/>
      <c r="N938" s="4"/>
      <c r="O938" s="8"/>
      <c r="P938" s="4"/>
      <c r="Q938" s="8"/>
      <c r="R938" s="4"/>
      <c r="S938" s="8"/>
      <c r="T938" s="4"/>
      <c r="U938" s="8"/>
      <c r="V938" s="4"/>
      <c r="W938" s="8"/>
      <c r="X938" s="4"/>
      <c r="Y938" s="8"/>
      <c r="Z938" s="4"/>
      <c r="AA938" s="2"/>
      <c r="AB938" s="4"/>
      <c r="AC938" s="8"/>
      <c r="AD938" s="4"/>
    </row>
    <row r="939">
      <c r="B939" s="4"/>
      <c r="C939" s="4"/>
      <c r="D939" s="4"/>
      <c r="F939" s="4"/>
      <c r="G939" s="8"/>
      <c r="H939" s="4"/>
      <c r="I939" s="4"/>
      <c r="J939" s="4"/>
      <c r="K939" s="4"/>
      <c r="L939" s="4"/>
      <c r="M939" s="8"/>
      <c r="N939" s="4"/>
      <c r="O939" s="8"/>
      <c r="P939" s="4"/>
      <c r="Q939" s="8"/>
      <c r="R939" s="4"/>
      <c r="S939" s="8"/>
      <c r="T939" s="4"/>
      <c r="U939" s="8"/>
      <c r="V939" s="4"/>
      <c r="W939" s="8"/>
      <c r="X939" s="4"/>
      <c r="Y939" s="8"/>
      <c r="Z939" s="4"/>
      <c r="AA939" s="2"/>
      <c r="AB939" s="4"/>
      <c r="AC939" s="8"/>
      <c r="AD939" s="4"/>
    </row>
    <row r="940">
      <c r="B940" s="4"/>
      <c r="C940" s="4"/>
      <c r="D940" s="4"/>
      <c r="F940" s="4"/>
      <c r="G940" s="8"/>
      <c r="H940" s="4"/>
      <c r="I940" s="4"/>
      <c r="J940" s="4"/>
      <c r="K940" s="4"/>
      <c r="L940" s="4"/>
      <c r="M940" s="8"/>
      <c r="N940" s="4"/>
      <c r="O940" s="8"/>
      <c r="P940" s="4"/>
      <c r="Q940" s="8"/>
      <c r="R940" s="4"/>
      <c r="S940" s="8"/>
      <c r="T940" s="4"/>
      <c r="U940" s="8"/>
      <c r="V940" s="4"/>
      <c r="W940" s="8"/>
      <c r="X940" s="4"/>
      <c r="Y940" s="8"/>
      <c r="Z940" s="4"/>
      <c r="AA940" s="2"/>
      <c r="AB940" s="4"/>
      <c r="AC940" s="8"/>
      <c r="AD940" s="4"/>
    </row>
    <row r="941">
      <c r="B941" s="4"/>
      <c r="C941" s="4"/>
      <c r="D941" s="4"/>
      <c r="F941" s="4"/>
      <c r="G941" s="8"/>
      <c r="H941" s="4"/>
      <c r="I941" s="4"/>
      <c r="J941" s="4"/>
      <c r="K941" s="4"/>
      <c r="L941" s="4"/>
      <c r="M941" s="8"/>
      <c r="N941" s="4"/>
      <c r="O941" s="8"/>
      <c r="P941" s="4"/>
      <c r="Q941" s="8"/>
      <c r="R941" s="4"/>
      <c r="S941" s="8"/>
      <c r="T941" s="4"/>
      <c r="U941" s="8"/>
      <c r="V941" s="4"/>
      <c r="W941" s="8"/>
      <c r="X941" s="4"/>
      <c r="Y941" s="8"/>
      <c r="Z941" s="4"/>
      <c r="AA941" s="2"/>
      <c r="AB941" s="4"/>
      <c r="AC941" s="8"/>
      <c r="AD941" s="4"/>
    </row>
    <row r="942">
      <c r="B942" s="4"/>
      <c r="C942" s="4"/>
      <c r="D942" s="4"/>
      <c r="F942" s="4"/>
      <c r="G942" s="8"/>
      <c r="H942" s="4"/>
      <c r="I942" s="4"/>
      <c r="J942" s="4"/>
      <c r="K942" s="4"/>
      <c r="L942" s="4"/>
      <c r="M942" s="8"/>
      <c r="N942" s="4"/>
      <c r="O942" s="8"/>
      <c r="P942" s="4"/>
      <c r="Q942" s="8"/>
      <c r="R942" s="4"/>
      <c r="S942" s="8"/>
      <c r="T942" s="4"/>
      <c r="U942" s="8"/>
      <c r="V942" s="4"/>
      <c r="W942" s="8"/>
      <c r="X942" s="4"/>
      <c r="Y942" s="8"/>
      <c r="Z942" s="4"/>
      <c r="AA942" s="2"/>
      <c r="AB942" s="4"/>
      <c r="AC942" s="8"/>
      <c r="AD942" s="4"/>
    </row>
    <row r="943">
      <c r="B943" s="4"/>
      <c r="C943" s="4"/>
      <c r="D943" s="4"/>
      <c r="F943" s="4"/>
      <c r="G943" s="8"/>
      <c r="H943" s="4"/>
      <c r="I943" s="4"/>
      <c r="J943" s="4"/>
      <c r="K943" s="4"/>
      <c r="L943" s="4"/>
      <c r="M943" s="8"/>
      <c r="N943" s="4"/>
      <c r="O943" s="8"/>
      <c r="P943" s="4"/>
      <c r="Q943" s="8"/>
      <c r="R943" s="4"/>
      <c r="S943" s="8"/>
      <c r="T943" s="4"/>
      <c r="U943" s="8"/>
      <c r="V943" s="4"/>
      <c r="W943" s="8"/>
      <c r="X943" s="4"/>
      <c r="Y943" s="8"/>
      <c r="Z943" s="4"/>
      <c r="AA943" s="2"/>
      <c r="AB943" s="4"/>
      <c r="AC943" s="8"/>
      <c r="AD943" s="4"/>
    </row>
    <row r="944">
      <c r="B944" s="4"/>
      <c r="C944" s="4"/>
      <c r="D944" s="4"/>
      <c r="F944" s="4"/>
      <c r="G944" s="8"/>
      <c r="H944" s="4"/>
      <c r="I944" s="4"/>
      <c r="J944" s="4"/>
      <c r="K944" s="4"/>
      <c r="L944" s="4"/>
      <c r="M944" s="8"/>
      <c r="N944" s="4"/>
      <c r="O944" s="8"/>
      <c r="P944" s="4"/>
      <c r="Q944" s="8"/>
      <c r="R944" s="4"/>
      <c r="S944" s="8"/>
      <c r="T944" s="4"/>
      <c r="U944" s="8"/>
      <c r="V944" s="4"/>
      <c r="W944" s="8"/>
      <c r="X944" s="4"/>
      <c r="Y944" s="8"/>
      <c r="Z944" s="4"/>
      <c r="AA944" s="2"/>
      <c r="AB944" s="4"/>
      <c r="AC944" s="8"/>
      <c r="AD944" s="4"/>
    </row>
    <row r="945">
      <c r="B945" s="4"/>
      <c r="C945" s="4"/>
      <c r="D945" s="4"/>
      <c r="F945" s="4"/>
      <c r="G945" s="8"/>
      <c r="H945" s="4"/>
      <c r="I945" s="4"/>
      <c r="J945" s="4"/>
      <c r="K945" s="4"/>
      <c r="L945" s="4"/>
      <c r="M945" s="8"/>
      <c r="N945" s="4"/>
      <c r="O945" s="8"/>
      <c r="P945" s="4"/>
      <c r="Q945" s="8"/>
      <c r="R945" s="4"/>
      <c r="S945" s="8"/>
      <c r="T945" s="4"/>
      <c r="U945" s="8"/>
      <c r="V945" s="4"/>
      <c r="W945" s="8"/>
      <c r="X945" s="4"/>
      <c r="Y945" s="8"/>
      <c r="Z945" s="4"/>
      <c r="AA945" s="2"/>
      <c r="AB945" s="4"/>
      <c r="AC945" s="8"/>
      <c r="AD945" s="4"/>
    </row>
    <row r="946">
      <c r="B946" s="4"/>
      <c r="C946" s="4"/>
      <c r="D946" s="4"/>
      <c r="F946" s="4"/>
      <c r="G946" s="8"/>
      <c r="H946" s="4"/>
      <c r="I946" s="4"/>
      <c r="J946" s="4"/>
      <c r="K946" s="4"/>
      <c r="L946" s="4"/>
      <c r="M946" s="8"/>
      <c r="N946" s="4"/>
      <c r="O946" s="8"/>
      <c r="P946" s="4"/>
      <c r="Q946" s="8"/>
      <c r="R946" s="4"/>
      <c r="S946" s="8"/>
      <c r="T946" s="4"/>
      <c r="U946" s="8"/>
      <c r="V946" s="4"/>
      <c r="W946" s="8"/>
      <c r="X946" s="4"/>
      <c r="Y946" s="8"/>
      <c r="Z946" s="4"/>
      <c r="AA946" s="2"/>
      <c r="AB946" s="4"/>
      <c r="AC946" s="8"/>
      <c r="AD946" s="4"/>
    </row>
    <row r="947">
      <c r="B947" s="4"/>
      <c r="C947" s="4"/>
      <c r="D947" s="4"/>
      <c r="F947" s="4"/>
      <c r="G947" s="8"/>
      <c r="H947" s="4"/>
      <c r="I947" s="4"/>
      <c r="J947" s="4"/>
      <c r="K947" s="4"/>
      <c r="L947" s="4"/>
      <c r="M947" s="8"/>
      <c r="N947" s="4"/>
      <c r="O947" s="8"/>
      <c r="P947" s="4"/>
      <c r="Q947" s="8"/>
      <c r="R947" s="4"/>
      <c r="S947" s="8"/>
      <c r="T947" s="4"/>
      <c r="U947" s="8"/>
      <c r="V947" s="4"/>
      <c r="W947" s="8"/>
      <c r="X947" s="4"/>
      <c r="Y947" s="8"/>
      <c r="Z947" s="4"/>
      <c r="AA947" s="2"/>
      <c r="AB947" s="4"/>
      <c r="AC947" s="8"/>
      <c r="AD947" s="4"/>
    </row>
    <row r="948">
      <c r="B948" s="4"/>
      <c r="C948" s="4"/>
      <c r="D948" s="4"/>
      <c r="F948" s="4"/>
      <c r="G948" s="8"/>
      <c r="H948" s="4"/>
      <c r="I948" s="4"/>
      <c r="J948" s="4"/>
      <c r="K948" s="4"/>
      <c r="L948" s="4"/>
      <c r="M948" s="8"/>
      <c r="N948" s="4"/>
      <c r="O948" s="8"/>
      <c r="P948" s="4"/>
      <c r="Q948" s="8"/>
      <c r="R948" s="4"/>
      <c r="S948" s="8"/>
      <c r="T948" s="4"/>
      <c r="U948" s="8"/>
      <c r="V948" s="4"/>
      <c r="W948" s="8"/>
      <c r="X948" s="4"/>
      <c r="Y948" s="8"/>
      <c r="Z948" s="4"/>
      <c r="AA948" s="2"/>
      <c r="AB948" s="4"/>
      <c r="AC948" s="8"/>
      <c r="AD948" s="4"/>
    </row>
    <row r="949">
      <c r="B949" s="4"/>
      <c r="C949" s="4"/>
      <c r="D949" s="4"/>
      <c r="F949" s="4"/>
      <c r="G949" s="8"/>
      <c r="H949" s="4"/>
      <c r="I949" s="4"/>
      <c r="J949" s="4"/>
      <c r="K949" s="4"/>
      <c r="L949" s="4"/>
      <c r="M949" s="8"/>
      <c r="N949" s="4"/>
      <c r="O949" s="8"/>
      <c r="P949" s="4"/>
      <c r="Q949" s="8"/>
      <c r="R949" s="4"/>
      <c r="S949" s="8"/>
      <c r="T949" s="4"/>
      <c r="U949" s="8"/>
      <c r="V949" s="4"/>
      <c r="W949" s="8"/>
      <c r="X949" s="4"/>
      <c r="Y949" s="8"/>
      <c r="Z949" s="4"/>
      <c r="AA949" s="2"/>
      <c r="AB949" s="4"/>
      <c r="AC949" s="8"/>
      <c r="AD949" s="4"/>
    </row>
    <row r="950">
      <c r="B950" s="4"/>
      <c r="C950" s="4"/>
      <c r="D950" s="4"/>
      <c r="F950" s="4"/>
      <c r="G950" s="8"/>
      <c r="H950" s="4"/>
      <c r="I950" s="4"/>
      <c r="J950" s="4"/>
      <c r="K950" s="4"/>
      <c r="L950" s="4"/>
      <c r="M950" s="8"/>
      <c r="N950" s="4"/>
      <c r="O950" s="8"/>
      <c r="P950" s="4"/>
      <c r="Q950" s="8"/>
      <c r="R950" s="4"/>
      <c r="S950" s="8"/>
      <c r="T950" s="4"/>
      <c r="U950" s="8"/>
      <c r="V950" s="4"/>
      <c r="W950" s="8"/>
      <c r="X950" s="4"/>
      <c r="Y950" s="8"/>
      <c r="Z950" s="4"/>
      <c r="AA950" s="2"/>
      <c r="AB950" s="4"/>
      <c r="AC950" s="8"/>
      <c r="AD950" s="4"/>
    </row>
    <row r="951">
      <c r="B951" s="4"/>
      <c r="C951" s="4"/>
      <c r="D951" s="4"/>
      <c r="F951" s="4"/>
      <c r="G951" s="8"/>
      <c r="H951" s="4"/>
      <c r="I951" s="4"/>
      <c r="J951" s="4"/>
      <c r="K951" s="4"/>
      <c r="L951" s="4"/>
      <c r="M951" s="8"/>
      <c r="N951" s="4"/>
      <c r="O951" s="8"/>
      <c r="P951" s="4"/>
      <c r="Q951" s="8"/>
      <c r="R951" s="4"/>
      <c r="S951" s="8"/>
      <c r="T951" s="4"/>
      <c r="U951" s="8"/>
      <c r="V951" s="4"/>
      <c r="W951" s="8"/>
      <c r="X951" s="4"/>
      <c r="Y951" s="8"/>
      <c r="Z951" s="4"/>
      <c r="AA951" s="2"/>
      <c r="AB951" s="4"/>
      <c r="AC951" s="8"/>
      <c r="AD951" s="4"/>
    </row>
    <row r="952">
      <c r="B952" s="4"/>
      <c r="C952" s="4"/>
      <c r="D952" s="4"/>
      <c r="F952" s="4"/>
      <c r="G952" s="8"/>
      <c r="H952" s="4"/>
      <c r="I952" s="4"/>
      <c r="J952" s="4"/>
      <c r="K952" s="4"/>
      <c r="L952" s="4"/>
      <c r="M952" s="8"/>
      <c r="N952" s="4"/>
      <c r="O952" s="8"/>
      <c r="P952" s="4"/>
      <c r="Q952" s="8"/>
      <c r="R952" s="4"/>
      <c r="S952" s="8"/>
      <c r="T952" s="4"/>
      <c r="U952" s="8"/>
      <c r="V952" s="4"/>
      <c r="W952" s="8"/>
      <c r="X952" s="4"/>
      <c r="Y952" s="8"/>
      <c r="Z952" s="4"/>
      <c r="AA952" s="2"/>
      <c r="AB952" s="4"/>
      <c r="AC952" s="8"/>
      <c r="AD952" s="4"/>
    </row>
    <row r="953">
      <c r="B953" s="4"/>
      <c r="C953" s="4"/>
      <c r="D953" s="4"/>
      <c r="F953" s="4"/>
      <c r="G953" s="8"/>
      <c r="H953" s="4"/>
      <c r="I953" s="4"/>
      <c r="J953" s="4"/>
      <c r="K953" s="4"/>
      <c r="L953" s="4"/>
      <c r="M953" s="8"/>
      <c r="N953" s="4"/>
      <c r="O953" s="8"/>
      <c r="P953" s="4"/>
      <c r="Q953" s="8"/>
      <c r="R953" s="4"/>
      <c r="S953" s="8"/>
      <c r="T953" s="4"/>
      <c r="U953" s="8"/>
      <c r="V953" s="4"/>
      <c r="W953" s="8"/>
      <c r="X953" s="4"/>
      <c r="Y953" s="8"/>
      <c r="Z953" s="4"/>
      <c r="AA953" s="2"/>
      <c r="AB953" s="4"/>
      <c r="AC953" s="8"/>
      <c r="AD953" s="4"/>
    </row>
    <row r="954">
      <c r="B954" s="4"/>
      <c r="C954" s="4"/>
      <c r="D954" s="4"/>
      <c r="F954" s="4"/>
      <c r="G954" s="8"/>
      <c r="H954" s="4"/>
      <c r="I954" s="4"/>
      <c r="J954" s="4"/>
      <c r="K954" s="4"/>
      <c r="L954" s="4"/>
      <c r="M954" s="8"/>
      <c r="N954" s="4"/>
      <c r="O954" s="8"/>
      <c r="P954" s="4"/>
      <c r="Q954" s="8"/>
      <c r="R954" s="4"/>
      <c r="S954" s="8"/>
      <c r="T954" s="4"/>
      <c r="U954" s="8"/>
      <c r="V954" s="4"/>
      <c r="W954" s="8"/>
      <c r="X954" s="4"/>
      <c r="Y954" s="8"/>
      <c r="Z954" s="4"/>
      <c r="AA954" s="2"/>
      <c r="AB954" s="4"/>
      <c r="AC954" s="8"/>
      <c r="AD954" s="4"/>
    </row>
    <row r="955">
      <c r="B955" s="4"/>
      <c r="C955" s="4"/>
      <c r="D955" s="4"/>
      <c r="F955" s="4"/>
      <c r="G955" s="8"/>
      <c r="H955" s="4"/>
      <c r="I955" s="4"/>
      <c r="J955" s="4"/>
      <c r="K955" s="4"/>
      <c r="L955" s="4"/>
      <c r="M955" s="8"/>
      <c r="N955" s="4"/>
      <c r="O955" s="8"/>
      <c r="P955" s="4"/>
      <c r="Q955" s="8"/>
      <c r="R955" s="4"/>
      <c r="S955" s="8"/>
      <c r="T955" s="4"/>
      <c r="U955" s="8"/>
      <c r="V955" s="4"/>
      <c r="W955" s="8"/>
      <c r="X955" s="4"/>
      <c r="Y955" s="8"/>
      <c r="Z955" s="4"/>
      <c r="AA955" s="2"/>
      <c r="AB955" s="4"/>
      <c r="AC955" s="8"/>
      <c r="AD955" s="4"/>
    </row>
    <row r="956">
      <c r="B956" s="4"/>
      <c r="C956" s="4"/>
      <c r="D956" s="4"/>
      <c r="F956" s="4"/>
      <c r="G956" s="8"/>
      <c r="H956" s="4"/>
      <c r="I956" s="4"/>
      <c r="J956" s="4"/>
      <c r="K956" s="4"/>
      <c r="L956" s="4"/>
      <c r="M956" s="8"/>
      <c r="N956" s="4"/>
      <c r="O956" s="8"/>
      <c r="P956" s="4"/>
      <c r="Q956" s="8"/>
      <c r="R956" s="4"/>
      <c r="S956" s="8"/>
      <c r="T956" s="4"/>
      <c r="U956" s="8"/>
      <c r="V956" s="4"/>
      <c r="W956" s="8"/>
      <c r="X956" s="4"/>
      <c r="Y956" s="8"/>
      <c r="Z956" s="4"/>
      <c r="AA956" s="2"/>
      <c r="AB956" s="4"/>
      <c r="AC956" s="8"/>
      <c r="AD956" s="4"/>
    </row>
    <row r="957">
      <c r="B957" s="4"/>
      <c r="C957" s="4"/>
      <c r="D957" s="4"/>
      <c r="F957" s="4"/>
      <c r="G957" s="8"/>
      <c r="H957" s="4"/>
      <c r="I957" s="4"/>
      <c r="J957" s="4"/>
      <c r="K957" s="4"/>
      <c r="L957" s="4"/>
      <c r="M957" s="8"/>
      <c r="N957" s="4"/>
      <c r="O957" s="8"/>
      <c r="P957" s="4"/>
      <c r="Q957" s="8"/>
      <c r="R957" s="4"/>
      <c r="S957" s="8"/>
      <c r="T957" s="4"/>
      <c r="U957" s="8"/>
      <c r="V957" s="4"/>
      <c r="W957" s="8"/>
      <c r="X957" s="4"/>
      <c r="Y957" s="8"/>
      <c r="Z957" s="4"/>
      <c r="AA957" s="2"/>
      <c r="AB957" s="4"/>
      <c r="AC957" s="8"/>
      <c r="AD957" s="4"/>
    </row>
    <row r="958">
      <c r="B958" s="4"/>
      <c r="C958" s="4"/>
      <c r="D958" s="4"/>
      <c r="F958" s="4"/>
      <c r="G958" s="8"/>
      <c r="H958" s="4"/>
      <c r="I958" s="4"/>
      <c r="J958" s="4"/>
      <c r="K958" s="4"/>
      <c r="L958" s="4"/>
      <c r="M958" s="8"/>
      <c r="N958" s="4"/>
      <c r="O958" s="8"/>
      <c r="P958" s="4"/>
      <c r="Q958" s="8"/>
      <c r="R958" s="4"/>
      <c r="S958" s="8"/>
      <c r="T958" s="4"/>
      <c r="U958" s="8"/>
      <c r="V958" s="4"/>
      <c r="W958" s="8"/>
      <c r="X958" s="4"/>
      <c r="Y958" s="8"/>
      <c r="Z958" s="4"/>
      <c r="AA958" s="2"/>
      <c r="AB958" s="4"/>
      <c r="AC958" s="8"/>
      <c r="AD958" s="4"/>
    </row>
    <row r="959">
      <c r="B959" s="4"/>
      <c r="C959" s="4"/>
      <c r="D959" s="4"/>
      <c r="F959" s="4"/>
      <c r="G959" s="8"/>
      <c r="H959" s="4"/>
      <c r="I959" s="4"/>
      <c r="J959" s="4"/>
      <c r="K959" s="4"/>
      <c r="L959" s="4"/>
      <c r="M959" s="8"/>
      <c r="N959" s="4"/>
      <c r="O959" s="8"/>
      <c r="P959" s="4"/>
      <c r="Q959" s="8"/>
      <c r="R959" s="4"/>
      <c r="S959" s="8"/>
      <c r="T959" s="4"/>
      <c r="U959" s="8"/>
      <c r="V959" s="4"/>
      <c r="W959" s="8"/>
      <c r="X959" s="4"/>
      <c r="Y959" s="8"/>
      <c r="Z959" s="4"/>
      <c r="AA959" s="2"/>
      <c r="AB959" s="4"/>
      <c r="AC959" s="8"/>
      <c r="AD959" s="4"/>
    </row>
    <row r="960">
      <c r="B960" s="4"/>
      <c r="C960" s="4"/>
      <c r="D960" s="4"/>
      <c r="F960" s="4"/>
      <c r="G960" s="8"/>
      <c r="H960" s="4"/>
      <c r="I960" s="4"/>
      <c r="J960" s="4"/>
      <c r="K960" s="4"/>
      <c r="L960" s="4"/>
      <c r="M960" s="8"/>
      <c r="N960" s="4"/>
      <c r="O960" s="8"/>
      <c r="P960" s="4"/>
      <c r="Q960" s="8"/>
      <c r="R960" s="4"/>
      <c r="S960" s="8"/>
      <c r="T960" s="4"/>
      <c r="U960" s="8"/>
      <c r="V960" s="4"/>
      <c r="W960" s="8"/>
      <c r="X960" s="4"/>
      <c r="Y960" s="8"/>
      <c r="Z960" s="4"/>
      <c r="AA960" s="2"/>
      <c r="AB960" s="4"/>
      <c r="AC960" s="8"/>
      <c r="AD960" s="4"/>
    </row>
    <row r="961">
      <c r="B961" s="4"/>
      <c r="C961" s="4"/>
      <c r="D961" s="4"/>
      <c r="F961" s="4"/>
      <c r="G961" s="8"/>
      <c r="H961" s="4"/>
      <c r="I961" s="4"/>
      <c r="J961" s="4"/>
      <c r="K961" s="4"/>
      <c r="L961" s="4"/>
      <c r="M961" s="8"/>
      <c r="N961" s="4"/>
      <c r="O961" s="8"/>
      <c r="P961" s="4"/>
      <c r="Q961" s="8"/>
      <c r="R961" s="4"/>
      <c r="S961" s="8"/>
      <c r="T961" s="4"/>
      <c r="U961" s="8"/>
      <c r="V961" s="4"/>
      <c r="W961" s="8"/>
      <c r="X961" s="4"/>
      <c r="Y961" s="8"/>
      <c r="Z961" s="4"/>
      <c r="AA961" s="2"/>
      <c r="AB961" s="4"/>
      <c r="AC961" s="8"/>
      <c r="AD961" s="4"/>
    </row>
    <row r="962">
      <c r="B962" s="4"/>
      <c r="C962" s="4"/>
      <c r="D962" s="4"/>
      <c r="F962" s="4"/>
      <c r="G962" s="8"/>
      <c r="H962" s="4"/>
      <c r="I962" s="4"/>
      <c r="J962" s="4"/>
      <c r="K962" s="4"/>
      <c r="L962" s="4"/>
      <c r="M962" s="8"/>
      <c r="N962" s="4"/>
      <c r="O962" s="8"/>
      <c r="P962" s="4"/>
      <c r="Q962" s="8"/>
      <c r="R962" s="4"/>
      <c r="S962" s="8"/>
      <c r="T962" s="4"/>
      <c r="U962" s="8"/>
      <c r="V962" s="4"/>
      <c r="W962" s="8"/>
      <c r="X962" s="4"/>
      <c r="Y962" s="8"/>
      <c r="Z962" s="4"/>
      <c r="AA962" s="2"/>
      <c r="AB962" s="4"/>
      <c r="AC962" s="8"/>
      <c r="AD962" s="4"/>
    </row>
    <row r="963">
      <c r="B963" s="4"/>
      <c r="C963" s="4"/>
      <c r="D963" s="4"/>
      <c r="F963" s="4"/>
      <c r="G963" s="8"/>
      <c r="H963" s="4"/>
      <c r="I963" s="4"/>
      <c r="J963" s="4"/>
      <c r="K963" s="4"/>
      <c r="L963" s="4"/>
      <c r="M963" s="8"/>
      <c r="N963" s="4"/>
      <c r="O963" s="8"/>
      <c r="P963" s="4"/>
      <c r="Q963" s="8"/>
      <c r="R963" s="4"/>
      <c r="S963" s="8"/>
      <c r="T963" s="4"/>
      <c r="U963" s="8"/>
      <c r="V963" s="4"/>
      <c r="W963" s="8"/>
      <c r="X963" s="4"/>
      <c r="Y963" s="8"/>
      <c r="Z963" s="4"/>
      <c r="AA963" s="2"/>
      <c r="AB963" s="4"/>
      <c r="AC963" s="8"/>
      <c r="AD963" s="4"/>
    </row>
    <row r="964">
      <c r="B964" s="4"/>
      <c r="C964" s="4"/>
      <c r="D964" s="4"/>
      <c r="F964" s="4"/>
      <c r="G964" s="8"/>
      <c r="H964" s="4"/>
      <c r="I964" s="4"/>
      <c r="J964" s="4"/>
      <c r="K964" s="4"/>
      <c r="L964" s="4"/>
      <c r="M964" s="8"/>
      <c r="N964" s="4"/>
      <c r="O964" s="8"/>
      <c r="P964" s="4"/>
      <c r="Q964" s="8"/>
      <c r="R964" s="4"/>
      <c r="S964" s="8"/>
      <c r="T964" s="4"/>
      <c r="U964" s="8"/>
      <c r="V964" s="4"/>
      <c r="W964" s="8"/>
      <c r="X964" s="4"/>
      <c r="Y964" s="8"/>
      <c r="Z964" s="4"/>
      <c r="AA964" s="2"/>
      <c r="AB964" s="4"/>
      <c r="AC964" s="8"/>
      <c r="AD964" s="4"/>
    </row>
    <row r="965">
      <c r="B965" s="4"/>
      <c r="C965" s="4"/>
      <c r="D965" s="4"/>
      <c r="F965" s="4"/>
      <c r="G965" s="8"/>
      <c r="H965" s="4"/>
      <c r="I965" s="4"/>
      <c r="J965" s="4"/>
      <c r="K965" s="4"/>
      <c r="L965" s="4"/>
      <c r="M965" s="8"/>
      <c r="N965" s="4"/>
      <c r="O965" s="8"/>
      <c r="P965" s="4"/>
      <c r="Q965" s="8"/>
      <c r="R965" s="4"/>
      <c r="S965" s="8"/>
      <c r="T965" s="4"/>
      <c r="U965" s="8"/>
      <c r="V965" s="4"/>
      <c r="W965" s="8"/>
      <c r="X965" s="4"/>
      <c r="Y965" s="8"/>
      <c r="Z965" s="4"/>
      <c r="AA965" s="2"/>
      <c r="AB965" s="4"/>
      <c r="AC965" s="8"/>
      <c r="AD965" s="4"/>
    </row>
    <row r="966">
      <c r="B966" s="4"/>
      <c r="C966" s="4"/>
      <c r="D966" s="4"/>
      <c r="F966" s="4"/>
      <c r="G966" s="8"/>
      <c r="H966" s="4"/>
      <c r="I966" s="4"/>
      <c r="J966" s="4"/>
      <c r="K966" s="4"/>
      <c r="L966" s="4"/>
      <c r="M966" s="8"/>
      <c r="N966" s="4"/>
      <c r="O966" s="8"/>
      <c r="P966" s="4"/>
      <c r="Q966" s="8"/>
      <c r="R966" s="4"/>
      <c r="S966" s="8"/>
      <c r="T966" s="4"/>
      <c r="U966" s="8"/>
      <c r="V966" s="4"/>
      <c r="W966" s="8"/>
      <c r="X966" s="4"/>
      <c r="Y966" s="8"/>
      <c r="Z966" s="4"/>
      <c r="AA966" s="2"/>
      <c r="AB966" s="4"/>
      <c r="AC966" s="8"/>
      <c r="AD966" s="4"/>
    </row>
    <row r="967">
      <c r="B967" s="4"/>
      <c r="C967" s="4"/>
      <c r="D967" s="4"/>
      <c r="F967" s="4"/>
      <c r="G967" s="8"/>
      <c r="H967" s="4"/>
      <c r="I967" s="4"/>
      <c r="J967" s="4"/>
      <c r="K967" s="4"/>
      <c r="L967" s="4"/>
      <c r="M967" s="8"/>
      <c r="N967" s="4"/>
      <c r="O967" s="8"/>
      <c r="P967" s="4"/>
      <c r="Q967" s="8"/>
      <c r="R967" s="4"/>
      <c r="S967" s="8"/>
      <c r="T967" s="4"/>
      <c r="U967" s="8"/>
      <c r="V967" s="4"/>
      <c r="W967" s="8"/>
      <c r="X967" s="4"/>
      <c r="Y967" s="8"/>
      <c r="Z967" s="4"/>
      <c r="AA967" s="2"/>
      <c r="AB967" s="4"/>
      <c r="AC967" s="8"/>
      <c r="AD967" s="4"/>
    </row>
    <row r="968">
      <c r="B968" s="4"/>
      <c r="C968" s="4"/>
      <c r="D968" s="4"/>
      <c r="F968" s="4"/>
      <c r="G968" s="8"/>
      <c r="H968" s="4"/>
      <c r="I968" s="4"/>
      <c r="J968" s="4"/>
      <c r="K968" s="4"/>
      <c r="L968" s="4"/>
      <c r="M968" s="8"/>
      <c r="N968" s="4"/>
      <c r="O968" s="8"/>
      <c r="P968" s="4"/>
      <c r="Q968" s="8"/>
      <c r="R968" s="4"/>
      <c r="S968" s="8"/>
      <c r="T968" s="4"/>
      <c r="U968" s="8"/>
      <c r="V968" s="4"/>
      <c r="W968" s="8"/>
      <c r="X968" s="4"/>
      <c r="Y968" s="8"/>
      <c r="Z968" s="4"/>
      <c r="AA968" s="2"/>
      <c r="AB968" s="4"/>
      <c r="AC968" s="8"/>
      <c r="AD968" s="4"/>
    </row>
    <row r="969">
      <c r="B969" s="4"/>
      <c r="C969" s="4"/>
      <c r="D969" s="4"/>
      <c r="F969" s="4"/>
      <c r="G969" s="8"/>
      <c r="H969" s="4"/>
      <c r="I969" s="4"/>
      <c r="J969" s="4"/>
      <c r="K969" s="4"/>
      <c r="L969" s="4"/>
      <c r="M969" s="8"/>
      <c r="N969" s="4"/>
      <c r="O969" s="8"/>
      <c r="P969" s="4"/>
      <c r="Q969" s="8"/>
      <c r="R969" s="4"/>
      <c r="S969" s="8"/>
      <c r="T969" s="4"/>
      <c r="U969" s="8"/>
      <c r="V969" s="4"/>
      <c r="W969" s="8"/>
      <c r="X969" s="4"/>
      <c r="Y969" s="8"/>
      <c r="Z969" s="4"/>
      <c r="AA969" s="2"/>
      <c r="AB969" s="4"/>
      <c r="AC969" s="8"/>
      <c r="AD969" s="4"/>
    </row>
    <row r="970">
      <c r="B970" s="4"/>
      <c r="C970" s="4"/>
      <c r="D970" s="4"/>
      <c r="F970" s="4"/>
      <c r="G970" s="8"/>
      <c r="H970" s="4"/>
      <c r="I970" s="4"/>
      <c r="J970" s="4"/>
      <c r="K970" s="4"/>
      <c r="L970" s="4"/>
      <c r="M970" s="8"/>
      <c r="N970" s="4"/>
      <c r="O970" s="8"/>
      <c r="P970" s="4"/>
      <c r="Q970" s="8"/>
      <c r="R970" s="4"/>
      <c r="S970" s="8"/>
      <c r="T970" s="4"/>
      <c r="U970" s="8"/>
      <c r="V970" s="4"/>
      <c r="W970" s="8"/>
      <c r="X970" s="4"/>
      <c r="Y970" s="8"/>
      <c r="Z970" s="4"/>
      <c r="AA970" s="2"/>
      <c r="AB970" s="4"/>
      <c r="AC970" s="8"/>
      <c r="AD970" s="4"/>
    </row>
    <row r="971">
      <c r="B971" s="4"/>
      <c r="C971" s="4"/>
      <c r="D971" s="4"/>
      <c r="F971" s="4"/>
      <c r="G971" s="8"/>
      <c r="H971" s="4"/>
      <c r="I971" s="4"/>
      <c r="J971" s="4"/>
      <c r="K971" s="4"/>
      <c r="L971" s="4"/>
      <c r="M971" s="8"/>
      <c r="N971" s="4"/>
      <c r="O971" s="8"/>
      <c r="P971" s="4"/>
      <c r="Q971" s="8"/>
      <c r="R971" s="4"/>
      <c r="S971" s="8"/>
      <c r="T971" s="4"/>
      <c r="U971" s="8"/>
      <c r="V971" s="4"/>
      <c r="W971" s="8"/>
      <c r="X971" s="4"/>
      <c r="Y971" s="8"/>
      <c r="Z971" s="4"/>
      <c r="AA971" s="2"/>
      <c r="AB971" s="4"/>
      <c r="AC971" s="8"/>
      <c r="AD971" s="4"/>
    </row>
    <row r="972">
      <c r="B972" s="4"/>
      <c r="C972" s="4"/>
      <c r="D972" s="4"/>
      <c r="F972" s="4"/>
      <c r="G972" s="8"/>
      <c r="H972" s="4"/>
      <c r="I972" s="4"/>
      <c r="J972" s="4"/>
      <c r="K972" s="4"/>
      <c r="L972" s="4"/>
      <c r="M972" s="8"/>
      <c r="N972" s="4"/>
      <c r="O972" s="8"/>
      <c r="P972" s="4"/>
      <c r="Q972" s="8"/>
      <c r="R972" s="4"/>
      <c r="S972" s="8"/>
      <c r="T972" s="4"/>
      <c r="U972" s="8"/>
      <c r="V972" s="4"/>
      <c r="W972" s="8"/>
      <c r="X972" s="4"/>
      <c r="Y972" s="8"/>
      <c r="Z972" s="4"/>
      <c r="AA972" s="2"/>
      <c r="AB972" s="4"/>
      <c r="AC972" s="8"/>
      <c r="AD972" s="4"/>
    </row>
    <row r="973">
      <c r="B973" s="4"/>
      <c r="C973" s="4"/>
      <c r="D973" s="4"/>
      <c r="F973" s="4"/>
      <c r="G973" s="8"/>
      <c r="H973" s="4"/>
      <c r="I973" s="4"/>
      <c r="J973" s="4"/>
      <c r="K973" s="4"/>
      <c r="L973" s="4"/>
      <c r="M973" s="8"/>
      <c r="N973" s="4"/>
      <c r="O973" s="8"/>
      <c r="P973" s="4"/>
      <c r="Q973" s="8"/>
      <c r="R973" s="4"/>
      <c r="S973" s="8"/>
      <c r="T973" s="4"/>
      <c r="U973" s="8"/>
      <c r="V973" s="4"/>
      <c r="W973" s="8"/>
      <c r="X973" s="4"/>
      <c r="Y973" s="8"/>
      <c r="Z973" s="4"/>
      <c r="AA973" s="2"/>
      <c r="AB973" s="4"/>
      <c r="AC973" s="8"/>
      <c r="AD973" s="4"/>
    </row>
    <row r="974">
      <c r="B974" s="4"/>
      <c r="C974" s="4"/>
      <c r="D974" s="4"/>
      <c r="F974" s="4"/>
      <c r="G974" s="8"/>
      <c r="H974" s="4"/>
      <c r="I974" s="4"/>
      <c r="J974" s="4"/>
      <c r="K974" s="4"/>
      <c r="L974" s="4"/>
      <c r="M974" s="8"/>
      <c r="N974" s="4"/>
      <c r="O974" s="8"/>
      <c r="P974" s="4"/>
      <c r="Q974" s="8"/>
      <c r="R974" s="4"/>
      <c r="S974" s="8"/>
      <c r="T974" s="4"/>
      <c r="U974" s="8"/>
      <c r="V974" s="4"/>
      <c r="W974" s="8"/>
      <c r="X974" s="4"/>
      <c r="Y974" s="8"/>
      <c r="Z974" s="4"/>
      <c r="AA974" s="2"/>
      <c r="AB974" s="4"/>
      <c r="AC974" s="8"/>
      <c r="AD974" s="4"/>
    </row>
    <row r="975">
      <c r="B975" s="4"/>
      <c r="C975" s="4"/>
      <c r="D975" s="4"/>
      <c r="F975" s="4"/>
      <c r="G975" s="8"/>
      <c r="H975" s="4"/>
      <c r="I975" s="4"/>
      <c r="J975" s="4"/>
      <c r="K975" s="4"/>
      <c r="L975" s="4"/>
      <c r="M975" s="8"/>
      <c r="N975" s="4"/>
      <c r="O975" s="8"/>
      <c r="P975" s="4"/>
      <c r="Q975" s="8"/>
      <c r="R975" s="4"/>
      <c r="S975" s="8"/>
      <c r="T975" s="4"/>
      <c r="U975" s="8"/>
      <c r="V975" s="4"/>
      <c r="W975" s="8"/>
      <c r="X975" s="4"/>
      <c r="Y975" s="8"/>
      <c r="Z975" s="4"/>
      <c r="AA975" s="2"/>
      <c r="AB975" s="4"/>
      <c r="AC975" s="8"/>
      <c r="AD975" s="4"/>
    </row>
    <row r="976">
      <c r="B976" s="4"/>
      <c r="C976" s="4"/>
      <c r="D976" s="4"/>
      <c r="F976" s="4"/>
      <c r="G976" s="8"/>
      <c r="H976" s="4"/>
      <c r="I976" s="4"/>
      <c r="J976" s="4"/>
      <c r="K976" s="4"/>
      <c r="L976" s="4"/>
      <c r="M976" s="8"/>
      <c r="N976" s="4"/>
      <c r="O976" s="8"/>
      <c r="P976" s="4"/>
      <c r="Q976" s="8"/>
      <c r="R976" s="4"/>
      <c r="S976" s="8"/>
      <c r="T976" s="4"/>
      <c r="U976" s="8"/>
      <c r="V976" s="4"/>
      <c r="W976" s="8"/>
      <c r="X976" s="4"/>
      <c r="Y976" s="8"/>
      <c r="Z976" s="4"/>
      <c r="AA976" s="2"/>
      <c r="AB976" s="4"/>
      <c r="AC976" s="8"/>
      <c r="AD976" s="4"/>
    </row>
    <row r="977">
      <c r="B977" s="4"/>
      <c r="C977" s="4"/>
      <c r="D977" s="4"/>
      <c r="F977" s="4"/>
      <c r="G977" s="8"/>
      <c r="H977" s="4"/>
      <c r="I977" s="4"/>
      <c r="J977" s="4"/>
      <c r="K977" s="4"/>
      <c r="L977" s="4"/>
      <c r="M977" s="8"/>
      <c r="N977" s="4"/>
      <c r="O977" s="8"/>
      <c r="P977" s="4"/>
      <c r="Q977" s="8"/>
      <c r="R977" s="4"/>
      <c r="S977" s="8"/>
      <c r="T977" s="4"/>
      <c r="U977" s="8"/>
      <c r="V977" s="4"/>
      <c r="W977" s="8"/>
      <c r="X977" s="4"/>
      <c r="Y977" s="8"/>
      <c r="Z977" s="4"/>
      <c r="AA977" s="2"/>
      <c r="AB977" s="4"/>
      <c r="AC977" s="8"/>
      <c r="AD977" s="4"/>
    </row>
    <row r="978">
      <c r="B978" s="4"/>
      <c r="C978" s="4"/>
      <c r="D978" s="4"/>
      <c r="F978" s="4"/>
      <c r="G978" s="8"/>
      <c r="H978" s="4"/>
      <c r="I978" s="4"/>
      <c r="J978" s="4"/>
      <c r="K978" s="4"/>
      <c r="L978" s="4"/>
      <c r="M978" s="8"/>
      <c r="N978" s="4"/>
      <c r="O978" s="8"/>
      <c r="P978" s="4"/>
      <c r="Q978" s="8"/>
      <c r="R978" s="4"/>
      <c r="S978" s="8"/>
      <c r="T978" s="4"/>
      <c r="U978" s="8"/>
      <c r="V978" s="4"/>
      <c r="W978" s="8"/>
      <c r="X978" s="4"/>
      <c r="Y978" s="8"/>
      <c r="Z978" s="4"/>
      <c r="AA978" s="2"/>
      <c r="AB978" s="4"/>
      <c r="AC978" s="8"/>
      <c r="AD978" s="4"/>
    </row>
    <row r="979">
      <c r="B979" s="4"/>
      <c r="C979" s="4"/>
      <c r="D979" s="4"/>
      <c r="F979" s="4"/>
      <c r="G979" s="8"/>
      <c r="H979" s="4"/>
      <c r="I979" s="4"/>
      <c r="J979" s="4"/>
      <c r="K979" s="4"/>
      <c r="L979" s="4"/>
      <c r="M979" s="8"/>
      <c r="N979" s="4"/>
      <c r="O979" s="8"/>
      <c r="P979" s="4"/>
      <c r="Q979" s="8"/>
      <c r="R979" s="4"/>
      <c r="S979" s="8"/>
      <c r="T979" s="4"/>
      <c r="U979" s="8"/>
      <c r="V979" s="4"/>
      <c r="W979" s="8"/>
      <c r="X979" s="4"/>
      <c r="Y979" s="8"/>
      <c r="Z979" s="4"/>
      <c r="AA979" s="2"/>
      <c r="AB979" s="4"/>
      <c r="AC979" s="8"/>
      <c r="AD979" s="4"/>
    </row>
    <row r="980">
      <c r="B980" s="4"/>
      <c r="C980" s="4"/>
      <c r="D980" s="4"/>
      <c r="F980" s="4"/>
      <c r="G980" s="8"/>
      <c r="H980" s="4"/>
      <c r="I980" s="4"/>
      <c r="J980" s="4"/>
      <c r="K980" s="4"/>
      <c r="L980" s="4"/>
      <c r="M980" s="8"/>
      <c r="N980" s="4"/>
      <c r="O980" s="8"/>
      <c r="P980" s="4"/>
      <c r="Q980" s="8"/>
      <c r="R980" s="4"/>
      <c r="S980" s="8"/>
      <c r="T980" s="4"/>
      <c r="U980" s="8"/>
      <c r="V980" s="4"/>
      <c r="W980" s="8"/>
      <c r="X980" s="4"/>
      <c r="Y980" s="8"/>
      <c r="Z980" s="4"/>
      <c r="AA980" s="2"/>
      <c r="AB980" s="4"/>
      <c r="AC980" s="8"/>
      <c r="AD980" s="4"/>
    </row>
    <row r="981">
      <c r="B981" s="4"/>
      <c r="C981" s="4"/>
      <c r="D981" s="4"/>
      <c r="F981" s="4"/>
      <c r="G981" s="8"/>
      <c r="H981" s="4"/>
      <c r="I981" s="4"/>
      <c r="J981" s="4"/>
      <c r="K981" s="4"/>
      <c r="L981" s="4"/>
      <c r="M981" s="8"/>
      <c r="N981" s="4"/>
      <c r="O981" s="8"/>
      <c r="P981" s="4"/>
      <c r="Q981" s="8"/>
      <c r="R981" s="4"/>
      <c r="S981" s="8"/>
      <c r="T981" s="4"/>
      <c r="U981" s="8"/>
      <c r="V981" s="4"/>
      <c r="W981" s="8"/>
      <c r="X981" s="4"/>
      <c r="Y981" s="8"/>
      <c r="Z981" s="4"/>
      <c r="AA981" s="2"/>
      <c r="AB981" s="4"/>
      <c r="AC981" s="8"/>
      <c r="AD981" s="4"/>
    </row>
    <row r="982">
      <c r="B982" s="4"/>
      <c r="C982" s="4"/>
      <c r="D982" s="4"/>
      <c r="F982" s="4"/>
      <c r="G982" s="8"/>
      <c r="H982" s="4"/>
      <c r="I982" s="4"/>
      <c r="J982" s="4"/>
      <c r="K982" s="4"/>
      <c r="L982" s="4"/>
      <c r="M982" s="8"/>
      <c r="N982" s="4"/>
      <c r="O982" s="8"/>
      <c r="P982" s="4"/>
      <c r="Q982" s="8"/>
      <c r="R982" s="4"/>
      <c r="S982" s="8"/>
      <c r="T982" s="4"/>
      <c r="U982" s="8"/>
      <c r="V982" s="4"/>
      <c r="W982" s="8"/>
      <c r="X982" s="4"/>
      <c r="Y982" s="8"/>
      <c r="Z982" s="4"/>
      <c r="AA982" s="2"/>
      <c r="AB982" s="4"/>
      <c r="AC982" s="8"/>
      <c r="AD982" s="4"/>
    </row>
    <row r="983">
      <c r="B983" s="4"/>
      <c r="C983" s="4"/>
      <c r="D983" s="4"/>
      <c r="F983" s="4"/>
      <c r="G983" s="8"/>
      <c r="H983" s="4"/>
      <c r="I983" s="4"/>
      <c r="J983" s="4"/>
      <c r="K983" s="4"/>
      <c r="L983" s="4"/>
      <c r="M983" s="8"/>
      <c r="N983" s="4"/>
      <c r="O983" s="8"/>
      <c r="P983" s="4"/>
      <c r="Q983" s="8"/>
      <c r="R983" s="4"/>
      <c r="S983" s="8"/>
      <c r="T983" s="4"/>
      <c r="U983" s="8"/>
      <c r="V983" s="4"/>
      <c r="W983" s="8"/>
      <c r="X983" s="4"/>
      <c r="Y983" s="8"/>
      <c r="Z983" s="4"/>
      <c r="AA983" s="2"/>
      <c r="AB983" s="4"/>
      <c r="AC983" s="8"/>
      <c r="AD983" s="4"/>
    </row>
    <row r="984">
      <c r="B984" s="4"/>
      <c r="C984" s="4"/>
      <c r="D984" s="4"/>
      <c r="F984" s="4"/>
      <c r="G984" s="8"/>
      <c r="H984" s="4"/>
      <c r="I984" s="4"/>
      <c r="J984" s="4"/>
      <c r="K984" s="4"/>
      <c r="L984" s="4"/>
      <c r="M984" s="8"/>
      <c r="N984" s="4"/>
      <c r="O984" s="8"/>
      <c r="P984" s="4"/>
      <c r="Q984" s="8"/>
      <c r="R984" s="4"/>
      <c r="S984" s="8"/>
      <c r="T984" s="4"/>
      <c r="U984" s="8"/>
      <c r="V984" s="4"/>
      <c r="W984" s="8"/>
      <c r="X984" s="4"/>
      <c r="Y984" s="8"/>
      <c r="Z984" s="4"/>
      <c r="AA984" s="2"/>
      <c r="AB984" s="4"/>
      <c r="AC984" s="8"/>
      <c r="AD984" s="4"/>
    </row>
    <row r="985">
      <c r="B985" s="4"/>
      <c r="C985" s="4"/>
      <c r="D985" s="4"/>
      <c r="F985" s="4"/>
      <c r="G985" s="8"/>
      <c r="H985" s="4"/>
      <c r="I985" s="4"/>
      <c r="J985" s="4"/>
      <c r="K985" s="4"/>
      <c r="L985" s="4"/>
      <c r="M985" s="8"/>
      <c r="N985" s="4"/>
      <c r="O985" s="8"/>
      <c r="P985" s="4"/>
      <c r="Q985" s="8"/>
      <c r="R985" s="4"/>
      <c r="S985" s="8"/>
      <c r="T985" s="4"/>
      <c r="U985" s="8"/>
      <c r="V985" s="4"/>
      <c r="W985" s="8"/>
      <c r="X985" s="4"/>
      <c r="Y985" s="8"/>
      <c r="Z985" s="4"/>
      <c r="AA985" s="2"/>
      <c r="AB985" s="4"/>
      <c r="AC985" s="8"/>
      <c r="AD985" s="4"/>
    </row>
    <row r="986">
      <c r="B986" s="4"/>
      <c r="C986" s="4"/>
      <c r="D986" s="4"/>
      <c r="F986" s="4"/>
      <c r="G986" s="8"/>
      <c r="H986" s="4"/>
      <c r="I986" s="4"/>
      <c r="J986" s="4"/>
      <c r="K986" s="4"/>
      <c r="L986" s="4"/>
      <c r="M986" s="8"/>
      <c r="N986" s="4"/>
      <c r="O986" s="8"/>
      <c r="P986" s="4"/>
      <c r="Q986" s="8"/>
      <c r="R986" s="4"/>
      <c r="S986" s="8"/>
      <c r="T986" s="4"/>
      <c r="U986" s="8"/>
      <c r="V986" s="4"/>
      <c r="W986" s="8"/>
      <c r="X986" s="4"/>
      <c r="Y986" s="8"/>
      <c r="Z986" s="4"/>
      <c r="AA986" s="2"/>
      <c r="AB986" s="4"/>
      <c r="AC986" s="8"/>
      <c r="AD986" s="4"/>
    </row>
    <row r="987">
      <c r="B987" s="4"/>
      <c r="C987" s="4"/>
      <c r="D987" s="4"/>
      <c r="F987" s="4"/>
      <c r="G987" s="8"/>
      <c r="H987" s="4"/>
      <c r="I987" s="4"/>
      <c r="J987" s="4"/>
      <c r="K987" s="4"/>
      <c r="L987" s="4"/>
      <c r="M987" s="8"/>
      <c r="N987" s="4"/>
      <c r="O987" s="8"/>
      <c r="P987" s="4"/>
      <c r="Q987" s="8"/>
      <c r="R987" s="4"/>
      <c r="S987" s="8"/>
      <c r="T987" s="4"/>
      <c r="U987" s="8"/>
      <c r="V987" s="4"/>
      <c r="W987" s="8"/>
      <c r="X987" s="4"/>
      <c r="Y987" s="8"/>
      <c r="Z987" s="4"/>
      <c r="AA987" s="2"/>
      <c r="AB987" s="4"/>
      <c r="AC987" s="8"/>
      <c r="AD987" s="4"/>
    </row>
    <row r="988">
      <c r="B988" s="4"/>
      <c r="C988" s="4"/>
      <c r="D988" s="4"/>
      <c r="F988" s="4"/>
      <c r="G988" s="8"/>
      <c r="H988" s="4"/>
      <c r="I988" s="4"/>
      <c r="J988" s="4"/>
      <c r="K988" s="4"/>
      <c r="L988" s="4"/>
      <c r="M988" s="8"/>
      <c r="N988" s="4"/>
      <c r="O988" s="8"/>
      <c r="P988" s="4"/>
      <c r="Q988" s="8"/>
      <c r="R988" s="4"/>
      <c r="S988" s="8"/>
      <c r="T988" s="4"/>
      <c r="U988" s="8"/>
      <c r="V988" s="4"/>
      <c r="W988" s="8"/>
      <c r="X988" s="4"/>
      <c r="Y988" s="8"/>
      <c r="Z988" s="4"/>
      <c r="AA988" s="2"/>
      <c r="AB988" s="4"/>
      <c r="AC988" s="8"/>
      <c r="AD988" s="4"/>
    </row>
    <row r="989">
      <c r="B989" s="4"/>
      <c r="C989" s="4"/>
      <c r="D989" s="4"/>
      <c r="F989" s="4"/>
      <c r="G989" s="8"/>
      <c r="H989" s="4"/>
      <c r="I989" s="4"/>
      <c r="J989" s="4"/>
      <c r="K989" s="4"/>
      <c r="L989" s="4"/>
      <c r="M989" s="8"/>
      <c r="N989" s="4"/>
      <c r="O989" s="8"/>
      <c r="P989" s="4"/>
      <c r="Q989" s="8"/>
      <c r="R989" s="4"/>
      <c r="S989" s="8"/>
      <c r="T989" s="4"/>
      <c r="U989" s="8"/>
      <c r="V989" s="4"/>
      <c r="W989" s="8"/>
      <c r="X989" s="4"/>
      <c r="Y989" s="8"/>
      <c r="Z989" s="4"/>
      <c r="AA989" s="2"/>
      <c r="AB989" s="4"/>
      <c r="AC989" s="8"/>
      <c r="AD989" s="4"/>
    </row>
    <row r="990">
      <c r="B990" s="4"/>
      <c r="C990" s="4"/>
      <c r="D990" s="4"/>
      <c r="F990" s="4"/>
      <c r="G990" s="8"/>
      <c r="H990" s="4"/>
      <c r="I990" s="4"/>
      <c r="J990" s="4"/>
      <c r="K990" s="4"/>
      <c r="L990" s="4"/>
      <c r="M990" s="8"/>
      <c r="N990" s="4"/>
      <c r="O990" s="8"/>
      <c r="P990" s="4"/>
      <c r="Q990" s="8"/>
      <c r="R990" s="4"/>
      <c r="S990" s="8"/>
      <c r="T990" s="4"/>
      <c r="U990" s="8"/>
      <c r="V990" s="4"/>
      <c r="W990" s="8"/>
      <c r="X990" s="4"/>
      <c r="Y990" s="8"/>
      <c r="Z990" s="4"/>
      <c r="AA990" s="2"/>
      <c r="AB990" s="4"/>
      <c r="AC990" s="8"/>
      <c r="AD990" s="4"/>
    </row>
    <row r="991">
      <c r="B991" s="4"/>
      <c r="C991" s="4"/>
      <c r="D991" s="4"/>
      <c r="F991" s="4"/>
      <c r="G991" s="8"/>
      <c r="H991" s="4"/>
      <c r="I991" s="4"/>
      <c r="J991" s="4"/>
      <c r="K991" s="4"/>
      <c r="L991" s="4"/>
      <c r="M991" s="8"/>
      <c r="N991" s="4"/>
      <c r="O991" s="8"/>
      <c r="P991" s="4"/>
      <c r="Q991" s="8"/>
      <c r="R991" s="4"/>
      <c r="S991" s="8"/>
      <c r="T991" s="4"/>
      <c r="U991" s="8"/>
      <c r="V991" s="4"/>
      <c r="W991" s="8"/>
      <c r="X991" s="4"/>
      <c r="Y991" s="8"/>
      <c r="Z991" s="4"/>
      <c r="AA991" s="2"/>
      <c r="AB991" s="4"/>
      <c r="AC991" s="8"/>
      <c r="AD991" s="4"/>
    </row>
    <row r="992">
      <c r="B992" s="4"/>
      <c r="C992" s="4"/>
      <c r="D992" s="4"/>
      <c r="F992" s="4"/>
      <c r="G992" s="8"/>
      <c r="H992" s="4"/>
      <c r="I992" s="4"/>
      <c r="J992" s="4"/>
      <c r="K992" s="4"/>
      <c r="L992" s="4"/>
      <c r="M992" s="8"/>
      <c r="N992" s="4"/>
      <c r="O992" s="8"/>
      <c r="P992" s="4"/>
      <c r="Q992" s="8"/>
      <c r="R992" s="4"/>
      <c r="S992" s="8"/>
      <c r="T992" s="4"/>
      <c r="U992" s="8"/>
      <c r="V992" s="4"/>
      <c r="W992" s="8"/>
      <c r="X992" s="4"/>
      <c r="Y992" s="8"/>
      <c r="Z992" s="4"/>
      <c r="AA992" s="2"/>
      <c r="AB992" s="4"/>
      <c r="AC992" s="8"/>
      <c r="AD992" s="4"/>
    </row>
    <row r="993">
      <c r="B993" s="4"/>
      <c r="C993" s="4"/>
      <c r="D993" s="4"/>
      <c r="F993" s="4"/>
      <c r="G993" s="8"/>
      <c r="H993" s="4"/>
      <c r="I993" s="4"/>
      <c r="J993" s="4"/>
      <c r="K993" s="4"/>
      <c r="L993" s="4"/>
      <c r="M993" s="8"/>
      <c r="N993" s="4"/>
      <c r="O993" s="8"/>
      <c r="P993" s="4"/>
      <c r="Q993" s="8"/>
      <c r="R993" s="4"/>
      <c r="S993" s="8"/>
      <c r="T993" s="4"/>
      <c r="U993" s="8"/>
      <c r="V993" s="4"/>
      <c r="W993" s="8"/>
      <c r="X993" s="4"/>
      <c r="Y993" s="8"/>
      <c r="Z993" s="4"/>
      <c r="AA993" s="2"/>
      <c r="AB993" s="4"/>
      <c r="AC993" s="8"/>
      <c r="AD993" s="4"/>
    </row>
    <row r="994">
      <c r="B994" s="4"/>
      <c r="C994" s="4"/>
      <c r="D994" s="4"/>
      <c r="F994" s="4"/>
      <c r="G994" s="8"/>
      <c r="H994" s="4"/>
      <c r="I994" s="4"/>
      <c r="J994" s="4"/>
      <c r="K994" s="4"/>
      <c r="L994" s="4"/>
      <c r="M994" s="8"/>
      <c r="N994" s="4"/>
      <c r="O994" s="8"/>
      <c r="P994" s="4"/>
      <c r="Q994" s="8"/>
      <c r="R994" s="4"/>
      <c r="S994" s="8"/>
      <c r="T994" s="4"/>
      <c r="U994" s="8"/>
      <c r="V994" s="4"/>
      <c r="W994" s="8"/>
      <c r="X994" s="4"/>
      <c r="Y994" s="8"/>
      <c r="Z994" s="4"/>
      <c r="AA994" s="2"/>
      <c r="AB994" s="4"/>
      <c r="AC994" s="8"/>
      <c r="AD994" s="4"/>
    </row>
    <row r="995">
      <c r="B995" s="4"/>
      <c r="C995" s="4"/>
      <c r="D995" s="4"/>
      <c r="F995" s="4"/>
      <c r="G995" s="8"/>
      <c r="H995" s="4"/>
      <c r="I995" s="4"/>
      <c r="J995" s="4"/>
      <c r="K995" s="4"/>
      <c r="L995" s="4"/>
      <c r="M995" s="8"/>
      <c r="N995" s="4"/>
      <c r="O995" s="8"/>
      <c r="P995" s="4"/>
      <c r="Q995" s="8"/>
      <c r="R995" s="4"/>
      <c r="S995" s="8"/>
      <c r="T995" s="4"/>
      <c r="U995" s="8"/>
      <c r="V995" s="4"/>
      <c r="W995" s="8"/>
      <c r="X995" s="4"/>
      <c r="Y995" s="8"/>
      <c r="Z995" s="4"/>
      <c r="AA995" s="2"/>
      <c r="AB995" s="4"/>
      <c r="AC995" s="8"/>
      <c r="AD995" s="4"/>
    </row>
    <row r="996">
      <c r="B996" s="4"/>
      <c r="C996" s="4"/>
      <c r="D996" s="4"/>
      <c r="F996" s="4"/>
      <c r="G996" s="8"/>
      <c r="H996" s="4"/>
      <c r="I996" s="4"/>
      <c r="J996" s="4"/>
      <c r="K996" s="4"/>
      <c r="L996" s="4"/>
      <c r="M996" s="8"/>
      <c r="N996" s="4"/>
      <c r="O996" s="8"/>
      <c r="P996" s="4"/>
      <c r="Q996" s="8"/>
      <c r="R996" s="4"/>
      <c r="S996" s="8"/>
      <c r="T996" s="4"/>
      <c r="U996" s="8"/>
      <c r="V996" s="4"/>
      <c r="W996" s="8"/>
      <c r="X996" s="4"/>
      <c r="Y996" s="8"/>
      <c r="Z996" s="4"/>
      <c r="AA996" s="2"/>
      <c r="AB996" s="4"/>
      <c r="AC996" s="8"/>
      <c r="AD996" s="4"/>
    </row>
    <row r="997">
      <c r="B997" s="4"/>
      <c r="C997" s="4"/>
      <c r="D997" s="4"/>
      <c r="F997" s="4"/>
      <c r="G997" s="8"/>
      <c r="H997" s="4"/>
      <c r="I997" s="4"/>
      <c r="J997" s="4"/>
      <c r="K997" s="4"/>
      <c r="L997" s="4"/>
      <c r="M997" s="8"/>
      <c r="N997" s="4"/>
      <c r="O997" s="8"/>
      <c r="P997" s="4"/>
      <c r="Q997" s="8"/>
      <c r="R997" s="4"/>
      <c r="S997" s="8"/>
      <c r="T997" s="4"/>
      <c r="U997" s="8"/>
      <c r="V997" s="4"/>
      <c r="W997" s="8"/>
      <c r="X997" s="4"/>
      <c r="Y997" s="8"/>
      <c r="Z997" s="4"/>
      <c r="AA997" s="2"/>
      <c r="AB997" s="4"/>
      <c r="AC997" s="8"/>
      <c r="AD997" s="4"/>
    </row>
    <row r="998">
      <c r="B998" s="4"/>
      <c r="C998" s="4"/>
      <c r="D998" s="4"/>
      <c r="F998" s="4"/>
      <c r="G998" s="8"/>
      <c r="H998" s="4"/>
      <c r="I998" s="4"/>
      <c r="J998" s="4"/>
      <c r="K998" s="4"/>
      <c r="L998" s="4"/>
      <c r="M998" s="8"/>
      <c r="N998" s="4"/>
      <c r="O998" s="8"/>
      <c r="P998" s="4"/>
      <c r="Q998" s="8"/>
      <c r="R998" s="4"/>
      <c r="S998" s="8"/>
      <c r="T998" s="4"/>
      <c r="U998" s="8"/>
      <c r="V998" s="4"/>
      <c r="W998" s="8"/>
      <c r="X998" s="4"/>
      <c r="Y998" s="8"/>
      <c r="Z998" s="4"/>
      <c r="AA998" s="2"/>
      <c r="AB998" s="4"/>
      <c r="AC998" s="8"/>
      <c r="AD998" s="4"/>
    </row>
    <row r="999">
      <c r="B999" s="4"/>
      <c r="C999" s="4"/>
      <c r="D999" s="4"/>
      <c r="F999" s="4"/>
      <c r="G999" s="8"/>
      <c r="H999" s="4"/>
      <c r="I999" s="4"/>
      <c r="J999" s="4"/>
      <c r="K999" s="4"/>
      <c r="L999" s="4"/>
      <c r="M999" s="8"/>
      <c r="N999" s="4"/>
      <c r="O999" s="8"/>
      <c r="P999" s="4"/>
      <c r="Q999" s="8"/>
      <c r="R999" s="4"/>
      <c r="S999" s="8"/>
      <c r="T999" s="4"/>
      <c r="U999" s="8"/>
      <c r="V999" s="4"/>
      <c r="W999" s="8"/>
      <c r="X999" s="4"/>
      <c r="Y999" s="8"/>
      <c r="Z999" s="4"/>
      <c r="AA999" s="2"/>
      <c r="AB999" s="4"/>
      <c r="AC999" s="8"/>
      <c r="AD999" s="4"/>
    </row>
    <row r="1000">
      <c r="B1000" s="4"/>
      <c r="C1000" s="4"/>
      <c r="D1000" s="4"/>
      <c r="F1000" s="4"/>
      <c r="G1000" s="8"/>
      <c r="H1000" s="4"/>
      <c r="I1000" s="4"/>
      <c r="J1000" s="4"/>
      <c r="K1000" s="4"/>
      <c r="L1000" s="4"/>
      <c r="M1000" s="8"/>
      <c r="N1000" s="4"/>
      <c r="O1000" s="8"/>
      <c r="P1000" s="4"/>
      <c r="Q1000" s="8"/>
      <c r="R1000" s="4"/>
      <c r="S1000" s="8"/>
      <c r="T1000" s="4"/>
      <c r="U1000" s="8"/>
      <c r="V1000" s="4"/>
      <c r="W1000" s="8"/>
      <c r="X1000" s="4"/>
      <c r="Y1000" s="8"/>
      <c r="Z1000" s="4"/>
      <c r="AA1000" s="2"/>
      <c r="AB1000" s="4"/>
      <c r="AC1000" s="8"/>
      <c r="AD1000" s="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302</v>
      </c>
      <c r="B1" s="6" t="s">
        <v>226</v>
      </c>
    </row>
    <row r="2">
      <c r="A2" s="10" t="s">
        <v>237</v>
      </c>
      <c r="B2" s="9">
        <v>4.0</v>
      </c>
    </row>
    <row r="3">
      <c r="A3" s="10" t="s">
        <v>303</v>
      </c>
      <c r="B3" s="9">
        <v>4.0</v>
      </c>
    </row>
    <row r="4">
      <c r="A4" s="10" t="s">
        <v>229</v>
      </c>
      <c r="B4" s="9">
        <v>5.0</v>
      </c>
    </row>
    <row r="5">
      <c r="A5" s="10" t="s">
        <v>230</v>
      </c>
      <c r="B5" s="9">
        <f>40/2</f>
        <v>20</v>
      </c>
    </row>
    <row r="6">
      <c r="A6" s="3" t="s">
        <v>304</v>
      </c>
      <c r="B6" s="9">
        <v>50.0</v>
      </c>
    </row>
    <row r="7">
      <c r="A7" s="3" t="s">
        <v>236</v>
      </c>
      <c r="B7" s="9">
        <v>3.0</v>
      </c>
    </row>
    <row r="8">
      <c r="A8" s="3" t="s">
        <v>231</v>
      </c>
      <c r="B8" s="9">
        <f>56/1000</f>
        <v>0.056</v>
      </c>
    </row>
    <row r="9">
      <c r="A9" s="3" t="s">
        <v>232</v>
      </c>
      <c r="B9" s="9">
        <f>50/1000</f>
        <v>0.05</v>
      </c>
    </row>
    <row r="10">
      <c r="A10" s="3" t="s">
        <v>233</v>
      </c>
      <c r="B10" s="9">
        <f>37/500</f>
        <v>0.074</v>
      </c>
    </row>
    <row r="11">
      <c r="A11" s="3" t="s">
        <v>234</v>
      </c>
      <c r="B11" s="9">
        <f>7.6/100</f>
        <v>0.076</v>
      </c>
    </row>
    <row r="12">
      <c r="A12" s="3" t="s">
        <v>235</v>
      </c>
      <c r="B12" s="9">
        <f>25/100</f>
        <v>0.25</v>
      </c>
    </row>
    <row r="13">
      <c r="A13" s="3" t="s">
        <v>66</v>
      </c>
      <c r="B13" s="9">
        <v>260.0</v>
      </c>
    </row>
    <row r="14">
      <c r="A14" s="3" t="s">
        <v>69</v>
      </c>
      <c r="B14" s="9">
        <v>261.0</v>
      </c>
    </row>
    <row r="15">
      <c r="A15" s="3" t="s">
        <v>72</v>
      </c>
      <c r="B15" s="9">
        <v>262.0</v>
      </c>
    </row>
    <row r="16">
      <c r="A16" s="3" t="s">
        <v>74</v>
      </c>
      <c r="B16" s="9">
        <v>263.0</v>
      </c>
    </row>
    <row r="17">
      <c r="A17" s="3" t="s">
        <v>76</v>
      </c>
      <c r="B17" s="9">
        <v>264.0</v>
      </c>
    </row>
    <row r="18">
      <c r="A18" s="3" t="s">
        <v>78</v>
      </c>
      <c r="B18" s="9">
        <v>265.0</v>
      </c>
    </row>
    <row r="19">
      <c r="A19" s="3" t="s">
        <v>80</v>
      </c>
      <c r="B19" s="9">
        <v>266.0</v>
      </c>
    </row>
    <row r="20">
      <c r="A20" s="3" t="s">
        <v>82</v>
      </c>
      <c r="B20" s="9">
        <v>267.0</v>
      </c>
    </row>
    <row r="21">
      <c r="A21" s="3" t="s">
        <v>85</v>
      </c>
      <c r="B21" s="9">
        <v>268.0</v>
      </c>
    </row>
    <row r="22">
      <c r="A22" s="3" t="s">
        <v>87</v>
      </c>
      <c r="B22" s="9">
        <v>269.0</v>
      </c>
    </row>
    <row r="23">
      <c r="A23" s="3" t="s">
        <v>89</v>
      </c>
      <c r="B23" s="9">
        <v>270.0</v>
      </c>
    </row>
    <row r="24">
      <c r="A24" s="3" t="s">
        <v>92</v>
      </c>
      <c r="B24" s="9">
        <v>271.0</v>
      </c>
    </row>
    <row r="25">
      <c r="A25" s="3" t="s">
        <v>94</v>
      </c>
      <c r="B25" s="9">
        <v>272.0</v>
      </c>
    </row>
    <row r="26">
      <c r="A26" s="3" t="s">
        <v>96</v>
      </c>
      <c r="B26" s="9">
        <v>273.0</v>
      </c>
    </row>
    <row r="27">
      <c r="A27" s="3" t="s">
        <v>98</v>
      </c>
      <c r="B27" s="9">
        <v>274.0</v>
      </c>
    </row>
    <row r="28">
      <c r="A28" s="3" t="s">
        <v>100</v>
      </c>
      <c r="B28" s="9">
        <v>275.0</v>
      </c>
    </row>
    <row r="29">
      <c r="A29" s="3" t="s">
        <v>102</v>
      </c>
      <c r="B29" s="9">
        <v>276.0</v>
      </c>
    </row>
    <row r="30">
      <c r="A30" s="3" t="s">
        <v>104</v>
      </c>
      <c r="B30" s="9">
        <v>277.0</v>
      </c>
    </row>
    <row r="31">
      <c r="A31" s="3" t="s">
        <v>106</v>
      </c>
      <c r="B31" s="9">
        <v>278.0</v>
      </c>
    </row>
    <row r="32">
      <c r="A32" s="3" t="s">
        <v>108</v>
      </c>
      <c r="B32" s="9">
        <v>279.0</v>
      </c>
    </row>
    <row r="33">
      <c r="A33" s="3" t="s">
        <v>110</v>
      </c>
      <c r="B33" s="9">
        <v>280.0</v>
      </c>
    </row>
    <row r="34">
      <c r="A34" s="3" t="s">
        <v>112</v>
      </c>
      <c r="B34" s="9">
        <v>281.0</v>
      </c>
    </row>
    <row r="35">
      <c r="A35" s="3" t="s">
        <v>114</v>
      </c>
      <c r="B35" s="9">
        <v>282.0</v>
      </c>
    </row>
    <row r="36">
      <c r="A36" s="3" t="s">
        <v>117</v>
      </c>
      <c r="B36" s="9">
        <v>283.0</v>
      </c>
    </row>
    <row r="37">
      <c r="A37" s="3" t="s">
        <v>119</v>
      </c>
      <c r="B37" s="9">
        <v>284.0</v>
      </c>
    </row>
    <row r="38">
      <c r="A38" s="3" t="s">
        <v>121</v>
      </c>
      <c r="B38" s="9">
        <v>285.0</v>
      </c>
    </row>
    <row r="39">
      <c r="A39" s="3" t="s">
        <v>123</v>
      </c>
      <c r="B39" s="9">
        <v>286.0</v>
      </c>
    </row>
    <row r="40">
      <c r="A40" s="3" t="s">
        <v>125</v>
      </c>
      <c r="B40" s="9">
        <v>287.0</v>
      </c>
    </row>
    <row r="41">
      <c r="A41" s="3" t="s">
        <v>127</v>
      </c>
      <c r="B41" s="9">
        <v>288.0</v>
      </c>
    </row>
    <row r="42">
      <c r="A42" s="3" t="s">
        <v>129</v>
      </c>
      <c r="B42" s="9">
        <v>289.0</v>
      </c>
    </row>
    <row r="43">
      <c r="A43" s="3" t="s">
        <v>131</v>
      </c>
      <c r="B43" s="9">
        <v>290.0</v>
      </c>
    </row>
    <row r="44">
      <c r="A44" s="3" t="s">
        <v>133</v>
      </c>
      <c r="B44" s="9">
        <v>291.0</v>
      </c>
    </row>
    <row r="45">
      <c r="A45" s="3" t="s">
        <v>135</v>
      </c>
      <c r="B45" s="9">
        <v>292.0</v>
      </c>
    </row>
    <row r="46">
      <c r="A46" s="3" t="s">
        <v>137</v>
      </c>
      <c r="B46" s="9">
        <v>293.0</v>
      </c>
    </row>
    <row r="47">
      <c r="A47" s="3" t="s">
        <v>139</v>
      </c>
      <c r="B47" s="9">
        <v>294.0</v>
      </c>
    </row>
    <row r="48">
      <c r="A48" s="3" t="s">
        <v>141</v>
      </c>
      <c r="B48" s="9">
        <v>295.0</v>
      </c>
    </row>
    <row r="49">
      <c r="A49" s="3" t="s">
        <v>143</v>
      </c>
      <c r="B49" s="9">
        <v>296.0</v>
      </c>
    </row>
    <row r="50">
      <c r="A50" s="3" t="s">
        <v>145</v>
      </c>
      <c r="B50" s="9">
        <v>297.0</v>
      </c>
    </row>
    <row r="51">
      <c r="A51" s="3" t="s">
        <v>147</v>
      </c>
      <c r="B51" s="9">
        <v>298.0</v>
      </c>
    </row>
    <row r="52">
      <c r="A52" s="3" t="s">
        <v>149</v>
      </c>
      <c r="B52" s="9">
        <v>299.0</v>
      </c>
    </row>
    <row r="53">
      <c r="A53" s="3" t="s">
        <v>151</v>
      </c>
      <c r="B53" s="9">
        <v>300.0</v>
      </c>
    </row>
    <row r="54">
      <c r="A54" s="3" t="s">
        <v>153</v>
      </c>
      <c r="B54" s="9">
        <v>301.0</v>
      </c>
    </row>
    <row r="55">
      <c r="A55" s="3" t="s">
        <v>155</v>
      </c>
      <c r="B55" s="9">
        <v>302.0</v>
      </c>
    </row>
    <row r="56">
      <c r="A56" s="3" t="s">
        <v>157</v>
      </c>
      <c r="B56" s="9">
        <v>303.0</v>
      </c>
    </row>
    <row r="57">
      <c r="A57" s="3" t="s">
        <v>159</v>
      </c>
      <c r="B57" s="9">
        <v>304.0</v>
      </c>
    </row>
    <row r="58">
      <c r="A58" s="3" t="s">
        <v>161</v>
      </c>
      <c r="B58" s="9">
        <v>305.0</v>
      </c>
    </row>
    <row r="59">
      <c r="A59" s="3" t="s">
        <v>163</v>
      </c>
      <c r="B59" s="9">
        <v>306.0</v>
      </c>
    </row>
    <row r="60">
      <c r="A60" s="3" t="s">
        <v>165</v>
      </c>
      <c r="B60" s="9">
        <v>307.0</v>
      </c>
    </row>
    <row r="61">
      <c r="A61" s="3" t="s">
        <v>167</v>
      </c>
      <c r="B61" s="9">
        <v>308.0</v>
      </c>
    </row>
    <row r="62">
      <c r="A62" s="3" t="s">
        <v>169</v>
      </c>
      <c r="B62" s="9">
        <v>309.0</v>
      </c>
    </row>
    <row r="63">
      <c r="A63" s="3" t="s">
        <v>171</v>
      </c>
      <c r="B63" s="9">
        <v>310.0</v>
      </c>
    </row>
    <row r="64">
      <c r="A64" s="3" t="s">
        <v>173</v>
      </c>
      <c r="B64" s="9">
        <v>311.0</v>
      </c>
    </row>
    <row r="65">
      <c r="A65" s="3" t="s">
        <v>175</v>
      </c>
      <c r="B65" s="9">
        <v>312.0</v>
      </c>
    </row>
    <row r="66">
      <c r="A66" s="3" t="s">
        <v>177</v>
      </c>
      <c r="B66" s="9">
        <v>313.0</v>
      </c>
    </row>
    <row r="67">
      <c r="A67" s="3" t="s">
        <v>179</v>
      </c>
      <c r="B67" s="9">
        <v>314.0</v>
      </c>
    </row>
    <row r="68">
      <c r="A68" s="3" t="s">
        <v>181</v>
      </c>
      <c r="B68" s="9">
        <v>315.0</v>
      </c>
    </row>
    <row r="69">
      <c r="A69" s="3" t="s">
        <v>183</v>
      </c>
      <c r="B69" s="9">
        <v>316.0</v>
      </c>
    </row>
    <row r="70">
      <c r="A70" s="3" t="s">
        <v>185</v>
      </c>
      <c r="B70" s="9">
        <v>317.0</v>
      </c>
    </row>
    <row r="71">
      <c r="A71" s="3" t="s">
        <v>187</v>
      </c>
      <c r="B71" s="9">
        <v>318.0</v>
      </c>
    </row>
    <row r="72">
      <c r="A72" s="3" t="s">
        <v>189</v>
      </c>
      <c r="B72" s="9">
        <v>319.0</v>
      </c>
    </row>
    <row r="73">
      <c r="A73" s="3" t="s">
        <v>191</v>
      </c>
      <c r="B73" s="9">
        <v>320.0</v>
      </c>
    </row>
    <row r="74">
      <c r="A74" s="3" t="s">
        <v>193</v>
      </c>
      <c r="B74" s="9">
        <v>321.0</v>
      </c>
    </row>
    <row r="75">
      <c r="A75" s="3" t="s">
        <v>195</v>
      </c>
      <c r="B75" s="9">
        <v>322.0</v>
      </c>
    </row>
    <row r="76">
      <c r="A76" s="3" t="s">
        <v>197</v>
      </c>
      <c r="B76" s="9">
        <v>323.0</v>
      </c>
    </row>
    <row r="77">
      <c r="A77" s="3" t="s">
        <v>199</v>
      </c>
      <c r="B77" s="9">
        <v>324.0</v>
      </c>
    </row>
    <row r="78">
      <c r="A78" s="3" t="s">
        <v>201</v>
      </c>
      <c r="B78" s="9">
        <v>325.0</v>
      </c>
    </row>
    <row r="79">
      <c r="A79" s="3" t="s">
        <v>203</v>
      </c>
      <c r="B79" s="9">
        <v>326.0</v>
      </c>
    </row>
    <row r="80">
      <c r="A80" s="3" t="s">
        <v>205</v>
      </c>
      <c r="B80" s="9">
        <v>327.0</v>
      </c>
    </row>
    <row r="81">
      <c r="A81" s="3" t="s">
        <v>207</v>
      </c>
      <c r="B81" s="9">
        <v>328.0</v>
      </c>
    </row>
    <row r="82">
      <c r="A82" s="3" t="s">
        <v>209</v>
      </c>
      <c r="B82" s="9">
        <v>329.0</v>
      </c>
    </row>
    <row r="83">
      <c r="A83" s="3" t="s">
        <v>211</v>
      </c>
      <c r="B83" s="9">
        <v>330.0</v>
      </c>
    </row>
    <row r="84">
      <c r="A84" s="3" t="s">
        <v>213</v>
      </c>
      <c r="B84" s="9">
        <v>331.0</v>
      </c>
    </row>
    <row r="85">
      <c r="A85" s="3" t="s">
        <v>215</v>
      </c>
      <c r="B85" s="9">
        <v>332.0</v>
      </c>
    </row>
    <row r="86">
      <c r="A86" s="3" t="s">
        <v>217</v>
      </c>
      <c r="B86" s="9">
        <v>333.0</v>
      </c>
    </row>
    <row r="87">
      <c r="A87" s="3" t="s">
        <v>219</v>
      </c>
      <c r="B87" s="9">
        <v>250.0</v>
      </c>
    </row>
    <row r="88">
      <c r="B88" s="8"/>
    </row>
    <row r="89">
      <c r="B89" s="8"/>
    </row>
    <row r="90">
      <c r="B90" s="8"/>
    </row>
    <row r="91">
      <c r="B91" s="8"/>
    </row>
    <row r="92">
      <c r="B92" s="8"/>
    </row>
    <row r="93">
      <c r="B93" s="8"/>
    </row>
    <row r="94">
      <c r="B94" s="8"/>
    </row>
    <row r="95">
      <c r="B95" s="8"/>
    </row>
    <row r="96">
      <c r="B96" s="8"/>
    </row>
    <row r="97">
      <c r="B97" s="8"/>
    </row>
    <row r="98">
      <c r="B98" s="8"/>
    </row>
    <row r="99">
      <c r="B99" s="8"/>
    </row>
    <row r="100">
      <c r="B100" s="8"/>
    </row>
    <row r="101">
      <c r="B101" s="8"/>
    </row>
    <row r="102">
      <c r="B102" s="8"/>
    </row>
    <row r="103">
      <c r="B103" s="8"/>
    </row>
    <row r="104">
      <c r="B104" s="8"/>
    </row>
    <row r="105">
      <c r="B105" s="8"/>
    </row>
    <row r="106">
      <c r="B106" s="8"/>
    </row>
    <row r="107">
      <c r="B107" s="8"/>
    </row>
    <row r="108">
      <c r="B108" s="8"/>
    </row>
    <row r="109">
      <c r="B109" s="8"/>
    </row>
    <row r="110">
      <c r="B110" s="8"/>
    </row>
    <row r="111">
      <c r="B111" s="8"/>
    </row>
    <row r="112">
      <c r="B112" s="8"/>
    </row>
    <row r="113">
      <c r="B113" s="8"/>
    </row>
    <row r="114">
      <c r="B114" s="8"/>
    </row>
    <row r="115">
      <c r="B115" s="8"/>
    </row>
    <row r="116">
      <c r="B116" s="8"/>
    </row>
    <row r="117">
      <c r="B117" s="8"/>
    </row>
    <row r="118">
      <c r="B118" s="8"/>
    </row>
    <row r="119">
      <c r="B119" s="8"/>
    </row>
    <row r="120">
      <c r="B120" s="8"/>
    </row>
    <row r="121">
      <c r="B121" s="8"/>
    </row>
    <row r="122">
      <c r="B122" s="8"/>
    </row>
    <row r="123">
      <c r="B123" s="8"/>
    </row>
    <row r="124">
      <c r="B124" s="8"/>
    </row>
    <row r="125">
      <c r="B125" s="8"/>
    </row>
    <row r="126">
      <c r="B126" s="8"/>
    </row>
    <row r="127">
      <c r="B127" s="8"/>
    </row>
    <row r="128">
      <c r="B128" s="8"/>
    </row>
    <row r="129">
      <c r="B129" s="8"/>
    </row>
    <row r="130">
      <c r="B130" s="8"/>
    </row>
    <row r="131">
      <c r="B131" s="8"/>
    </row>
    <row r="132">
      <c r="B132" s="8"/>
    </row>
    <row r="133">
      <c r="B133" s="8"/>
    </row>
    <row r="134">
      <c r="B134" s="8"/>
    </row>
    <row r="135">
      <c r="B135" s="8"/>
    </row>
    <row r="136">
      <c r="B136" s="8"/>
    </row>
    <row r="137">
      <c r="B137" s="8"/>
    </row>
    <row r="138">
      <c r="B138" s="8"/>
    </row>
    <row r="139">
      <c r="B139" s="8"/>
    </row>
    <row r="140">
      <c r="B140" s="8"/>
    </row>
    <row r="141">
      <c r="B141" s="8"/>
    </row>
    <row r="142">
      <c r="B142" s="8"/>
    </row>
    <row r="143">
      <c r="B143" s="8"/>
    </row>
    <row r="144">
      <c r="B144" s="8"/>
    </row>
    <row r="145">
      <c r="B145" s="8"/>
    </row>
    <row r="146">
      <c r="B146" s="8"/>
    </row>
    <row r="147">
      <c r="B147" s="8"/>
    </row>
    <row r="148">
      <c r="B148" s="8"/>
    </row>
    <row r="149">
      <c r="B149" s="8"/>
    </row>
    <row r="150">
      <c r="B150" s="8"/>
    </row>
    <row r="151">
      <c r="B151" s="8"/>
    </row>
    <row r="152">
      <c r="B152" s="8"/>
    </row>
    <row r="153">
      <c r="B153" s="8"/>
    </row>
    <row r="154">
      <c r="B154" s="8"/>
    </row>
    <row r="155">
      <c r="B155" s="8"/>
    </row>
    <row r="156">
      <c r="B156" s="8"/>
    </row>
    <row r="157">
      <c r="B157" s="8"/>
    </row>
    <row r="158">
      <c r="B158" s="8"/>
    </row>
    <row r="159">
      <c r="B159" s="8"/>
    </row>
    <row r="160">
      <c r="B160" s="8"/>
    </row>
    <row r="161">
      <c r="B161" s="8"/>
    </row>
    <row r="162">
      <c r="B162" s="8"/>
    </row>
    <row r="163">
      <c r="B163" s="8"/>
    </row>
    <row r="164">
      <c r="B164" s="8"/>
    </row>
    <row r="165">
      <c r="B165" s="8"/>
    </row>
    <row r="166">
      <c r="B166" s="8"/>
    </row>
    <row r="167">
      <c r="B167" s="8"/>
    </row>
    <row r="168">
      <c r="B168" s="8"/>
    </row>
    <row r="169">
      <c r="B169" s="8"/>
    </row>
    <row r="170">
      <c r="B170" s="8"/>
    </row>
    <row r="171">
      <c r="B171" s="8"/>
    </row>
    <row r="172">
      <c r="B172" s="8"/>
    </row>
    <row r="173">
      <c r="B173" s="8"/>
    </row>
    <row r="174">
      <c r="B174" s="8"/>
    </row>
    <row r="175">
      <c r="B175" s="8"/>
    </row>
    <row r="176">
      <c r="B176" s="8"/>
    </row>
    <row r="177">
      <c r="B177" s="8"/>
    </row>
    <row r="178">
      <c r="B178" s="8"/>
    </row>
    <row r="179">
      <c r="B179" s="8"/>
    </row>
    <row r="180">
      <c r="B180" s="8"/>
    </row>
    <row r="181">
      <c r="B181" s="8"/>
    </row>
    <row r="182">
      <c r="B182" s="8"/>
    </row>
    <row r="183">
      <c r="B183" s="8"/>
    </row>
    <row r="184">
      <c r="B184" s="8"/>
    </row>
    <row r="185">
      <c r="B185" s="8"/>
    </row>
    <row r="186">
      <c r="B186" s="8"/>
    </row>
    <row r="187">
      <c r="B187" s="8"/>
    </row>
    <row r="188">
      <c r="B188" s="8"/>
    </row>
    <row r="189">
      <c r="B189" s="8"/>
    </row>
    <row r="190">
      <c r="B190" s="8"/>
    </row>
    <row r="191">
      <c r="B191" s="8"/>
    </row>
    <row r="192">
      <c r="B192" s="8"/>
    </row>
    <row r="193">
      <c r="B193" s="8"/>
    </row>
    <row r="194">
      <c r="B194" s="8"/>
    </row>
    <row r="195">
      <c r="B195" s="8"/>
    </row>
    <row r="196">
      <c r="B196" s="8"/>
    </row>
    <row r="197">
      <c r="B197" s="8"/>
    </row>
    <row r="198">
      <c r="B198" s="8"/>
    </row>
    <row r="199">
      <c r="B199" s="8"/>
    </row>
    <row r="200">
      <c r="B200" s="8"/>
    </row>
    <row r="201">
      <c r="B201" s="8"/>
    </row>
    <row r="202">
      <c r="B202" s="8"/>
    </row>
    <row r="203">
      <c r="B203" s="8"/>
    </row>
    <row r="204">
      <c r="B204" s="8"/>
    </row>
    <row r="205">
      <c r="B205" s="8"/>
    </row>
    <row r="206">
      <c r="B206" s="8"/>
    </row>
    <row r="207">
      <c r="B207" s="8"/>
    </row>
    <row r="208">
      <c r="B208" s="8"/>
    </row>
    <row r="209">
      <c r="B209" s="8"/>
    </row>
    <row r="210">
      <c r="B210" s="8"/>
    </row>
    <row r="211">
      <c r="B211" s="8"/>
    </row>
    <row r="212">
      <c r="B212" s="8"/>
    </row>
    <row r="213">
      <c r="B213" s="8"/>
    </row>
    <row r="214">
      <c r="B214" s="8"/>
    </row>
    <row r="215">
      <c r="B215" s="8"/>
    </row>
    <row r="216">
      <c r="B216" s="8"/>
    </row>
    <row r="217">
      <c r="B217" s="8"/>
    </row>
    <row r="218">
      <c r="B218" s="8"/>
    </row>
    <row r="219">
      <c r="B219" s="8"/>
    </row>
    <row r="220">
      <c r="B220" s="8"/>
    </row>
    <row r="221">
      <c r="B221" s="8"/>
    </row>
    <row r="222">
      <c r="B222" s="8"/>
    </row>
    <row r="223">
      <c r="B223" s="8"/>
    </row>
    <row r="224">
      <c r="B224" s="8"/>
    </row>
    <row r="225">
      <c r="B225" s="8"/>
    </row>
    <row r="226">
      <c r="B226" s="8"/>
    </row>
    <row r="227">
      <c r="B227" s="8"/>
    </row>
    <row r="228">
      <c r="B228" s="8"/>
    </row>
    <row r="229">
      <c r="B229" s="8"/>
    </row>
    <row r="230">
      <c r="B230" s="8"/>
    </row>
    <row r="231">
      <c r="B231" s="8"/>
    </row>
    <row r="232">
      <c r="B232" s="8"/>
    </row>
    <row r="233">
      <c r="B233" s="8"/>
    </row>
    <row r="234">
      <c r="B234" s="8"/>
    </row>
    <row r="235">
      <c r="B235" s="8"/>
    </row>
    <row r="236">
      <c r="B236" s="8"/>
    </row>
    <row r="237">
      <c r="B237" s="8"/>
    </row>
    <row r="238">
      <c r="B238" s="8"/>
    </row>
    <row r="239">
      <c r="B239" s="8"/>
    </row>
    <row r="240">
      <c r="B240" s="8"/>
    </row>
    <row r="241">
      <c r="B241" s="8"/>
    </row>
    <row r="242">
      <c r="B242" s="8"/>
    </row>
    <row r="243">
      <c r="B243" s="8"/>
    </row>
    <row r="244">
      <c r="B244" s="8"/>
    </row>
    <row r="245">
      <c r="B245" s="8"/>
    </row>
    <row r="246">
      <c r="B246" s="8"/>
    </row>
    <row r="247">
      <c r="B247" s="8"/>
    </row>
    <row r="248">
      <c r="B248" s="8"/>
    </row>
    <row r="249">
      <c r="B249" s="8"/>
    </row>
    <row r="250">
      <c r="B250" s="8"/>
    </row>
    <row r="251">
      <c r="B251" s="8"/>
    </row>
    <row r="252">
      <c r="B252" s="8"/>
    </row>
    <row r="253">
      <c r="B253" s="8"/>
    </row>
    <row r="254">
      <c r="B254" s="8"/>
    </row>
    <row r="255">
      <c r="B255" s="8"/>
    </row>
    <row r="256">
      <c r="B256" s="8"/>
    </row>
    <row r="257">
      <c r="B257" s="8"/>
    </row>
    <row r="258">
      <c r="B258" s="8"/>
    </row>
    <row r="259">
      <c r="B259" s="8"/>
    </row>
    <row r="260">
      <c r="B260" s="8"/>
    </row>
    <row r="261">
      <c r="B261" s="8"/>
    </row>
    <row r="262">
      <c r="B262" s="8"/>
    </row>
    <row r="263">
      <c r="B263" s="8"/>
    </row>
    <row r="264">
      <c r="B264" s="8"/>
    </row>
    <row r="265">
      <c r="B265" s="8"/>
    </row>
    <row r="266">
      <c r="B266" s="8"/>
    </row>
    <row r="267">
      <c r="B267" s="8"/>
    </row>
    <row r="268">
      <c r="B268" s="8"/>
    </row>
    <row r="269">
      <c r="B269" s="8"/>
    </row>
    <row r="270">
      <c r="B270" s="8"/>
    </row>
    <row r="271">
      <c r="B271" s="8"/>
    </row>
    <row r="272">
      <c r="B272" s="8"/>
    </row>
    <row r="273">
      <c r="B273" s="8"/>
    </row>
    <row r="274">
      <c r="B274" s="8"/>
    </row>
    <row r="275">
      <c r="B275" s="8"/>
    </row>
    <row r="276">
      <c r="B276" s="8"/>
    </row>
    <row r="277">
      <c r="B277" s="8"/>
    </row>
    <row r="278">
      <c r="B278" s="8"/>
    </row>
    <row r="279">
      <c r="B279" s="8"/>
    </row>
    <row r="280">
      <c r="B280" s="8"/>
    </row>
    <row r="281">
      <c r="B281" s="8"/>
    </row>
    <row r="282">
      <c r="B282" s="8"/>
    </row>
    <row r="283">
      <c r="B283" s="8"/>
    </row>
    <row r="284">
      <c r="B284" s="8"/>
    </row>
    <row r="285">
      <c r="B285" s="8"/>
    </row>
    <row r="286">
      <c r="B286" s="8"/>
    </row>
    <row r="287">
      <c r="B287" s="8"/>
    </row>
    <row r="288">
      <c r="B288" s="8"/>
    </row>
    <row r="289">
      <c r="B289" s="8"/>
    </row>
    <row r="290">
      <c r="B290" s="8"/>
    </row>
    <row r="291">
      <c r="B291" s="8"/>
    </row>
    <row r="292">
      <c r="B292" s="8"/>
    </row>
    <row r="293">
      <c r="B293" s="8"/>
    </row>
    <row r="294">
      <c r="B294" s="8"/>
    </row>
    <row r="295">
      <c r="B295" s="8"/>
    </row>
    <row r="296">
      <c r="B296" s="8"/>
    </row>
    <row r="297">
      <c r="B297" s="8"/>
    </row>
    <row r="298">
      <c r="B298" s="8"/>
    </row>
    <row r="299">
      <c r="B299" s="8"/>
    </row>
    <row r="300">
      <c r="B300" s="8"/>
    </row>
    <row r="301">
      <c r="B301" s="8"/>
    </row>
    <row r="302">
      <c r="B302" s="8"/>
    </row>
    <row r="303">
      <c r="B303" s="8"/>
    </row>
    <row r="304">
      <c r="B304" s="8"/>
    </row>
    <row r="305">
      <c r="B305" s="8"/>
    </row>
    <row r="306">
      <c r="B306" s="8"/>
    </row>
    <row r="307">
      <c r="B307" s="8"/>
    </row>
    <row r="308">
      <c r="B308" s="8"/>
    </row>
    <row r="309">
      <c r="B309" s="8"/>
    </row>
    <row r="310">
      <c r="B310" s="8"/>
    </row>
    <row r="311">
      <c r="B311" s="8"/>
    </row>
    <row r="312">
      <c r="B312" s="8"/>
    </row>
    <row r="313">
      <c r="B313" s="8"/>
    </row>
    <row r="314">
      <c r="B314" s="8"/>
    </row>
    <row r="315">
      <c r="B315" s="8"/>
    </row>
    <row r="316">
      <c r="B316" s="8"/>
    </row>
    <row r="317">
      <c r="B317" s="8"/>
    </row>
    <row r="318">
      <c r="B318" s="8"/>
    </row>
    <row r="319">
      <c r="B319" s="8"/>
    </row>
    <row r="320">
      <c r="B320" s="8"/>
    </row>
    <row r="321">
      <c r="B321" s="8"/>
    </row>
    <row r="322">
      <c r="B322" s="8"/>
    </row>
    <row r="323">
      <c r="B323" s="8"/>
    </row>
    <row r="324">
      <c r="B324" s="8"/>
    </row>
    <row r="325">
      <c r="B325" s="8"/>
    </row>
    <row r="326">
      <c r="B326" s="8"/>
    </row>
    <row r="327">
      <c r="B327" s="8"/>
    </row>
    <row r="328">
      <c r="B328" s="8"/>
    </row>
    <row r="329">
      <c r="B329" s="8"/>
    </row>
    <row r="330">
      <c r="B330" s="8"/>
    </row>
    <row r="331">
      <c r="B331" s="8"/>
    </row>
    <row r="332">
      <c r="B332" s="8"/>
    </row>
    <row r="333">
      <c r="B333" s="8"/>
    </row>
    <row r="334">
      <c r="B334" s="8"/>
    </row>
    <row r="335">
      <c r="B335" s="8"/>
    </row>
    <row r="336">
      <c r="B336" s="8"/>
    </row>
    <row r="337">
      <c r="B337" s="8"/>
    </row>
    <row r="338">
      <c r="B338" s="8"/>
    </row>
    <row r="339">
      <c r="B339" s="8"/>
    </row>
    <row r="340">
      <c r="B340" s="8"/>
    </row>
    <row r="341">
      <c r="B341" s="8"/>
    </row>
    <row r="342">
      <c r="B342" s="8"/>
    </row>
    <row r="343">
      <c r="B343" s="8"/>
    </row>
    <row r="344">
      <c r="B344" s="8"/>
    </row>
    <row r="345">
      <c r="B345" s="8"/>
    </row>
    <row r="346">
      <c r="B346" s="8"/>
    </row>
    <row r="347">
      <c r="B347" s="8"/>
    </row>
    <row r="348">
      <c r="B348" s="8"/>
    </row>
    <row r="349">
      <c r="B349" s="8"/>
    </row>
    <row r="350">
      <c r="B350" s="8"/>
    </row>
    <row r="351">
      <c r="B351" s="8"/>
    </row>
    <row r="352">
      <c r="B352" s="8"/>
    </row>
    <row r="353">
      <c r="B353" s="8"/>
    </row>
    <row r="354">
      <c r="B354" s="8"/>
    </row>
    <row r="355">
      <c r="B355" s="8"/>
    </row>
    <row r="356">
      <c r="B356" s="8"/>
    </row>
    <row r="357">
      <c r="B357" s="8"/>
    </row>
    <row r="358">
      <c r="B358" s="8"/>
    </row>
    <row r="359">
      <c r="B359" s="8"/>
    </row>
    <row r="360">
      <c r="B360" s="8"/>
    </row>
    <row r="361">
      <c r="B361" s="8"/>
    </row>
    <row r="362">
      <c r="B362" s="8"/>
    </row>
    <row r="363">
      <c r="B363" s="8"/>
    </row>
    <row r="364">
      <c r="B364" s="8"/>
    </row>
    <row r="365">
      <c r="B365" s="8"/>
    </row>
    <row r="366">
      <c r="B366" s="8"/>
    </row>
    <row r="367">
      <c r="B367" s="8"/>
    </row>
    <row r="368">
      <c r="B368" s="8"/>
    </row>
    <row r="369">
      <c r="B369" s="8"/>
    </row>
    <row r="370">
      <c r="B370" s="8"/>
    </row>
    <row r="371">
      <c r="B371" s="8"/>
    </row>
    <row r="372">
      <c r="B372" s="8"/>
    </row>
    <row r="373">
      <c r="B373" s="8"/>
    </row>
    <row r="374">
      <c r="B374" s="8"/>
    </row>
    <row r="375">
      <c r="B375" s="8"/>
    </row>
    <row r="376">
      <c r="B376" s="8"/>
    </row>
    <row r="377">
      <c r="B377" s="8"/>
    </row>
    <row r="378">
      <c r="B378" s="8"/>
    </row>
    <row r="379">
      <c r="B379" s="8"/>
    </row>
    <row r="380">
      <c r="B380" s="8"/>
    </row>
    <row r="381">
      <c r="B381" s="8"/>
    </row>
    <row r="382">
      <c r="B382" s="8"/>
    </row>
    <row r="383">
      <c r="B383" s="8"/>
    </row>
    <row r="384">
      <c r="B384" s="8"/>
    </row>
    <row r="385">
      <c r="B385" s="8"/>
    </row>
    <row r="386">
      <c r="B386" s="8"/>
    </row>
    <row r="387">
      <c r="B387" s="8"/>
    </row>
    <row r="388">
      <c r="B388" s="8"/>
    </row>
    <row r="389">
      <c r="B389" s="8"/>
    </row>
    <row r="390">
      <c r="B390" s="8"/>
    </row>
    <row r="391">
      <c r="B391" s="8"/>
    </row>
    <row r="392">
      <c r="B392" s="8"/>
    </row>
    <row r="393">
      <c r="B393" s="8"/>
    </row>
    <row r="394">
      <c r="B394" s="8"/>
    </row>
    <row r="395">
      <c r="B395" s="8"/>
    </row>
    <row r="396">
      <c r="B396" s="8"/>
    </row>
    <row r="397">
      <c r="B397" s="8"/>
    </row>
    <row r="398">
      <c r="B398" s="8"/>
    </row>
    <row r="399">
      <c r="B399" s="8"/>
    </row>
    <row r="400">
      <c r="B400" s="8"/>
    </row>
    <row r="401">
      <c r="B401" s="8"/>
    </row>
    <row r="402">
      <c r="B402" s="8"/>
    </row>
    <row r="403">
      <c r="B403" s="8"/>
    </row>
    <row r="404">
      <c r="B404" s="8"/>
    </row>
    <row r="405">
      <c r="B405" s="8"/>
    </row>
    <row r="406">
      <c r="B406" s="8"/>
    </row>
    <row r="407">
      <c r="B407" s="8"/>
    </row>
    <row r="408">
      <c r="B408" s="8"/>
    </row>
    <row r="409">
      <c r="B409" s="8"/>
    </row>
    <row r="410">
      <c r="B410" s="8"/>
    </row>
    <row r="411">
      <c r="B411" s="8"/>
    </row>
    <row r="412">
      <c r="B412" s="8"/>
    </row>
    <row r="413">
      <c r="B413" s="8"/>
    </row>
    <row r="414">
      <c r="B414" s="8"/>
    </row>
    <row r="415">
      <c r="B415" s="8"/>
    </row>
    <row r="416">
      <c r="B416" s="8"/>
    </row>
    <row r="417">
      <c r="B417" s="8"/>
    </row>
    <row r="418">
      <c r="B418" s="8"/>
    </row>
    <row r="419">
      <c r="B419" s="8"/>
    </row>
    <row r="420">
      <c r="B420" s="8"/>
    </row>
    <row r="421">
      <c r="B421" s="8"/>
    </row>
    <row r="422">
      <c r="B422" s="8"/>
    </row>
    <row r="423">
      <c r="B423" s="8"/>
    </row>
    <row r="424">
      <c r="B424" s="8"/>
    </row>
    <row r="425">
      <c r="B425" s="8"/>
    </row>
    <row r="426">
      <c r="B426" s="8"/>
    </row>
    <row r="427">
      <c r="B427" s="8"/>
    </row>
    <row r="428">
      <c r="B428" s="8"/>
    </row>
    <row r="429">
      <c r="B429" s="8"/>
    </row>
    <row r="430">
      <c r="B430" s="8"/>
    </row>
    <row r="431">
      <c r="B431" s="8"/>
    </row>
    <row r="432">
      <c r="B432" s="8"/>
    </row>
    <row r="433">
      <c r="B433" s="8"/>
    </row>
    <row r="434">
      <c r="B434" s="8"/>
    </row>
    <row r="435">
      <c r="B435" s="8"/>
    </row>
    <row r="436">
      <c r="B436" s="8"/>
    </row>
    <row r="437">
      <c r="B437" s="8"/>
    </row>
    <row r="438">
      <c r="B438" s="8"/>
    </row>
    <row r="439">
      <c r="B439" s="8"/>
    </row>
    <row r="440">
      <c r="B440" s="8"/>
    </row>
    <row r="441">
      <c r="B441" s="8"/>
    </row>
    <row r="442">
      <c r="B442" s="8"/>
    </row>
    <row r="443">
      <c r="B443" s="8"/>
    </row>
    <row r="444">
      <c r="B444" s="8"/>
    </row>
    <row r="445">
      <c r="B445" s="8"/>
    </row>
    <row r="446">
      <c r="B446" s="8"/>
    </row>
    <row r="447">
      <c r="B447" s="8"/>
    </row>
    <row r="448">
      <c r="B448" s="8"/>
    </row>
    <row r="449">
      <c r="B449" s="8"/>
    </row>
    <row r="450">
      <c r="B450" s="8"/>
    </row>
    <row r="451">
      <c r="B451" s="8"/>
    </row>
    <row r="452">
      <c r="B452" s="8"/>
    </row>
    <row r="453">
      <c r="B453" s="8"/>
    </row>
    <row r="454">
      <c r="B454" s="8"/>
    </row>
    <row r="455">
      <c r="B455" s="8"/>
    </row>
    <row r="456">
      <c r="B456" s="8"/>
    </row>
    <row r="457">
      <c r="B457" s="8"/>
    </row>
    <row r="458">
      <c r="B458" s="8"/>
    </row>
    <row r="459">
      <c r="B459" s="8"/>
    </row>
    <row r="460">
      <c r="B460" s="8"/>
    </row>
    <row r="461">
      <c r="B461" s="8"/>
    </row>
    <row r="462">
      <c r="B462" s="8"/>
    </row>
    <row r="463">
      <c r="B463" s="8"/>
    </row>
    <row r="464">
      <c r="B464" s="8"/>
    </row>
    <row r="465">
      <c r="B465" s="8"/>
    </row>
    <row r="466">
      <c r="B466" s="8"/>
    </row>
    <row r="467">
      <c r="B467" s="8"/>
    </row>
    <row r="468">
      <c r="B468" s="8"/>
    </row>
    <row r="469">
      <c r="B469" s="8"/>
    </row>
    <row r="470">
      <c r="B470" s="8"/>
    </row>
    <row r="471">
      <c r="B471" s="8"/>
    </row>
    <row r="472">
      <c r="B472" s="8"/>
    </row>
    <row r="473">
      <c r="B473" s="8"/>
    </row>
    <row r="474">
      <c r="B474" s="8"/>
    </row>
    <row r="475">
      <c r="B475" s="8"/>
    </row>
    <row r="476">
      <c r="B476" s="8"/>
    </row>
    <row r="477">
      <c r="B477" s="8"/>
    </row>
    <row r="478">
      <c r="B478" s="8"/>
    </row>
    <row r="479">
      <c r="B479" s="8"/>
    </row>
    <row r="480">
      <c r="B480" s="8"/>
    </row>
    <row r="481">
      <c r="B481" s="8"/>
    </row>
    <row r="482">
      <c r="B482" s="8"/>
    </row>
    <row r="483">
      <c r="B483" s="8"/>
    </row>
    <row r="484">
      <c r="B484" s="8"/>
    </row>
    <row r="485">
      <c r="B485" s="8"/>
    </row>
    <row r="486">
      <c r="B486" s="8"/>
    </row>
    <row r="487">
      <c r="B487" s="8"/>
    </row>
    <row r="488">
      <c r="B488" s="8"/>
    </row>
    <row r="489">
      <c r="B489" s="8"/>
    </row>
    <row r="490">
      <c r="B490" s="8"/>
    </row>
    <row r="491">
      <c r="B491" s="8"/>
    </row>
    <row r="492">
      <c r="B492" s="8"/>
    </row>
    <row r="493">
      <c r="B493" s="8"/>
    </row>
    <row r="494">
      <c r="B494" s="8"/>
    </row>
    <row r="495">
      <c r="B495" s="8"/>
    </row>
    <row r="496">
      <c r="B496" s="8"/>
    </row>
    <row r="497">
      <c r="B497" s="8"/>
    </row>
    <row r="498">
      <c r="B498" s="8"/>
    </row>
    <row r="499">
      <c r="B499" s="8"/>
    </row>
    <row r="500">
      <c r="B500" s="8"/>
    </row>
    <row r="501">
      <c r="B501" s="8"/>
    </row>
    <row r="502">
      <c r="B502" s="8"/>
    </row>
    <row r="503">
      <c r="B503" s="8"/>
    </row>
    <row r="504">
      <c r="B504" s="8"/>
    </row>
    <row r="505">
      <c r="B505" s="8"/>
    </row>
    <row r="506">
      <c r="B506" s="8"/>
    </row>
    <row r="507">
      <c r="B507" s="8"/>
    </row>
    <row r="508">
      <c r="B508" s="8"/>
    </row>
    <row r="509">
      <c r="B509" s="8"/>
    </row>
    <row r="510">
      <c r="B510" s="8"/>
    </row>
    <row r="511">
      <c r="B511" s="8"/>
    </row>
    <row r="512">
      <c r="B512" s="8"/>
    </row>
    <row r="513">
      <c r="B513" s="8"/>
    </row>
    <row r="514">
      <c r="B514" s="8"/>
    </row>
    <row r="515">
      <c r="B515" s="8"/>
    </row>
    <row r="516">
      <c r="B516" s="8"/>
    </row>
    <row r="517">
      <c r="B517" s="8"/>
    </row>
    <row r="518">
      <c r="B518" s="8"/>
    </row>
    <row r="519">
      <c r="B519" s="8"/>
    </row>
    <row r="520">
      <c r="B520" s="8"/>
    </row>
    <row r="521">
      <c r="B521" s="8"/>
    </row>
    <row r="522">
      <c r="B522" s="8"/>
    </row>
    <row r="523">
      <c r="B523" s="8"/>
    </row>
    <row r="524">
      <c r="B524" s="8"/>
    </row>
    <row r="525">
      <c r="B525" s="8"/>
    </row>
    <row r="526">
      <c r="B526" s="8"/>
    </row>
    <row r="527">
      <c r="B527" s="8"/>
    </row>
    <row r="528">
      <c r="B528" s="8"/>
    </row>
    <row r="529">
      <c r="B529" s="8"/>
    </row>
    <row r="530">
      <c r="B530" s="8"/>
    </row>
    <row r="531">
      <c r="B531" s="8"/>
    </row>
    <row r="532">
      <c r="B532" s="8"/>
    </row>
    <row r="533">
      <c r="B533" s="8"/>
    </row>
    <row r="534">
      <c r="B534" s="8"/>
    </row>
    <row r="535">
      <c r="B535" s="8"/>
    </row>
    <row r="536">
      <c r="B536" s="8"/>
    </row>
    <row r="537">
      <c r="B537" s="8"/>
    </row>
    <row r="538">
      <c r="B538" s="8"/>
    </row>
    <row r="539">
      <c r="B539" s="8"/>
    </row>
    <row r="540">
      <c r="B540" s="8"/>
    </row>
    <row r="541">
      <c r="B541" s="8"/>
    </row>
    <row r="542">
      <c r="B542" s="8"/>
    </row>
    <row r="543">
      <c r="B543" s="8"/>
    </row>
    <row r="544">
      <c r="B544" s="8"/>
    </row>
    <row r="545">
      <c r="B545" s="8"/>
    </row>
    <row r="546">
      <c r="B546" s="8"/>
    </row>
    <row r="547">
      <c r="B547" s="8"/>
    </row>
    <row r="548">
      <c r="B548" s="8"/>
    </row>
    <row r="549">
      <c r="B549" s="8"/>
    </row>
    <row r="550">
      <c r="B550" s="8"/>
    </row>
    <row r="551">
      <c r="B551" s="8"/>
    </row>
    <row r="552">
      <c r="B552" s="8"/>
    </row>
    <row r="553">
      <c r="B553" s="8"/>
    </row>
    <row r="554">
      <c r="B554" s="8"/>
    </row>
    <row r="555">
      <c r="B555" s="8"/>
    </row>
    <row r="556">
      <c r="B556" s="8"/>
    </row>
    <row r="557">
      <c r="B557" s="8"/>
    </row>
    <row r="558">
      <c r="B558" s="8"/>
    </row>
    <row r="559">
      <c r="B559" s="8"/>
    </row>
    <row r="560">
      <c r="B560" s="8"/>
    </row>
    <row r="561">
      <c r="B561" s="8"/>
    </row>
    <row r="562">
      <c r="B562" s="8"/>
    </row>
    <row r="563">
      <c r="B563" s="8"/>
    </row>
    <row r="564">
      <c r="B564" s="8"/>
    </row>
    <row r="565">
      <c r="B565" s="8"/>
    </row>
    <row r="566">
      <c r="B566" s="8"/>
    </row>
    <row r="567">
      <c r="B567" s="8"/>
    </row>
    <row r="568">
      <c r="B568" s="8"/>
    </row>
    <row r="569">
      <c r="B569" s="8"/>
    </row>
    <row r="570">
      <c r="B570" s="8"/>
    </row>
    <row r="571">
      <c r="B571" s="8"/>
    </row>
    <row r="572">
      <c r="B572" s="8"/>
    </row>
    <row r="573">
      <c r="B573" s="8"/>
    </row>
    <row r="574">
      <c r="B574" s="8"/>
    </row>
    <row r="575">
      <c r="B575" s="8"/>
    </row>
    <row r="576">
      <c r="B576" s="8"/>
    </row>
    <row r="577">
      <c r="B577" s="8"/>
    </row>
    <row r="578">
      <c r="B578" s="8"/>
    </row>
    <row r="579">
      <c r="B579" s="8"/>
    </row>
    <row r="580">
      <c r="B580" s="8"/>
    </row>
    <row r="581">
      <c r="B581" s="8"/>
    </row>
    <row r="582">
      <c r="B582" s="8"/>
    </row>
    <row r="583">
      <c r="B583" s="8"/>
    </row>
    <row r="584">
      <c r="B584" s="8"/>
    </row>
    <row r="585">
      <c r="B585" s="8"/>
    </row>
    <row r="586">
      <c r="B586" s="8"/>
    </row>
    <row r="587">
      <c r="B587" s="8"/>
    </row>
    <row r="588">
      <c r="B588" s="8"/>
    </row>
    <row r="589">
      <c r="B589" s="8"/>
    </row>
    <row r="590">
      <c r="B590" s="8"/>
    </row>
    <row r="591">
      <c r="B591" s="8"/>
    </row>
    <row r="592">
      <c r="B592" s="8"/>
    </row>
    <row r="593">
      <c r="B593" s="8"/>
    </row>
    <row r="594">
      <c r="B594" s="8"/>
    </row>
    <row r="595">
      <c r="B595" s="8"/>
    </row>
    <row r="596">
      <c r="B596" s="8"/>
    </row>
    <row r="597">
      <c r="B597" s="8"/>
    </row>
    <row r="598">
      <c r="B598" s="8"/>
    </row>
    <row r="599">
      <c r="B599" s="8"/>
    </row>
    <row r="600">
      <c r="B600" s="8"/>
    </row>
    <row r="601">
      <c r="B601" s="8"/>
    </row>
    <row r="602">
      <c r="B602" s="8"/>
    </row>
    <row r="603">
      <c r="B603" s="8"/>
    </row>
    <row r="604">
      <c r="B604" s="8"/>
    </row>
    <row r="605">
      <c r="B605" s="8"/>
    </row>
    <row r="606">
      <c r="B606" s="8"/>
    </row>
    <row r="607">
      <c r="B607" s="8"/>
    </row>
    <row r="608">
      <c r="B608" s="8"/>
    </row>
    <row r="609">
      <c r="B609" s="8"/>
    </row>
    <row r="610">
      <c r="B610" s="8"/>
    </row>
    <row r="611">
      <c r="B611" s="8"/>
    </row>
    <row r="612">
      <c r="B612" s="8"/>
    </row>
    <row r="613">
      <c r="B613" s="8"/>
    </row>
    <row r="614">
      <c r="B614" s="8"/>
    </row>
    <row r="615">
      <c r="B615" s="8"/>
    </row>
    <row r="616">
      <c r="B616" s="8"/>
    </row>
    <row r="617">
      <c r="B617" s="8"/>
    </row>
    <row r="618">
      <c r="B618" s="8"/>
    </row>
    <row r="619">
      <c r="B619" s="8"/>
    </row>
    <row r="620">
      <c r="B620" s="8"/>
    </row>
    <row r="621">
      <c r="B621" s="8"/>
    </row>
    <row r="622">
      <c r="B622" s="8"/>
    </row>
    <row r="623">
      <c r="B623" s="8"/>
    </row>
    <row r="624">
      <c r="B624" s="8"/>
    </row>
    <row r="625">
      <c r="B625" s="8"/>
    </row>
    <row r="626">
      <c r="B626" s="8"/>
    </row>
    <row r="627">
      <c r="B627" s="8"/>
    </row>
    <row r="628">
      <c r="B628" s="8"/>
    </row>
    <row r="629">
      <c r="B629" s="8"/>
    </row>
    <row r="630">
      <c r="B630" s="8"/>
    </row>
    <row r="631">
      <c r="B631" s="8"/>
    </row>
    <row r="632">
      <c r="B632" s="8"/>
    </row>
    <row r="633">
      <c r="B633" s="8"/>
    </row>
    <row r="634">
      <c r="B634" s="8"/>
    </row>
    <row r="635">
      <c r="B635" s="8"/>
    </row>
    <row r="636">
      <c r="B636" s="8"/>
    </row>
    <row r="637">
      <c r="B637" s="8"/>
    </row>
    <row r="638">
      <c r="B638" s="8"/>
    </row>
    <row r="639">
      <c r="B639" s="8"/>
    </row>
    <row r="640">
      <c r="B640" s="8"/>
    </row>
    <row r="641">
      <c r="B641" s="8"/>
    </row>
    <row r="642">
      <c r="B642" s="8"/>
    </row>
    <row r="643">
      <c r="B643" s="8"/>
    </row>
    <row r="644">
      <c r="B644" s="8"/>
    </row>
    <row r="645">
      <c r="B645" s="8"/>
    </row>
    <row r="646">
      <c r="B646" s="8"/>
    </row>
    <row r="647">
      <c r="B647" s="8"/>
    </row>
    <row r="648">
      <c r="B648" s="8"/>
    </row>
    <row r="649">
      <c r="B649" s="8"/>
    </row>
    <row r="650">
      <c r="B650" s="8"/>
    </row>
    <row r="651">
      <c r="B651" s="8"/>
    </row>
    <row r="652">
      <c r="B652" s="8"/>
    </row>
    <row r="653">
      <c r="B653" s="8"/>
    </row>
    <row r="654">
      <c r="B654" s="8"/>
    </row>
    <row r="655">
      <c r="B655" s="8"/>
    </row>
    <row r="656">
      <c r="B656" s="8"/>
    </row>
    <row r="657">
      <c r="B657" s="8"/>
    </row>
    <row r="658">
      <c r="B658" s="8"/>
    </row>
    <row r="659">
      <c r="B659" s="8"/>
    </row>
    <row r="660">
      <c r="B660" s="8"/>
    </row>
    <row r="661">
      <c r="B661" s="8"/>
    </row>
    <row r="662">
      <c r="B662" s="8"/>
    </row>
    <row r="663">
      <c r="B663" s="8"/>
    </row>
    <row r="664">
      <c r="B664" s="8"/>
    </row>
    <row r="665">
      <c r="B665" s="8"/>
    </row>
    <row r="666">
      <c r="B666" s="8"/>
    </row>
    <row r="667">
      <c r="B667" s="8"/>
    </row>
    <row r="668">
      <c r="B668" s="8"/>
    </row>
    <row r="669">
      <c r="B669" s="8"/>
    </row>
    <row r="670">
      <c r="B670" s="8"/>
    </row>
    <row r="671">
      <c r="B671" s="8"/>
    </row>
    <row r="672">
      <c r="B672" s="8"/>
    </row>
    <row r="673">
      <c r="B673" s="8"/>
    </row>
    <row r="674">
      <c r="B674" s="8"/>
    </row>
    <row r="675">
      <c r="B675" s="8"/>
    </row>
    <row r="676">
      <c r="B676" s="8"/>
    </row>
    <row r="677">
      <c r="B677" s="8"/>
    </row>
    <row r="678">
      <c r="B678" s="8"/>
    </row>
    <row r="679">
      <c r="B679" s="8"/>
    </row>
    <row r="680">
      <c r="B680" s="8"/>
    </row>
    <row r="681">
      <c r="B681" s="8"/>
    </row>
    <row r="682">
      <c r="B682" s="8"/>
    </row>
    <row r="683">
      <c r="B683" s="8"/>
    </row>
    <row r="684">
      <c r="B684" s="8"/>
    </row>
    <row r="685">
      <c r="B685" s="8"/>
    </row>
    <row r="686">
      <c r="B686" s="8"/>
    </row>
    <row r="687">
      <c r="B687" s="8"/>
    </row>
    <row r="688">
      <c r="B688" s="8"/>
    </row>
    <row r="689">
      <c r="B689" s="8"/>
    </row>
    <row r="690">
      <c r="B690" s="8"/>
    </row>
    <row r="691">
      <c r="B691" s="8"/>
    </row>
    <row r="692">
      <c r="B692" s="8"/>
    </row>
    <row r="693">
      <c r="B693" s="8"/>
    </row>
    <row r="694">
      <c r="B694" s="8"/>
    </row>
    <row r="695">
      <c r="B695" s="8"/>
    </row>
    <row r="696">
      <c r="B696" s="8"/>
    </row>
    <row r="697">
      <c r="B697" s="8"/>
    </row>
    <row r="698">
      <c r="B698" s="8"/>
    </row>
    <row r="699">
      <c r="B699" s="8"/>
    </row>
    <row r="700">
      <c r="B700" s="8"/>
    </row>
    <row r="701">
      <c r="B701" s="8"/>
    </row>
    <row r="702">
      <c r="B702" s="8"/>
    </row>
    <row r="703">
      <c r="B703" s="8"/>
    </row>
    <row r="704">
      <c r="B704" s="8"/>
    </row>
    <row r="705">
      <c r="B705" s="8"/>
    </row>
    <row r="706">
      <c r="B706" s="8"/>
    </row>
    <row r="707">
      <c r="B707" s="8"/>
    </row>
    <row r="708">
      <c r="B708" s="8"/>
    </row>
    <row r="709">
      <c r="B709" s="8"/>
    </row>
    <row r="710">
      <c r="B710" s="8"/>
    </row>
    <row r="711">
      <c r="B711" s="8"/>
    </row>
    <row r="712">
      <c r="B712" s="8"/>
    </row>
    <row r="713">
      <c r="B713" s="8"/>
    </row>
    <row r="714">
      <c r="B714" s="8"/>
    </row>
    <row r="715">
      <c r="B715" s="8"/>
    </row>
    <row r="716">
      <c r="B716" s="8"/>
    </row>
    <row r="717">
      <c r="B717" s="8"/>
    </row>
    <row r="718">
      <c r="B718" s="8"/>
    </row>
    <row r="719">
      <c r="B719" s="8"/>
    </row>
    <row r="720">
      <c r="B720" s="8"/>
    </row>
    <row r="721">
      <c r="B721" s="8"/>
    </row>
    <row r="722">
      <c r="B722" s="8"/>
    </row>
    <row r="723">
      <c r="B723" s="8"/>
    </row>
    <row r="724">
      <c r="B724" s="8"/>
    </row>
    <row r="725">
      <c r="B725" s="8"/>
    </row>
    <row r="726">
      <c r="B726" s="8"/>
    </row>
    <row r="727">
      <c r="B727" s="8"/>
    </row>
    <row r="728">
      <c r="B728" s="8"/>
    </row>
    <row r="729">
      <c r="B729" s="8"/>
    </row>
    <row r="730">
      <c r="B730" s="8"/>
    </row>
    <row r="731">
      <c r="B731" s="8"/>
    </row>
    <row r="732">
      <c r="B732" s="8"/>
    </row>
    <row r="733">
      <c r="B733" s="8"/>
    </row>
    <row r="734">
      <c r="B734" s="8"/>
    </row>
    <row r="735">
      <c r="B735" s="8"/>
    </row>
    <row r="736">
      <c r="B736" s="8"/>
    </row>
    <row r="737">
      <c r="B737" s="8"/>
    </row>
    <row r="738">
      <c r="B738" s="8"/>
    </row>
    <row r="739">
      <c r="B739" s="8"/>
    </row>
    <row r="740">
      <c r="B740" s="8"/>
    </row>
    <row r="741">
      <c r="B741" s="8"/>
    </row>
    <row r="742">
      <c r="B742" s="8"/>
    </row>
    <row r="743">
      <c r="B743" s="8"/>
    </row>
    <row r="744">
      <c r="B744" s="8"/>
    </row>
    <row r="745">
      <c r="B745" s="8"/>
    </row>
    <row r="746">
      <c r="B746" s="8"/>
    </row>
    <row r="747">
      <c r="B747" s="8"/>
    </row>
    <row r="748">
      <c r="B748" s="8"/>
    </row>
    <row r="749">
      <c r="B749" s="8"/>
    </row>
    <row r="750">
      <c r="B750" s="8"/>
    </row>
    <row r="751">
      <c r="B751" s="8"/>
    </row>
    <row r="752">
      <c r="B752" s="8"/>
    </row>
    <row r="753">
      <c r="B753" s="8"/>
    </row>
    <row r="754">
      <c r="B754" s="8"/>
    </row>
    <row r="755">
      <c r="B755" s="8"/>
    </row>
    <row r="756">
      <c r="B756" s="8"/>
    </row>
    <row r="757">
      <c r="B757" s="8"/>
    </row>
    <row r="758">
      <c r="B758" s="8"/>
    </row>
    <row r="759">
      <c r="B759" s="8"/>
    </row>
    <row r="760">
      <c r="B760" s="8"/>
    </row>
    <row r="761">
      <c r="B761" s="8"/>
    </row>
    <row r="762">
      <c r="B762" s="8"/>
    </row>
    <row r="763">
      <c r="B763" s="8"/>
    </row>
    <row r="764">
      <c r="B764" s="8"/>
    </row>
    <row r="765">
      <c r="B765" s="8"/>
    </row>
    <row r="766">
      <c r="B766" s="8"/>
    </row>
    <row r="767">
      <c r="B767" s="8"/>
    </row>
    <row r="768">
      <c r="B768" s="8"/>
    </row>
    <row r="769">
      <c r="B769" s="8"/>
    </row>
    <row r="770">
      <c r="B770" s="8"/>
    </row>
    <row r="771">
      <c r="B771" s="8"/>
    </row>
    <row r="772">
      <c r="B772" s="8"/>
    </row>
    <row r="773">
      <c r="B773" s="8"/>
    </row>
    <row r="774">
      <c r="B774" s="8"/>
    </row>
    <row r="775">
      <c r="B775" s="8"/>
    </row>
    <row r="776">
      <c r="B776" s="8"/>
    </row>
    <row r="777">
      <c r="B777" s="8"/>
    </row>
    <row r="778">
      <c r="B778" s="8"/>
    </row>
    <row r="779">
      <c r="B779" s="8"/>
    </row>
    <row r="780">
      <c r="B780" s="8"/>
    </row>
    <row r="781">
      <c r="B781" s="8"/>
    </row>
    <row r="782">
      <c r="B782" s="8"/>
    </row>
    <row r="783">
      <c r="B783" s="8"/>
    </row>
    <row r="784">
      <c r="B784" s="8"/>
    </row>
    <row r="785">
      <c r="B785" s="8"/>
    </row>
    <row r="786">
      <c r="B786" s="8"/>
    </row>
    <row r="787">
      <c r="B787" s="8"/>
    </row>
    <row r="788">
      <c r="B788" s="8"/>
    </row>
    <row r="789">
      <c r="B789" s="8"/>
    </row>
    <row r="790">
      <c r="B790" s="8"/>
    </row>
    <row r="791">
      <c r="B791" s="8"/>
    </row>
    <row r="792">
      <c r="B792" s="8"/>
    </row>
    <row r="793">
      <c r="B793" s="8"/>
    </row>
    <row r="794">
      <c r="B794" s="8"/>
    </row>
    <row r="795">
      <c r="B795" s="8"/>
    </row>
    <row r="796">
      <c r="B796" s="8"/>
    </row>
    <row r="797">
      <c r="B797" s="8"/>
    </row>
    <row r="798">
      <c r="B798" s="8"/>
    </row>
    <row r="799">
      <c r="B799" s="8"/>
    </row>
    <row r="800">
      <c r="B800" s="8"/>
    </row>
    <row r="801">
      <c r="B801" s="8"/>
    </row>
    <row r="802">
      <c r="B802" s="8"/>
    </row>
    <row r="803">
      <c r="B803" s="8"/>
    </row>
    <row r="804">
      <c r="B804" s="8"/>
    </row>
    <row r="805">
      <c r="B805" s="8"/>
    </row>
    <row r="806">
      <c r="B806" s="8"/>
    </row>
    <row r="807">
      <c r="B807" s="8"/>
    </row>
    <row r="808">
      <c r="B808" s="8"/>
    </row>
    <row r="809">
      <c r="B809" s="8"/>
    </row>
    <row r="810">
      <c r="B810" s="8"/>
    </row>
    <row r="811">
      <c r="B811" s="8"/>
    </row>
    <row r="812">
      <c r="B812" s="8"/>
    </row>
    <row r="813">
      <c r="B813" s="8"/>
    </row>
    <row r="814">
      <c r="B814" s="8"/>
    </row>
    <row r="815">
      <c r="B815" s="8"/>
    </row>
    <row r="816">
      <c r="B816" s="8"/>
    </row>
    <row r="817">
      <c r="B817" s="8"/>
    </row>
    <row r="818">
      <c r="B818" s="8"/>
    </row>
    <row r="819">
      <c r="B819" s="8"/>
    </row>
    <row r="820">
      <c r="B820" s="8"/>
    </row>
    <row r="821">
      <c r="B821" s="8"/>
    </row>
    <row r="822">
      <c r="B822" s="8"/>
    </row>
    <row r="823">
      <c r="B823" s="8"/>
    </row>
    <row r="824">
      <c r="B824" s="8"/>
    </row>
    <row r="825">
      <c r="B825" s="8"/>
    </row>
    <row r="826">
      <c r="B826" s="8"/>
    </row>
    <row r="827">
      <c r="B827" s="8"/>
    </row>
    <row r="828">
      <c r="B828" s="8"/>
    </row>
    <row r="829">
      <c r="B829" s="8"/>
    </row>
    <row r="830">
      <c r="B830" s="8"/>
    </row>
    <row r="831">
      <c r="B831" s="8"/>
    </row>
    <row r="832">
      <c r="B832" s="8"/>
    </row>
    <row r="833">
      <c r="B833" s="8"/>
    </row>
    <row r="834">
      <c r="B834" s="8"/>
    </row>
    <row r="835">
      <c r="B835" s="8"/>
    </row>
    <row r="836">
      <c r="B836" s="8"/>
    </row>
    <row r="837">
      <c r="B837" s="8"/>
    </row>
    <row r="838">
      <c r="B838" s="8"/>
    </row>
    <row r="839">
      <c r="B839" s="8"/>
    </row>
    <row r="840">
      <c r="B840" s="8"/>
    </row>
    <row r="841">
      <c r="B841" s="8"/>
    </row>
    <row r="842">
      <c r="B842" s="8"/>
    </row>
    <row r="843">
      <c r="B843" s="8"/>
    </row>
    <row r="844">
      <c r="B844" s="8"/>
    </row>
    <row r="845">
      <c r="B845" s="8"/>
    </row>
    <row r="846">
      <c r="B846" s="8"/>
    </row>
    <row r="847">
      <c r="B847" s="8"/>
    </row>
    <row r="848">
      <c r="B848" s="8"/>
    </row>
    <row r="849">
      <c r="B849" s="8"/>
    </row>
    <row r="850">
      <c r="B850" s="8"/>
    </row>
    <row r="851">
      <c r="B851" s="8"/>
    </row>
    <row r="852">
      <c r="B852" s="8"/>
    </row>
    <row r="853">
      <c r="B853" s="8"/>
    </row>
    <row r="854">
      <c r="B854" s="8"/>
    </row>
    <row r="855">
      <c r="B855" s="8"/>
    </row>
    <row r="856">
      <c r="B856" s="8"/>
    </row>
    <row r="857">
      <c r="B857" s="8"/>
    </row>
    <row r="858">
      <c r="B858" s="8"/>
    </row>
    <row r="859">
      <c r="B859" s="8"/>
    </row>
    <row r="860">
      <c r="B860" s="8"/>
    </row>
    <row r="861">
      <c r="B861" s="8"/>
    </row>
    <row r="862">
      <c r="B862" s="8"/>
    </row>
    <row r="863">
      <c r="B863" s="8"/>
    </row>
    <row r="864">
      <c r="B864" s="8"/>
    </row>
    <row r="865">
      <c r="B865" s="8"/>
    </row>
    <row r="866">
      <c r="B866" s="8"/>
    </row>
    <row r="867">
      <c r="B867" s="8"/>
    </row>
    <row r="868">
      <c r="B868" s="8"/>
    </row>
    <row r="869">
      <c r="B869" s="8"/>
    </row>
    <row r="870">
      <c r="B870" s="8"/>
    </row>
    <row r="871">
      <c r="B871" s="8"/>
    </row>
    <row r="872">
      <c r="B872" s="8"/>
    </row>
    <row r="873">
      <c r="B873" s="8"/>
    </row>
    <row r="874">
      <c r="B874" s="8"/>
    </row>
    <row r="875">
      <c r="B875" s="8"/>
    </row>
    <row r="876">
      <c r="B876" s="8"/>
    </row>
    <row r="877">
      <c r="B877" s="8"/>
    </row>
    <row r="878">
      <c r="B878" s="8"/>
    </row>
    <row r="879">
      <c r="B879" s="8"/>
    </row>
    <row r="880">
      <c r="B880" s="8"/>
    </row>
    <row r="881">
      <c r="B881" s="8"/>
    </row>
    <row r="882">
      <c r="B882" s="8"/>
    </row>
    <row r="883">
      <c r="B883" s="8"/>
    </row>
    <row r="884">
      <c r="B884" s="8"/>
    </row>
    <row r="885">
      <c r="B885" s="8"/>
    </row>
    <row r="886">
      <c r="B886" s="8"/>
    </row>
    <row r="887">
      <c r="B887" s="8"/>
    </row>
    <row r="888">
      <c r="B888" s="8"/>
    </row>
    <row r="889">
      <c r="B889" s="8"/>
    </row>
    <row r="890">
      <c r="B890" s="8"/>
    </row>
    <row r="891">
      <c r="B891" s="8"/>
    </row>
    <row r="892">
      <c r="B892" s="8"/>
    </row>
    <row r="893">
      <c r="B893" s="8"/>
    </row>
    <row r="894">
      <c r="B894" s="8"/>
    </row>
    <row r="895">
      <c r="B895" s="8"/>
    </row>
    <row r="896">
      <c r="B896" s="8"/>
    </row>
    <row r="897">
      <c r="B897" s="8"/>
    </row>
    <row r="898">
      <c r="B898" s="8"/>
    </row>
    <row r="899">
      <c r="B899" s="8"/>
    </row>
    <row r="900">
      <c r="B900" s="8"/>
    </row>
    <row r="901">
      <c r="B901" s="8"/>
    </row>
    <row r="902">
      <c r="B902" s="8"/>
    </row>
    <row r="903">
      <c r="B903" s="8"/>
    </row>
    <row r="904">
      <c r="B904" s="8"/>
    </row>
    <row r="905">
      <c r="B905" s="8"/>
    </row>
    <row r="906">
      <c r="B906" s="8"/>
    </row>
    <row r="907">
      <c r="B907" s="8"/>
    </row>
    <row r="908">
      <c r="B908" s="8"/>
    </row>
    <row r="909">
      <c r="B909" s="8"/>
    </row>
    <row r="910">
      <c r="B910" s="8"/>
    </row>
    <row r="911">
      <c r="B911" s="8"/>
    </row>
    <row r="912">
      <c r="B912" s="8"/>
    </row>
    <row r="913">
      <c r="B913" s="8"/>
    </row>
    <row r="914">
      <c r="B914" s="8"/>
    </row>
    <row r="915">
      <c r="B915" s="8"/>
    </row>
    <row r="916">
      <c r="B916" s="8"/>
    </row>
    <row r="917">
      <c r="B917" s="8"/>
    </row>
    <row r="918">
      <c r="B918" s="8"/>
    </row>
    <row r="919">
      <c r="B919" s="8"/>
    </row>
    <row r="920">
      <c r="B920" s="8"/>
    </row>
    <row r="921">
      <c r="B921" s="8"/>
    </row>
    <row r="922">
      <c r="B922" s="8"/>
    </row>
    <row r="923">
      <c r="B923" s="8"/>
    </row>
    <row r="924">
      <c r="B924" s="8"/>
    </row>
    <row r="925">
      <c r="B925" s="8"/>
    </row>
    <row r="926">
      <c r="B926" s="8"/>
    </row>
    <row r="927">
      <c r="B927" s="8"/>
    </row>
    <row r="928">
      <c r="B928" s="8"/>
    </row>
    <row r="929">
      <c r="B929" s="8"/>
    </row>
    <row r="930">
      <c r="B930" s="8"/>
    </row>
    <row r="931">
      <c r="B931" s="8"/>
    </row>
    <row r="932">
      <c r="B932" s="8"/>
    </row>
    <row r="933">
      <c r="B933" s="8"/>
    </row>
    <row r="934">
      <c r="B934" s="8"/>
    </row>
    <row r="935">
      <c r="B935" s="8"/>
    </row>
    <row r="936">
      <c r="B936" s="8"/>
    </row>
    <row r="937">
      <c r="B937" s="8"/>
    </row>
    <row r="938">
      <c r="B938" s="8"/>
    </row>
    <row r="939">
      <c r="B939" s="8"/>
    </row>
    <row r="940">
      <c r="B940" s="8"/>
    </row>
    <row r="941">
      <c r="B941" s="8"/>
    </row>
    <row r="942">
      <c r="B942" s="8"/>
    </row>
    <row r="943">
      <c r="B943" s="8"/>
    </row>
    <row r="944">
      <c r="B944" s="8"/>
    </row>
    <row r="945">
      <c r="B945" s="8"/>
    </row>
    <row r="946">
      <c r="B946" s="8"/>
    </row>
    <row r="947">
      <c r="B947" s="8"/>
    </row>
    <row r="948">
      <c r="B948" s="8"/>
    </row>
    <row r="949">
      <c r="B949" s="8"/>
    </row>
    <row r="950">
      <c r="B950" s="8"/>
    </row>
    <row r="951">
      <c r="B951" s="8"/>
    </row>
    <row r="952">
      <c r="B952" s="8"/>
    </row>
    <row r="953">
      <c r="B953" s="8"/>
    </row>
    <row r="954">
      <c r="B954" s="8"/>
    </row>
    <row r="955">
      <c r="B955" s="8"/>
    </row>
    <row r="956">
      <c r="B956" s="8"/>
    </row>
    <row r="957">
      <c r="B957" s="8"/>
    </row>
    <row r="958">
      <c r="B958" s="8"/>
    </row>
    <row r="959">
      <c r="B959" s="8"/>
    </row>
    <row r="960">
      <c r="B960" s="8"/>
    </row>
    <row r="961">
      <c r="B961" s="8"/>
    </row>
    <row r="962">
      <c r="B962" s="8"/>
    </row>
    <row r="963">
      <c r="B963" s="8"/>
    </row>
    <row r="964">
      <c r="B964" s="8"/>
    </row>
    <row r="965">
      <c r="B965" s="8"/>
    </row>
    <row r="966">
      <c r="B966" s="8"/>
    </row>
    <row r="967">
      <c r="B967" s="8"/>
    </row>
    <row r="968">
      <c r="B968" s="8"/>
    </row>
    <row r="969">
      <c r="B969" s="8"/>
    </row>
    <row r="970">
      <c r="B970" s="8"/>
    </row>
    <row r="971">
      <c r="B971" s="8"/>
    </row>
    <row r="972">
      <c r="B972" s="8"/>
    </row>
    <row r="973">
      <c r="B973" s="8"/>
    </row>
    <row r="974">
      <c r="B974" s="8"/>
    </row>
    <row r="975">
      <c r="B975" s="8"/>
    </row>
    <row r="976">
      <c r="B976" s="8"/>
    </row>
    <row r="977">
      <c r="B977" s="8"/>
    </row>
    <row r="978">
      <c r="B978" s="8"/>
    </row>
    <row r="979">
      <c r="B979" s="8"/>
    </row>
    <row r="980">
      <c r="B980" s="8"/>
    </row>
    <row r="981">
      <c r="B981" s="8"/>
    </row>
    <row r="982">
      <c r="B982" s="8"/>
    </row>
    <row r="983">
      <c r="B983" s="8"/>
    </row>
    <row r="984">
      <c r="B984" s="8"/>
    </row>
    <row r="985">
      <c r="B985" s="8"/>
    </row>
    <row r="986">
      <c r="B986" s="8"/>
    </row>
    <row r="987">
      <c r="B987" s="8"/>
    </row>
    <row r="988">
      <c r="B988" s="8"/>
    </row>
    <row r="989">
      <c r="B989" s="8"/>
    </row>
    <row r="990">
      <c r="B990" s="8"/>
    </row>
    <row r="991">
      <c r="B991" s="8"/>
    </row>
    <row r="992">
      <c r="B992" s="8"/>
    </row>
    <row r="993">
      <c r="B993" s="8"/>
    </row>
    <row r="994">
      <c r="B994" s="8"/>
    </row>
    <row r="995">
      <c r="B995" s="8"/>
    </row>
    <row r="996">
      <c r="B996" s="8"/>
    </row>
    <row r="997">
      <c r="B997" s="8"/>
    </row>
    <row r="998">
      <c r="B998" s="8"/>
    </row>
    <row r="999">
      <c r="B999" s="8"/>
    </row>
    <row r="1000">
      <c r="B1000" s="8"/>
    </row>
    <row r="1001">
      <c r="B1001" s="8"/>
    </row>
    <row r="1002">
      <c r="B1002" s="8"/>
    </row>
    <row r="1003">
      <c r="B1003" s="8"/>
    </row>
    <row r="1004">
      <c r="B1004" s="8"/>
    </row>
    <row r="1005">
      <c r="B1005" s="8"/>
    </row>
    <row r="1006">
      <c r="B1006" s="8"/>
    </row>
    <row r="1007">
      <c r="B1007" s="8"/>
    </row>
    <row r="1008">
      <c r="B1008" s="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0"/>
    <col customWidth="1" min="2" max="2" width="10.63"/>
    <col customWidth="1" min="3" max="3" width="6.13"/>
    <col customWidth="1" min="4" max="4" width="5.13"/>
    <col customWidth="1" min="5" max="5" width="15.38"/>
    <col customWidth="1" min="6" max="6" width="20.75"/>
    <col customWidth="1" min="7" max="7" width="13.75"/>
    <col customWidth="1" min="8" max="8" width="18.0"/>
    <col customWidth="1" min="9" max="9" width="16.63"/>
    <col customWidth="1" min="10" max="10" width="16.5"/>
    <col customWidth="1" min="11" max="11" width="24.75"/>
    <col customWidth="1" min="12" max="12" width="23.88"/>
    <col customWidth="1" min="13" max="13" width="14.0"/>
    <col customWidth="1" min="14" max="14" width="14.75"/>
    <col customWidth="1" min="15" max="15" width="26.88"/>
    <col customWidth="1" min="16" max="16" width="15.38"/>
    <col customWidth="1" min="17" max="17" width="7.38"/>
    <col customWidth="1" min="18" max="18" width="14.0"/>
    <col customWidth="1" min="19" max="19" width="7.38"/>
    <col customWidth="1" min="20" max="20" width="8.75"/>
    <col customWidth="1" min="21" max="21" width="4.25"/>
    <col customWidth="1" min="22" max="22" width="16.25"/>
    <col customWidth="1" min="23" max="23" width="7.38"/>
    <col customWidth="1" min="24" max="24" width="15.0"/>
    <col customWidth="1" min="25" max="25" width="7.38"/>
    <col customWidth="1" min="26" max="26" width="8.75"/>
    <col customWidth="1" min="27" max="27" width="3.38"/>
    <col customWidth="1" min="28" max="28" width="15.88"/>
    <col customWidth="1" min="29" max="29" width="7.38"/>
    <col customWidth="1" min="30" max="30" width="14.63"/>
    <col customWidth="1" min="31" max="31" width="7.38"/>
    <col customWidth="1" min="32" max="32" width="8.75"/>
    <col customWidth="1" min="33" max="33" width="4.25"/>
    <col customWidth="1" min="34" max="34" width="16.25"/>
    <col customWidth="1" min="35" max="35" width="7.38"/>
    <col customWidth="1" min="36" max="36" width="15.0"/>
    <col customWidth="1" min="37" max="37" width="7.38"/>
    <col customWidth="1" min="38" max="38" width="8.75"/>
    <col customWidth="1" min="39" max="39" width="4.25"/>
    <col customWidth="1" min="40" max="40" width="17.25"/>
    <col customWidth="1" min="41" max="41" width="7.38"/>
    <col customWidth="1" min="42" max="42" width="15.88"/>
    <col customWidth="1" min="43" max="43" width="7.38"/>
    <col customWidth="1" min="44" max="44" width="8.75"/>
    <col customWidth="1" min="45" max="45" width="4.25"/>
    <col customWidth="1" min="46" max="46" width="16.88"/>
    <col customWidth="1" min="47" max="47" width="7.38"/>
    <col customWidth="1" min="48" max="48" width="15.5"/>
    <col customWidth="1" min="49" max="49" width="7.38"/>
    <col customWidth="1" min="50" max="50" width="8.75"/>
    <col customWidth="1" min="51" max="51" width="4.25"/>
    <col customWidth="1" min="52" max="52" width="19.63"/>
    <col customWidth="1" min="53" max="53" width="7.38"/>
    <col customWidth="1" min="54" max="54" width="18.38"/>
    <col customWidth="1" min="55" max="55" width="7.38"/>
    <col customWidth="1" min="56" max="56" width="8.75"/>
    <col customWidth="1" min="57" max="57" width="3.38"/>
    <col customWidth="1" min="58" max="58" width="22.88"/>
    <col customWidth="1" min="59" max="59" width="7.38"/>
    <col customWidth="1" min="60" max="60" width="21.63"/>
    <col customWidth="1" min="61" max="61" width="7.38"/>
    <col customWidth="1" min="62" max="62" width="8.75"/>
    <col customWidth="1" min="63" max="63" width="3.38"/>
    <col customWidth="1" min="64" max="64" width="23.13"/>
    <col customWidth="1" min="65" max="65" width="7.38"/>
    <col customWidth="1" min="66" max="66" width="21.88"/>
    <col customWidth="1" min="67" max="67" width="7.38"/>
    <col customWidth="1" min="68" max="68" width="8.75"/>
    <col customWidth="1" min="69" max="69" width="3.38"/>
    <col customWidth="1" min="70" max="70" width="22.75"/>
    <col customWidth="1" min="71" max="71" width="7.38"/>
    <col customWidth="1" min="72" max="72" width="21.5"/>
    <col customWidth="1" min="73" max="73" width="7.38"/>
    <col customWidth="1" min="74" max="74" width="8.75"/>
    <col customWidth="1" min="75" max="75" width="3.38"/>
    <col customWidth="1" min="76" max="76" width="21.63"/>
    <col customWidth="1" min="77" max="77" width="7.38"/>
    <col customWidth="1" min="78" max="78" width="20.38"/>
    <col customWidth="1" min="79" max="79" width="7.38"/>
    <col customWidth="1" min="80" max="80" width="8.75"/>
    <col customWidth="1" min="81" max="81" width="4.25"/>
    <col customWidth="1" min="82" max="82" width="22.63"/>
    <col customWidth="1" min="83" max="83" width="7.38"/>
    <col customWidth="1" min="84" max="84" width="21.25"/>
    <col customWidth="1" min="85" max="85" width="7.38"/>
    <col customWidth="1" min="86" max="86" width="8.75"/>
    <col customWidth="1" min="87" max="87" width="4.25"/>
    <col customWidth="1" min="88" max="88" width="21.25"/>
    <col customWidth="1" min="89" max="89" width="7.38"/>
    <col customWidth="1" min="90" max="90" width="20.0"/>
    <col customWidth="1" min="91" max="91" width="7.38"/>
    <col customWidth="1" min="92" max="92" width="8.75"/>
    <col customWidth="1" min="93" max="93" width="4.25"/>
    <col customWidth="1" min="94" max="94" width="27.38"/>
    <col customWidth="1" min="95" max="95" width="7.38"/>
    <col customWidth="1" min="96" max="96" width="26.13"/>
    <col customWidth="1" min="97" max="97" width="7.38"/>
    <col customWidth="1" min="98" max="98" width="8.75"/>
    <col customWidth="1" min="99" max="99" width="3.38"/>
    <col customWidth="1" min="100" max="100" width="27.25"/>
    <col customWidth="1" min="101" max="101" width="7.38"/>
    <col customWidth="1" min="102" max="102" width="26.0"/>
    <col customWidth="1" min="103" max="103" width="7.38"/>
    <col customWidth="1" min="104" max="104" width="8.75"/>
    <col customWidth="1" min="105" max="105" width="3.38"/>
    <col customWidth="1" min="106" max="106" width="27.25"/>
    <col customWidth="1" min="107" max="107" width="7.38"/>
    <col customWidth="1" min="108" max="108" width="26.0"/>
    <col customWidth="1" min="109" max="109" width="7.38"/>
    <col customWidth="1" min="110" max="110" width="8.75"/>
    <col customWidth="1" min="111" max="111" width="3.38"/>
    <col customWidth="1" min="112" max="112" width="22.63"/>
    <col customWidth="1" min="113" max="113" width="7.38"/>
    <col customWidth="1" min="114" max="114" width="21.38"/>
    <col customWidth="1" min="115" max="115" width="7.38"/>
    <col customWidth="1" min="116" max="116" width="8.75"/>
    <col customWidth="1" min="117" max="117" width="3.38"/>
    <col customWidth="1" min="118" max="118" width="10.88"/>
    <col customWidth="1" min="119" max="119" width="16.25"/>
    <col customWidth="1" min="120" max="126" width="4.25"/>
  </cols>
  <sheetData>
    <row r="1">
      <c r="A1" s="1" t="s">
        <v>305</v>
      </c>
      <c r="B1" s="1" t="s">
        <v>306</v>
      </c>
      <c r="C1" s="1" t="s">
        <v>307</v>
      </c>
      <c r="D1" s="1" t="s">
        <v>308</v>
      </c>
      <c r="E1" s="1" t="s">
        <v>309</v>
      </c>
      <c r="F1" s="1" t="s">
        <v>310</v>
      </c>
      <c r="G1" s="1" t="s">
        <v>311</v>
      </c>
      <c r="H1" s="1" t="s">
        <v>312</v>
      </c>
      <c r="I1" s="1" t="s">
        <v>313</v>
      </c>
      <c r="J1" s="1" t="s">
        <v>314</v>
      </c>
      <c r="K1" s="1" t="s">
        <v>315</v>
      </c>
      <c r="L1" s="1" t="s">
        <v>316</v>
      </c>
      <c r="M1" s="1" t="s">
        <v>317</v>
      </c>
      <c r="N1" s="1" t="s">
        <v>318</v>
      </c>
      <c r="O1" s="1" t="s">
        <v>319</v>
      </c>
      <c r="P1" s="1" t="s">
        <v>320</v>
      </c>
      <c r="Q1" s="1" t="s">
        <v>321</v>
      </c>
      <c r="R1" s="1" t="s">
        <v>322</v>
      </c>
      <c r="S1" s="1" t="s">
        <v>321</v>
      </c>
      <c r="T1" s="1" t="s">
        <v>323</v>
      </c>
      <c r="U1" s="1" t="s">
        <v>324</v>
      </c>
      <c r="V1" s="1" t="s">
        <v>325</v>
      </c>
      <c r="W1" s="1" t="s">
        <v>321</v>
      </c>
      <c r="X1" s="1" t="s">
        <v>326</v>
      </c>
      <c r="Y1" s="1" t="s">
        <v>321</v>
      </c>
      <c r="Z1" s="1" t="s">
        <v>323</v>
      </c>
      <c r="AA1" s="1" t="s">
        <v>324</v>
      </c>
      <c r="AB1" s="1" t="s">
        <v>327</v>
      </c>
      <c r="AC1" s="1" t="s">
        <v>321</v>
      </c>
      <c r="AD1" s="1" t="s">
        <v>328</v>
      </c>
      <c r="AE1" s="1" t="s">
        <v>321</v>
      </c>
      <c r="AF1" s="1" t="s">
        <v>323</v>
      </c>
      <c r="AG1" s="1" t="s">
        <v>324</v>
      </c>
      <c r="AH1" s="1" t="s">
        <v>329</v>
      </c>
      <c r="AI1" s="1" t="s">
        <v>321</v>
      </c>
      <c r="AJ1" s="1" t="s">
        <v>330</v>
      </c>
      <c r="AK1" s="1" t="s">
        <v>321</v>
      </c>
      <c r="AL1" s="1" t="s">
        <v>323</v>
      </c>
      <c r="AM1" s="1" t="s">
        <v>324</v>
      </c>
      <c r="AN1" s="1" t="s">
        <v>331</v>
      </c>
      <c r="AO1" s="1" t="s">
        <v>321</v>
      </c>
      <c r="AP1" s="1" t="s">
        <v>332</v>
      </c>
      <c r="AQ1" s="1" t="s">
        <v>321</v>
      </c>
      <c r="AR1" s="1" t="s">
        <v>323</v>
      </c>
      <c r="AS1" s="1" t="s">
        <v>324</v>
      </c>
      <c r="AT1" s="1" t="s">
        <v>333</v>
      </c>
      <c r="AU1" s="1" t="s">
        <v>321</v>
      </c>
      <c r="AV1" s="1" t="s">
        <v>334</v>
      </c>
      <c r="AW1" s="1" t="s">
        <v>321</v>
      </c>
      <c r="AX1" s="1" t="s">
        <v>323</v>
      </c>
      <c r="AY1" s="1" t="s">
        <v>324</v>
      </c>
      <c r="AZ1" s="1" t="s">
        <v>335</v>
      </c>
      <c r="BA1" s="1" t="s">
        <v>321</v>
      </c>
      <c r="BB1" s="1" t="s">
        <v>336</v>
      </c>
      <c r="BC1" s="1" t="s">
        <v>321</v>
      </c>
      <c r="BD1" s="1" t="s">
        <v>323</v>
      </c>
      <c r="BE1" s="1" t="s">
        <v>324</v>
      </c>
      <c r="BF1" s="1" t="s">
        <v>337</v>
      </c>
      <c r="BG1" s="1" t="s">
        <v>321</v>
      </c>
      <c r="BH1" s="1" t="s">
        <v>338</v>
      </c>
      <c r="BI1" s="1" t="s">
        <v>321</v>
      </c>
      <c r="BJ1" s="1" t="s">
        <v>323</v>
      </c>
      <c r="BK1" s="1" t="s">
        <v>324</v>
      </c>
      <c r="BL1" s="1" t="s">
        <v>339</v>
      </c>
      <c r="BM1" s="1" t="s">
        <v>321</v>
      </c>
      <c r="BN1" s="1" t="s">
        <v>340</v>
      </c>
      <c r="BO1" s="1" t="s">
        <v>321</v>
      </c>
      <c r="BP1" s="1" t="s">
        <v>323</v>
      </c>
      <c r="BQ1" s="1" t="s">
        <v>324</v>
      </c>
      <c r="BR1" s="1" t="s">
        <v>341</v>
      </c>
      <c r="BS1" s="1" t="s">
        <v>321</v>
      </c>
      <c r="BT1" s="1" t="s">
        <v>342</v>
      </c>
      <c r="BU1" s="1" t="s">
        <v>321</v>
      </c>
      <c r="BV1" s="1" t="s">
        <v>323</v>
      </c>
      <c r="BW1" s="1" t="s">
        <v>324</v>
      </c>
      <c r="BX1" s="1" t="s">
        <v>343</v>
      </c>
      <c r="BY1" s="1" t="s">
        <v>321</v>
      </c>
      <c r="BZ1" s="1" t="s">
        <v>344</v>
      </c>
      <c r="CA1" s="1" t="s">
        <v>321</v>
      </c>
      <c r="CB1" s="1" t="s">
        <v>323</v>
      </c>
      <c r="CC1" s="1" t="s">
        <v>324</v>
      </c>
      <c r="CD1" s="1" t="s">
        <v>345</v>
      </c>
      <c r="CE1" s="1" t="s">
        <v>321</v>
      </c>
      <c r="CF1" s="1" t="s">
        <v>346</v>
      </c>
      <c r="CG1" s="1" t="s">
        <v>321</v>
      </c>
      <c r="CH1" s="1" t="s">
        <v>323</v>
      </c>
      <c r="CI1" s="1" t="s">
        <v>324</v>
      </c>
      <c r="CJ1" s="1" t="s">
        <v>347</v>
      </c>
      <c r="CK1" s="1" t="s">
        <v>321</v>
      </c>
      <c r="CL1" s="1" t="s">
        <v>348</v>
      </c>
      <c r="CM1" s="1" t="s">
        <v>321</v>
      </c>
      <c r="CN1" s="1" t="s">
        <v>323</v>
      </c>
      <c r="CO1" s="1" t="s">
        <v>324</v>
      </c>
      <c r="CP1" s="1" t="s">
        <v>349</v>
      </c>
      <c r="CQ1" s="1" t="s">
        <v>321</v>
      </c>
      <c r="CR1" s="1" t="s">
        <v>350</v>
      </c>
      <c r="CS1" s="1" t="s">
        <v>321</v>
      </c>
      <c r="CT1" s="1" t="s">
        <v>323</v>
      </c>
      <c r="CU1" s="1" t="s">
        <v>324</v>
      </c>
      <c r="CV1" s="1" t="s">
        <v>351</v>
      </c>
      <c r="CW1" s="1" t="s">
        <v>321</v>
      </c>
      <c r="CX1" s="1" t="s">
        <v>352</v>
      </c>
      <c r="CY1" s="1" t="s">
        <v>321</v>
      </c>
      <c r="CZ1" s="1" t="s">
        <v>323</v>
      </c>
      <c r="DA1" s="1" t="s">
        <v>324</v>
      </c>
      <c r="DB1" s="1" t="s">
        <v>353</v>
      </c>
      <c r="DC1" s="1" t="s">
        <v>321</v>
      </c>
      <c r="DD1" s="1" t="s">
        <v>354</v>
      </c>
      <c r="DE1" s="1" t="s">
        <v>321</v>
      </c>
      <c r="DF1" s="1" t="s">
        <v>323</v>
      </c>
      <c r="DG1" s="1" t="s">
        <v>324</v>
      </c>
      <c r="DH1" s="1" t="s">
        <v>355</v>
      </c>
      <c r="DI1" s="1" t="s">
        <v>321</v>
      </c>
      <c r="DJ1" s="1" t="s">
        <v>356</v>
      </c>
      <c r="DK1" s="1" t="s">
        <v>321</v>
      </c>
      <c r="DL1" s="1" t="s">
        <v>323</v>
      </c>
      <c r="DM1" s="1" t="s">
        <v>324</v>
      </c>
      <c r="DN1" s="1" t="s">
        <v>357</v>
      </c>
      <c r="DO1" s="1" t="s">
        <v>358</v>
      </c>
      <c r="DP1" s="1"/>
      <c r="DQ1" s="1"/>
      <c r="DR1" s="1"/>
      <c r="DS1" s="1"/>
      <c r="DT1" s="1"/>
      <c r="DU1" s="1"/>
      <c r="DV1" s="1"/>
    </row>
    <row r="2">
      <c r="A2" s="3" t="s">
        <v>239</v>
      </c>
      <c r="B2" s="1">
        <v>600.0</v>
      </c>
      <c r="C2" s="1">
        <v>580.0</v>
      </c>
      <c r="D2" s="1">
        <v>850.0</v>
      </c>
      <c r="E2" s="1">
        <v>15.0</v>
      </c>
      <c r="F2" s="1">
        <v>18.0</v>
      </c>
      <c r="G2" s="1">
        <v>6.0</v>
      </c>
      <c r="H2" s="1">
        <v>100.0</v>
      </c>
      <c r="I2" s="1">
        <v>100.0</v>
      </c>
      <c r="J2" s="1">
        <v>13.0</v>
      </c>
      <c r="K2" s="1">
        <v>20.0</v>
      </c>
      <c r="L2" s="1">
        <v>6.0</v>
      </c>
      <c r="M2" s="1">
        <v>2.0</v>
      </c>
      <c r="N2" s="1">
        <v>10.0</v>
      </c>
      <c r="O2" s="1">
        <v>8.0</v>
      </c>
      <c r="P2" s="4">
        <f t="shared" ref="P2:P62" si="2">B2</f>
        <v>600</v>
      </c>
      <c r="Q2" s="1">
        <v>0.0</v>
      </c>
      <c r="R2" s="1">
        <f t="shared" ref="R2:R47" si="3">H2</f>
        <v>100</v>
      </c>
      <c r="S2" s="1">
        <v>1.0</v>
      </c>
      <c r="T2" s="1">
        <v>1.0</v>
      </c>
      <c r="U2" s="4">
        <f t="shared" ref="U2:U47" si="4">ROUNDUP(P2*R2*T2/1000/1000,2)</f>
        <v>0.06</v>
      </c>
      <c r="V2" s="4">
        <f t="shared" ref="V2:V47" si="5">C2-I2-F2</f>
        <v>462</v>
      </c>
      <c r="W2" s="1">
        <v>0.0</v>
      </c>
      <c r="X2" s="4">
        <f t="shared" ref="X2:X47" si="6">R2</f>
        <v>100</v>
      </c>
      <c r="Y2" s="1">
        <v>0.0</v>
      </c>
      <c r="Z2" s="1">
        <v>2.0</v>
      </c>
      <c r="AA2" s="4">
        <f t="shared" ref="AA2:AA47" si="7">ROUNDUP(V2*X2*Z2/1000/1000,2)</f>
        <v>0.1</v>
      </c>
      <c r="AB2" s="4">
        <f t="shared" ref="AB2:AB47" si="8">P2-F2-F2</f>
        <v>564</v>
      </c>
      <c r="AC2" s="1">
        <v>0.0</v>
      </c>
      <c r="AD2" s="4">
        <f t="shared" ref="AD2:AD47" si="9">X2</f>
        <v>100</v>
      </c>
      <c r="AE2" s="1">
        <v>0.0</v>
      </c>
      <c r="AF2" s="1">
        <v>1.0</v>
      </c>
      <c r="AG2" s="4">
        <f t="shared" ref="AG2:AG47" si="10">ROUNDUP(AB2*AD2*AF2/1000/1000,2)</f>
        <v>0.06</v>
      </c>
      <c r="AH2" s="1">
        <f t="shared" ref="AH2:AH47" si="11">B2-F2</f>
        <v>582</v>
      </c>
      <c r="AI2" s="1">
        <v>1.0</v>
      </c>
      <c r="AJ2" s="1">
        <f t="shared" ref="AJ2:AJ47" si="12">C2-G2</f>
        <v>574</v>
      </c>
      <c r="AK2" s="1">
        <v>0.0</v>
      </c>
      <c r="AL2" s="1">
        <v>2.0</v>
      </c>
      <c r="AM2" s="4">
        <f t="shared" ref="AM2:AM47" si="13">ROUNDUP(AH2*AJ2*AL2/1000/1000,2)</f>
        <v>0.67</v>
      </c>
      <c r="AN2" s="1">
        <f t="shared" ref="AN2:AN47" si="14">D2-H2-F2</f>
        <v>732</v>
      </c>
      <c r="AO2" s="1">
        <v>1.0</v>
      </c>
      <c r="AP2" s="1">
        <f t="shared" ref="AP2:AP47" si="15">AJ2</f>
        <v>574</v>
      </c>
      <c r="AQ2" s="1">
        <v>0.0</v>
      </c>
      <c r="AR2" s="1">
        <v>2.0</v>
      </c>
      <c r="AS2" s="4">
        <f t="shared" ref="AS2:AS47" si="16">ROUNDUP(AN2*AP2*AR2/1000/1000,2)</f>
        <v>0.85</v>
      </c>
      <c r="AT2" s="1">
        <f t="shared" ref="AT2:AT47" si="17">AN2+E2+E2</f>
        <v>762</v>
      </c>
      <c r="AU2" s="1">
        <v>0.0</v>
      </c>
      <c r="AV2" s="1">
        <f t="shared" ref="AV2:AV47" si="18">AH2</f>
        <v>582</v>
      </c>
      <c r="AW2" s="1">
        <v>0.0</v>
      </c>
      <c r="AX2" s="1">
        <v>1.0</v>
      </c>
      <c r="AY2" s="4">
        <f t="shared" ref="AY2:AY47" si="19">ROUNDUP(AT2*AV2*AX2/1000/1000,2)</f>
        <v>0.45</v>
      </c>
      <c r="AZ2" s="4">
        <f t="shared" ref="AZ2:AZ47" si="20">AH2-E2-E2</f>
        <v>552</v>
      </c>
      <c r="BA2" s="1">
        <v>1.0</v>
      </c>
      <c r="BB2" s="4">
        <f t="shared" ref="BB2:BB47" si="21">AP2</f>
        <v>574</v>
      </c>
      <c r="BC2" s="1">
        <v>0.0</v>
      </c>
      <c r="BD2" s="1">
        <v>0.0</v>
      </c>
      <c r="BE2" s="4">
        <f t="shared" ref="BE2:BE47" si="22">ROUNDUP(AZ2*BB2*BD2/1000/1000,2)</f>
        <v>0</v>
      </c>
      <c r="BF2" s="4">
        <f t="shared" ref="BF2:BF47" si="23">AZ2-J2-J2-E2-E2</f>
        <v>496</v>
      </c>
      <c r="BG2" s="1">
        <v>2.0</v>
      </c>
      <c r="BH2" s="4">
        <f t="shared" ref="BH2:BH47" si="24">(AN2-K2-L2)/4</f>
        <v>176.5</v>
      </c>
      <c r="BI2" s="1">
        <v>0.0</v>
      </c>
      <c r="BJ2" s="1">
        <v>0.0</v>
      </c>
      <c r="BK2" s="4">
        <f t="shared" ref="BK2:BK47" si="25">ROUNDUP(BF2*BH2*BJ2/1000/1000,2)</f>
        <v>0</v>
      </c>
      <c r="BL2" s="4">
        <f t="shared" ref="BL2:BL47" si="26">BB2-N2-E2-E2</f>
        <v>534</v>
      </c>
      <c r="BM2" s="1">
        <v>2.0</v>
      </c>
      <c r="BN2" s="4">
        <f t="shared" ref="BN2:BN47" si="27">BH2</f>
        <v>176.5</v>
      </c>
      <c r="BO2" s="1">
        <v>2.0</v>
      </c>
      <c r="BP2" s="1">
        <v>0.0</v>
      </c>
      <c r="BQ2" s="4">
        <f t="shared" ref="BQ2:BQ47" si="28">ROUNDUP(BL2*BN2*BP2/1000/1000,2)</f>
        <v>0</v>
      </c>
      <c r="BR2" s="4">
        <f t="shared" ref="BR2:BR47" si="29">BL2+O2+O2</f>
        <v>550</v>
      </c>
      <c r="BS2" s="1">
        <v>0.0</v>
      </c>
      <c r="BT2" s="4">
        <f t="shared" ref="BT2:BT47" si="30">BF2+O2+O2</f>
        <v>512</v>
      </c>
      <c r="BU2" s="1">
        <v>0.0</v>
      </c>
      <c r="BV2" s="1">
        <v>0.0</v>
      </c>
      <c r="BW2" s="4">
        <f t="shared" ref="BW2:BW47" si="31">ROUNDUP(BR2*BT2*BV2/1000/1000,2)</f>
        <v>0</v>
      </c>
      <c r="BX2" s="4">
        <f t="shared" ref="BX2:BX47" si="32">AH2</f>
        <v>582</v>
      </c>
      <c r="BY2" s="1">
        <v>1.0</v>
      </c>
      <c r="BZ2" s="4">
        <f t="shared" ref="BZ2:BZ47" si="33">AJ2</f>
        <v>574</v>
      </c>
      <c r="CA2" s="1">
        <v>0.0</v>
      </c>
      <c r="CB2" s="1">
        <v>1.0</v>
      </c>
      <c r="CC2" s="4">
        <f t="shared" ref="CC2:CC47" si="34">ROUNDUP(BX2*BZ2*CB2/1000/1000,2)</f>
        <v>0.34</v>
      </c>
      <c r="CD2" s="4">
        <f t="shared" ref="CD2:CD47" si="35">D2-H2</f>
        <v>750</v>
      </c>
      <c r="CE2" s="1">
        <v>1.0</v>
      </c>
      <c r="CF2" s="4">
        <f t="shared" ref="CF2:CF47" si="36">C2</f>
        <v>580</v>
      </c>
      <c r="CG2" s="1">
        <v>1.0</v>
      </c>
      <c r="CH2" s="1">
        <v>2.0</v>
      </c>
      <c r="CI2" s="4">
        <f t="shared" ref="CI2:CI47" si="37">ROUNDUP(CD2*CF2*CH2/1000/1000,2)</f>
        <v>0.87</v>
      </c>
      <c r="CJ2" s="4">
        <f t="shared" ref="CJ2:CJ47" si="38">BX2</f>
        <v>582</v>
      </c>
      <c r="CK2" s="1">
        <v>1.0</v>
      </c>
      <c r="CL2" s="1">
        <v>80.0</v>
      </c>
      <c r="CM2" s="1">
        <v>0.0</v>
      </c>
      <c r="CN2" s="1">
        <v>1.0</v>
      </c>
      <c r="CO2" s="4">
        <f t="shared" ref="CO2:CO47" si="39">ROUNDUP(CJ2*CL2*CN2/1000/1000,2)</f>
        <v>0.05</v>
      </c>
      <c r="CP2" s="4">
        <f t="shared" ref="CP2:CP47" si="40">B2-F2-M2-M2/2</f>
        <v>579</v>
      </c>
      <c r="CQ2" s="1">
        <v>2.0</v>
      </c>
      <c r="CR2" s="4">
        <f t="shared" ref="CR2:CR47" si="41">BH2+K2+L2-M2</f>
        <v>200.5</v>
      </c>
      <c r="CS2" s="1">
        <v>2.0</v>
      </c>
      <c r="CT2" s="1">
        <v>0.0</v>
      </c>
      <c r="CU2" s="4">
        <f t="shared" ref="CU2:CU47" si="42">ROUNDUP(CP2*CR2*CT2/1000/1000,2)</f>
        <v>0</v>
      </c>
      <c r="CV2" s="1">
        <f t="shared" ref="CV2:CV47" si="43">C2-M2-M2/2</f>
        <v>577</v>
      </c>
      <c r="CW2" s="1">
        <v>2.0</v>
      </c>
      <c r="CX2" s="4">
        <f t="shared" ref="CX2:CX47" si="44">D2-H2-DH2/2</f>
        <v>250</v>
      </c>
      <c r="CY2" s="1">
        <v>2.0</v>
      </c>
      <c r="CZ2" s="1">
        <v>0.0</v>
      </c>
      <c r="DA2" s="4">
        <f t="shared" ref="DA2:DA47" si="45">ROUNDUP(CV2*CX2*CZ2/1000/1000,2)</f>
        <v>0</v>
      </c>
      <c r="DB2" s="4">
        <f t="shared" ref="DB2:DE2" si="1">CV2</f>
        <v>577</v>
      </c>
      <c r="DC2" s="4">
        <f t="shared" si="1"/>
        <v>2</v>
      </c>
      <c r="DD2" s="4">
        <f t="shared" si="1"/>
        <v>250</v>
      </c>
      <c r="DE2" s="4">
        <f t="shared" si="1"/>
        <v>2</v>
      </c>
      <c r="DF2" s="1">
        <v>0.0</v>
      </c>
      <c r="DG2" s="4">
        <f t="shared" ref="DG2:DG47" si="47">ROUNDUP(DB2*DD2*DF2/1000/1000,2)</f>
        <v>0</v>
      </c>
      <c r="DH2" s="1">
        <v>1000.0</v>
      </c>
      <c r="DI2" s="1">
        <v>2.0</v>
      </c>
      <c r="DJ2" s="4">
        <f t="shared" ref="DJ2:DJ47" si="48">B2-M2-M2/2</f>
        <v>597</v>
      </c>
      <c r="DK2" s="1">
        <v>2.0</v>
      </c>
      <c r="DL2" s="1">
        <v>0.0</v>
      </c>
      <c r="DM2" s="4">
        <f t="shared" ref="DM2:DM47" si="49">ROUNDUP(DH2*DJ2*DL2/1000/1000,2)</f>
        <v>0</v>
      </c>
      <c r="DN2" s="4">
        <f t="shared" ref="DN2:DN47" si="50">AM2+AS2+AY2+BE2+BK2+BQ2+BW2</f>
        <v>1.97</v>
      </c>
      <c r="DO2" s="4">
        <f t="shared" ref="DO2:DO47" si="51">U2+AA2+AG2+CC2+CI2+CO2+CU2+DA2+DG2+DM2</f>
        <v>1.48</v>
      </c>
      <c r="DP2" s="4"/>
      <c r="DQ2" s="4"/>
      <c r="DR2" s="4"/>
      <c r="DS2" s="4"/>
      <c r="DT2" s="4"/>
      <c r="DU2" s="4"/>
      <c r="DV2" s="4"/>
    </row>
    <row r="3">
      <c r="A3" s="3" t="s">
        <v>242</v>
      </c>
      <c r="B3" s="1">
        <v>600.0</v>
      </c>
      <c r="C3" s="1">
        <v>580.0</v>
      </c>
      <c r="D3" s="1">
        <v>850.0</v>
      </c>
      <c r="E3" s="4">
        <f t="shared" ref="E3:E47" si="52">$E$2</f>
        <v>15</v>
      </c>
      <c r="F3" s="4">
        <f t="shared" ref="F3:F47" si="53">$F$2</f>
        <v>18</v>
      </c>
      <c r="G3" s="4">
        <f t="shared" ref="G3:G47" si="54">$G$2</f>
        <v>6</v>
      </c>
      <c r="H3" s="4">
        <f t="shared" ref="H3:H47" si="55">$H$2</f>
        <v>100</v>
      </c>
      <c r="I3" s="4">
        <f t="shared" ref="I3:I47" si="56">I2</f>
        <v>100</v>
      </c>
      <c r="J3" s="4">
        <f t="shared" ref="J3:J47" si="57">$J$2</f>
        <v>13</v>
      </c>
      <c r="K3" s="4">
        <f t="shared" ref="K3:K47" si="58">$K$2</f>
        <v>20</v>
      </c>
      <c r="L3" s="4">
        <f t="shared" ref="L3:L47" si="59">$L$2</f>
        <v>6</v>
      </c>
      <c r="M3" s="4">
        <f t="shared" ref="M3:M47" si="60">$M$2</f>
        <v>2</v>
      </c>
      <c r="N3" s="4">
        <f t="shared" ref="N3:N47" si="61">$N$2</f>
        <v>10</v>
      </c>
      <c r="O3" s="4">
        <f t="shared" ref="O3:O47" si="62">$O$2</f>
        <v>8</v>
      </c>
      <c r="P3" s="4">
        <f t="shared" si="2"/>
        <v>600</v>
      </c>
      <c r="Q3" s="1">
        <v>0.0</v>
      </c>
      <c r="R3" s="1">
        <f t="shared" si="3"/>
        <v>100</v>
      </c>
      <c r="S3" s="1">
        <v>1.0</v>
      </c>
      <c r="T3" s="1">
        <v>1.0</v>
      </c>
      <c r="U3" s="4">
        <f t="shared" si="4"/>
        <v>0.06</v>
      </c>
      <c r="V3" s="4">
        <f t="shared" si="5"/>
        <v>462</v>
      </c>
      <c r="W3" s="1">
        <v>0.0</v>
      </c>
      <c r="X3" s="4">
        <f t="shared" si="6"/>
        <v>100</v>
      </c>
      <c r="Y3" s="1">
        <v>0.0</v>
      </c>
      <c r="Z3" s="1">
        <v>2.0</v>
      </c>
      <c r="AA3" s="4">
        <f t="shared" si="7"/>
        <v>0.1</v>
      </c>
      <c r="AB3" s="4">
        <f t="shared" si="8"/>
        <v>564</v>
      </c>
      <c r="AC3" s="1">
        <v>0.0</v>
      </c>
      <c r="AD3" s="4">
        <f t="shared" si="9"/>
        <v>100</v>
      </c>
      <c r="AE3" s="1">
        <v>0.0</v>
      </c>
      <c r="AF3" s="1">
        <v>1.0</v>
      </c>
      <c r="AG3" s="4">
        <f t="shared" si="10"/>
        <v>0.06</v>
      </c>
      <c r="AH3" s="1">
        <f t="shared" si="11"/>
        <v>582</v>
      </c>
      <c r="AI3" s="1">
        <v>1.0</v>
      </c>
      <c r="AJ3" s="1">
        <f t="shared" si="12"/>
        <v>574</v>
      </c>
      <c r="AK3" s="1">
        <v>0.0</v>
      </c>
      <c r="AL3" s="1">
        <v>2.0</v>
      </c>
      <c r="AM3" s="4">
        <f t="shared" si="13"/>
        <v>0.67</v>
      </c>
      <c r="AN3" s="1">
        <f t="shared" si="14"/>
        <v>732</v>
      </c>
      <c r="AO3" s="1">
        <v>1.0</v>
      </c>
      <c r="AP3" s="1">
        <f t="shared" si="15"/>
        <v>574</v>
      </c>
      <c r="AQ3" s="1">
        <v>0.0</v>
      </c>
      <c r="AR3" s="1">
        <v>2.0</v>
      </c>
      <c r="AS3" s="4">
        <f t="shared" si="16"/>
        <v>0.85</v>
      </c>
      <c r="AT3" s="1">
        <f t="shared" si="17"/>
        <v>762</v>
      </c>
      <c r="AU3" s="1">
        <v>0.0</v>
      </c>
      <c r="AV3" s="1">
        <f t="shared" si="18"/>
        <v>582</v>
      </c>
      <c r="AW3" s="1">
        <v>0.0</v>
      </c>
      <c r="AX3" s="1">
        <v>1.0</v>
      </c>
      <c r="AY3" s="4">
        <f t="shared" si="19"/>
        <v>0.45</v>
      </c>
      <c r="AZ3" s="4">
        <f t="shared" si="20"/>
        <v>552</v>
      </c>
      <c r="BA3" s="1">
        <v>1.0</v>
      </c>
      <c r="BB3" s="4">
        <f t="shared" si="21"/>
        <v>574</v>
      </c>
      <c r="BC3" s="1">
        <v>0.0</v>
      </c>
      <c r="BD3" s="1">
        <v>0.0</v>
      </c>
      <c r="BE3" s="4">
        <f t="shared" si="22"/>
        <v>0</v>
      </c>
      <c r="BF3" s="4">
        <f t="shared" si="23"/>
        <v>496</v>
      </c>
      <c r="BG3" s="1">
        <v>2.0</v>
      </c>
      <c r="BH3" s="4">
        <f t="shared" si="24"/>
        <v>176.5</v>
      </c>
      <c r="BI3" s="1">
        <v>0.0</v>
      </c>
      <c r="BJ3" s="1">
        <v>0.0</v>
      </c>
      <c r="BK3" s="4">
        <f t="shared" si="25"/>
        <v>0</v>
      </c>
      <c r="BL3" s="4">
        <f t="shared" si="26"/>
        <v>534</v>
      </c>
      <c r="BM3" s="1">
        <v>2.0</v>
      </c>
      <c r="BN3" s="4">
        <f t="shared" si="27"/>
        <v>176.5</v>
      </c>
      <c r="BO3" s="1">
        <v>2.0</v>
      </c>
      <c r="BP3" s="1">
        <v>0.0</v>
      </c>
      <c r="BQ3" s="4">
        <f t="shared" si="28"/>
        <v>0</v>
      </c>
      <c r="BR3" s="4">
        <f t="shared" si="29"/>
        <v>550</v>
      </c>
      <c r="BS3" s="1">
        <v>0.0</v>
      </c>
      <c r="BT3" s="4">
        <f t="shared" si="30"/>
        <v>512</v>
      </c>
      <c r="BU3" s="1">
        <v>0.0</v>
      </c>
      <c r="BV3" s="1">
        <v>0.0</v>
      </c>
      <c r="BW3" s="4">
        <f t="shared" si="31"/>
        <v>0</v>
      </c>
      <c r="BX3" s="4">
        <f t="shared" si="32"/>
        <v>582</v>
      </c>
      <c r="BY3" s="1">
        <v>1.0</v>
      </c>
      <c r="BZ3" s="4">
        <f t="shared" si="33"/>
        <v>574</v>
      </c>
      <c r="CA3" s="1">
        <v>0.0</v>
      </c>
      <c r="CB3" s="1">
        <v>1.0</v>
      </c>
      <c r="CC3" s="4">
        <f t="shared" si="34"/>
        <v>0.34</v>
      </c>
      <c r="CD3" s="4">
        <f t="shared" si="35"/>
        <v>750</v>
      </c>
      <c r="CE3" s="1">
        <v>1.0</v>
      </c>
      <c r="CF3" s="4">
        <f t="shared" si="36"/>
        <v>580</v>
      </c>
      <c r="CG3" s="1">
        <v>1.0</v>
      </c>
      <c r="CH3" s="1">
        <v>2.0</v>
      </c>
      <c r="CI3" s="4">
        <f t="shared" si="37"/>
        <v>0.87</v>
      </c>
      <c r="CJ3" s="4">
        <f t="shared" si="38"/>
        <v>582</v>
      </c>
      <c r="CK3" s="1">
        <v>1.0</v>
      </c>
      <c r="CL3" s="1">
        <v>80.0</v>
      </c>
      <c r="CM3" s="1">
        <v>0.0</v>
      </c>
      <c r="CN3" s="1">
        <v>1.0</v>
      </c>
      <c r="CO3" s="4">
        <f t="shared" si="39"/>
        <v>0.05</v>
      </c>
      <c r="CP3" s="4">
        <f t="shared" si="40"/>
        <v>579</v>
      </c>
      <c r="CQ3" s="1">
        <v>2.0</v>
      </c>
      <c r="CR3" s="4">
        <f t="shared" si="41"/>
        <v>200.5</v>
      </c>
      <c r="CS3" s="1">
        <v>2.0</v>
      </c>
      <c r="CT3" s="1">
        <v>0.0</v>
      </c>
      <c r="CU3" s="4">
        <f t="shared" si="42"/>
        <v>0</v>
      </c>
      <c r="CV3" s="1">
        <f t="shared" si="43"/>
        <v>577</v>
      </c>
      <c r="CW3" s="1">
        <v>2.0</v>
      </c>
      <c r="CX3" s="4">
        <f t="shared" si="44"/>
        <v>250</v>
      </c>
      <c r="CY3" s="1">
        <v>2.0</v>
      </c>
      <c r="CZ3" s="1">
        <v>0.0</v>
      </c>
      <c r="DA3" s="4">
        <f t="shared" si="45"/>
        <v>0</v>
      </c>
      <c r="DB3" s="4">
        <f t="shared" ref="DB3:DE3" si="46">CV3</f>
        <v>577</v>
      </c>
      <c r="DC3" s="4">
        <f t="shared" si="46"/>
        <v>2</v>
      </c>
      <c r="DD3" s="4">
        <f t="shared" si="46"/>
        <v>250</v>
      </c>
      <c r="DE3" s="4">
        <f t="shared" si="46"/>
        <v>2</v>
      </c>
      <c r="DF3" s="1">
        <v>0.0</v>
      </c>
      <c r="DG3" s="4">
        <f t="shared" si="47"/>
        <v>0</v>
      </c>
      <c r="DH3" s="1">
        <v>1000.0</v>
      </c>
      <c r="DI3" s="1">
        <v>2.0</v>
      </c>
      <c r="DJ3" s="4">
        <f t="shared" si="48"/>
        <v>597</v>
      </c>
      <c r="DK3" s="1">
        <v>2.0</v>
      </c>
      <c r="DL3" s="1">
        <v>0.0</v>
      </c>
      <c r="DM3" s="4">
        <f t="shared" si="49"/>
        <v>0</v>
      </c>
      <c r="DN3" s="4">
        <f t="shared" si="50"/>
        <v>1.97</v>
      </c>
      <c r="DO3" s="4">
        <f t="shared" si="51"/>
        <v>1.48</v>
      </c>
      <c r="DP3" s="4"/>
      <c r="DQ3" s="4"/>
      <c r="DR3" s="4"/>
      <c r="DS3" s="4"/>
      <c r="DT3" s="4"/>
      <c r="DU3" s="4"/>
      <c r="DV3" s="4"/>
    </row>
    <row r="4">
      <c r="A4" s="3" t="s">
        <v>245</v>
      </c>
      <c r="B4" s="1">
        <v>600.0</v>
      </c>
      <c r="C4" s="1">
        <v>580.0</v>
      </c>
      <c r="D4" s="1">
        <v>850.0</v>
      </c>
      <c r="E4" s="4">
        <f t="shared" si="52"/>
        <v>15</v>
      </c>
      <c r="F4" s="4">
        <f t="shared" si="53"/>
        <v>18</v>
      </c>
      <c r="G4" s="4">
        <f t="shared" si="54"/>
        <v>6</v>
      </c>
      <c r="H4" s="4">
        <f t="shared" si="55"/>
        <v>100</v>
      </c>
      <c r="I4" s="4">
        <f t="shared" si="56"/>
        <v>100</v>
      </c>
      <c r="J4" s="4">
        <f t="shared" si="57"/>
        <v>13</v>
      </c>
      <c r="K4" s="4">
        <f t="shared" si="58"/>
        <v>20</v>
      </c>
      <c r="L4" s="4">
        <f t="shared" si="59"/>
        <v>6</v>
      </c>
      <c r="M4" s="4">
        <f t="shared" si="60"/>
        <v>2</v>
      </c>
      <c r="N4" s="4">
        <f t="shared" si="61"/>
        <v>10</v>
      </c>
      <c r="O4" s="4">
        <f t="shared" si="62"/>
        <v>8</v>
      </c>
      <c r="P4" s="4">
        <f t="shared" si="2"/>
        <v>600</v>
      </c>
      <c r="Q4" s="1">
        <v>0.0</v>
      </c>
      <c r="R4" s="1">
        <f t="shared" si="3"/>
        <v>100</v>
      </c>
      <c r="S4" s="1">
        <v>1.0</v>
      </c>
      <c r="T4" s="1">
        <v>1.0</v>
      </c>
      <c r="U4" s="4">
        <f t="shared" si="4"/>
        <v>0.06</v>
      </c>
      <c r="V4" s="4">
        <f t="shared" si="5"/>
        <v>462</v>
      </c>
      <c r="W4" s="1">
        <v>0.0</v>
      </c>
      <c r="X4" s="4">
        <f t="shared" si="6"/>
        <v>100</v>
      </c>
      <c r="Y4" s="1">
        <v>0.0</v>
      </c>
      <c r="Z4" s="1">
        <v>2.0</v>
      </c>
      <c r="AA4" s="4">
        <f t="shared" si="7"/>
        <v>0.1</v>
      </c>
      <c r="AB4" s="4">
        <f t="shared" si="8"/>
        <v>564</v>
      </c>
      <c r="AC4" s="1">
        <v>0.0</v>
      </c>
      <c r="AD4" s="4">
        <f t="shared" si="9"/>
        <v>100</v>
      </c>
      <c r="AE4" s="1">
        <v>0.0</v>
      </c>
      <c r="AF4" s="1">
        <v>1.0</v>
      </c>
      <c r="AG4" s="4">
        <f t="shared" si="10"/>
        <v>0.06</v>
      </c>
      <c r="AH4" s="1">
        <f t="shared" si="11"/>
        <v>582</v>
      </c>
      <c r="AI4" s="1">
        <v>1.0</v>
      </c>
      <c r="AJ4" s="1">
        <f t="shared" si="12"/>
        <v>574</v>
      </c>
      <c r="AK4" s="1">
        <v>0.0</v>
      </c>
      <c r="AL4" s="1">
        <v>2.0</v>
      </c>
      <c r="AM4" s="4">
        <f t="shared" si="13"/>
        <v>0.67</v>
      </c>
      <c r="AN4" s="1">
        <f t="shared" si="14"/>
        <v>732</v>
      </c>
      <c r="AO4" s="1">
        <v>1.0</v>
      </c>
      <c r="AP4" s="1">
        <f t="shared" si="15"/>
        <v>574</v>
      </c>
      <c r="AQ4" s="1">
        <v>0.0</v>
      </c>
      <c r="AR4" s="1">
        <v>2.0</v>
      </c>
      <c r="AS4" s="4">
        <f t="shared" si="16"/>
        <v>0.85</v>
      </c>
      <c r="AT4" s="1">
        <f t="shared" si="17"/>
        <v>762</v>
      </c>
      <c r="AU4" s="1">
        <v>0.0</v>
      </c>
      <c r="AV4" s="1">
        <f t="shared" si="18"/>
        <v>582</v>
      </c>
      <c r="AW4" s="1">
        <v>0.0</v>
      </c>
      <c r="AX4" s="1">
        <v>1.0</v>
      </c>
      <c r="AY4" s="4">
        <f t="shared" si="19"/>
        <v>0.45</v>
      </c>
      <c r="AZ4" s="4">
        <f t="shared" si="20"/>
        <v>552</v>
      </c>
      <c r="BA4" s="1">
        <v>1.0</v>
      </c>
      <c r="BB4" s="4">
        <f t="shared" si="21"/>
        <v>574</v>
      </c>
      <c r="BC4" s="1">
        <v>0.0</v>
      </c>
      <c r="BD4" s="1">
        <v>0.0</v>
      </c>
      <c r="BE4" s="4">
        <f t="shared" si="22"/>
        <v>0</v>
      </c>
      <c r="BF4" s="4">
        <f t="shared" si="23"/>
        <v>496</v>
      </c>
      <c r="BG4" s="1">
        <v>2.0</v>
      </c>
      <c r="BH4" s="4">
        <f t="shared" si="24"/>
        <v>176.5</v>
      </c>
      <c r="BI4" s="1">
        <v>0.0</v>
      </c>
      <c r="BJ4" s="1">
        <v>0.0</v>
      </c>
      <c r="BK4" s="4">
        <f t="shared" si="25"/>
        <v>0</v>
      </c>
      <c r="BL4" s="4">
        <f t="shared" si="26"/>
        <v>534</v>
      </c>
      <c r="BM4" s="1">
        <v>2.0</v>
      </c>
      <c r="BN4" s="4">
        <f t="shared" si="27"/>
        <v>176.5</v>
      </c>
      <c r="BO4" s="1">
        <v>2.0</v>
      </c>
      <c r="BP4" s="1">
        <v>0.0</v>
      </c>
      <c r="BQ4" s="4">
        <f t="shared" si="28"/>
        <v>0</v>
      </c>
      <c r="BR4" s="4">
        <f t="shared" si="29"/>
        <v>550</v>
      </c>
      <c r="BS4" s="1">
        <v>0.0</v>
      </c>
      <c r="BT4" s="4">
        <f t="shared" si="30"/>
        <v>512</v>
      </c>
      <c r="BU4" s="1">
        <v>0.0</v>
      </c>
      <c r="BV4" s="1">
        <v>0.0</v>
      </c>
      <c r="BW4" s="4">
        <f t="shared" si="31"/>
        <v>0</v>
      </c>
      <c r="BX4" s="4">
        <f t="shared" si="32"/>
        <v>582</v>
      </c>
      <c r="BY4" s="1">
        <v>1.0</v>
      </c>
      <c r="BZ4" s="4">
        <f t="shared" si="33"/>
        <v>574</v>
      </c>
      <c r="CA4" s="1">
        <v>0.0</v>
      </c>
      <c r="CB4" s="1">
        <v>1.0</v>
      </c>
      <c r="CC4" s="4">
        <f t="shared" si="34"/>
        <v>0.34</v>
      </c>
      <c r="CD4" s="4">
        <f t="shared" si="35"/>
        <v>750</v>
      </c>
      <c r="CE4" s="1">
        <v>1.0</v>
      </c>
      <c r="CF4" s="4">
        <f t="shared" si="36"/>
        <v>580</v>
      </c>
      <c r="CG4" s="1">
        <v>1.0</v>
      </c>
      <c r="CH4" s="1">
        <v>2.0</v>
      </c>
      <c r="CI4" s="4">
        <f t="shared" si="37"/>
        <v>0.87</v>
      </c>
      <c r="CJ4" s="4">
        <f t="shared" si="38"/>
        <v>582</v>
      </c>
      <c r="CK4" s="1">
        <v>1.0</v>
      </c>
      <c r="CL4" s="1">
        <v>80.0</v>
      </c>
      <c r="CM4" s="1">
        <v>0.0</v>
      </c>
      <c r="CN4" s="1">
        <v>1.0</v>
      </c>
      <c r="CO4" s="4">
        <f t="shared" si="39"/>
        <v>0.05</v>
      </c>
      <c r="CP4" s="4">
        <f t="shared" si="40"/>
        <v>579</v>
      </c>
      <c r="CQ4" s="1">
        <v>2.0</v>
      </c>
      <c r="CR4" s="4">
        <f t="shared" si="41"/>
        <v>200.5</v>
      </c>
      <c r="CS4" s="1">
        <v>2.0</v>
      </c>
      <c r="CT4" s="1">
        <v>0.0</v>
      </c>
      <c r="CU4" s="4">
        <f t="shared" si="42"/>
        <v>0</v>
      </c>
      <c r="CV4" s="1">
        <f t="shared" si="43"/>
        <v>577</v>
      </c>
      <c r="CW4" s="1">
        <v>2.0</v>
      </c>
      <c r="CX4" s="4">
        <f t="shared" si="44"/>
        <v>250</v>
      </c>
      <c r="CY4" s="1">
        <v>2.0</v>
      </c>
      <c r="CZ4" s="1">
        <v>0.0</v>
      </c>
      <c r="DA4" s="4">
        <f t="shared" si="45"/>
        <v>0</v>
      </c>
      <c r="DB4" s="4">
        <f t="shared" ref="DB4:DE4" si="63">CV4</f>
        <v>577</v>
      </c>
      <c r="DC4" s="4">
        <f t="shared" si="63"/>
        <v>2</v>
      </c>
      <c r="DD4" s="4">
        <f t="shared" si="63"/>
        <v>250</v>
      </c>
      <c r="DE4" s="4">
        <f t="shared" si="63"/>
        <v>2</v>
      </c>
      <c r="DF4" s="1">
        <v>0.0</v>
      </c>
      <c r="DG4" s="4">
        <f t="shared" si="47"/>
        <v>0</v>
      </c>
      <c r="DH4" s="1">
        <v>1000.0</v>
      </c>
      <c r="DI4" s="1">
        <v>2.0</v>
      </c>
      <c r="DJ4" s="4">
        <f t="shared" si="48"/>
        <v>597</v>
      </c>
      <c r="DK4" s="1">
        <v>2.0</v>
      </c>
      <c r="DL4" s="1">
        <v>0.0</v>
      </c>
      <c r="DM4" s="4">
        <f t="shared" si="49"/>
        <v>0</v>
      </c>
      <c r="DN4" s="4">
        <f t="shared" si="50"/>
        <v>1.97</v>
      </c>
      <c r="DO4" s="4">
        <f t="shared" si="51"/>
        <v>1.48</v>
      </c>
      <c r="DP4" s="4"/>
      <c r="DQ4" s="4"/>
      <c r="DR4" s="4"/>
      <c r="DS4" s="4"/>
      <c r="DT4" s="4"/>
      <c r="DU4" s="4"/>
      <c r="DV4" s="4"/>
    </row>
    <row r="5">
      <c r="A5" s="3" t="s">
        <v>247</v>
      </c>
      <c r="B5" s="1">
        <v>600.0</v>
      </c>
      <c r="C5" s="1">
        <v>580.0</v>
      </c>
      <c r="D5" s="1">
        <v>850.0</v>
      </c>
      <c r="E5" s="4">
        <f t="shared" si="52"/>
        <v>15</v>
      </c>
      <c r="F5" s="4">
        <f t="shared" si="53"/>
        <v>18</v>
      </c>
      <c r="G5" s="4">
        <f t="shared" si="54"/>
        <v>6</v>
      </c>
      <c r="H5" s="4">
        <f t="shared" si="55"/>
        <v>100</v>
      </c>
      <c r="I5" s="4">
        <f t="shared" si="56"/>
        <v>100</v>
      </c>
      <c r="J5" s="4">
        <f t="shared" si="57"/>
        <v>13</v>
      </c>
      <c r="K5" s="4">
        <f t="shared" si="58"/>
        <v>20</v>
      </c>
      <c r="L5" s="4">
        <f t="shared" si="59"/>
        <v>6</v>
      </c>
      <c r="M5" s="4">
        <f t="shared" si="60"/>
        <v>2</v>
      </c>
      <c r="N5" s="4">
        <f t="shared" si="61"/>
        <v>10</v>
      </c>
      <c r="O5" s="4">
        <f t="shared" si="62"/>
        <v>8</v>
      </c>
      <c r="P5" s="4">
        <f t="shared" si="2"/>
        <v>600</v>
      </c>
      <c r="Q5" s="1">
        <v>0.0</v>
      </c>
      <c r="R5" s="1">
        <f t="shared" si="3"/>
        <v>100</v>
      </c>
      <c r="S5" s="1">
        <v>1.0</v>
      </c>
      <c r="T5" s="1">
        <v>1.0</v>
      </c>
      <c r="U5" s="4">
        <f t="shared" si="4"/>
        <v>0.06</v>
      </c>
      <c r="V5" s="4">
        <f t="shared" si="5"/>
        <v>462</v>
      </c>
      <c r="W5" s="1">
        <v>0.0</v>
      </c>
      <c r="X5" s="4">
        <f t="shared" si="6"/>
        <v>100</v>
      </c>
      <c r="Y5" s="1">
        <v>0.0</v>
      </c>
      <c r="Z5" s="1">
        <v>2.0</v>
      </c>
      <c r="AA5" s="4">
        <f t="shared" si="7"/>
        <v>0.1</v>
      </c>
      <c r="AB5" s="4">
        <f t="shared" si="8"/>
        <v>564</v>
      </c>
      <c r="AC5" s="1">
        <v>0.0</v>
      </c>
      <c r="AD5" s="4">
        <f t="shared" si="9"/>
        <v>100</v>
      </c>
      <c r="AE5" s="1">
        <v>0.0</v>
      </c>
      <c r="AF5" s="1">
        <v>1.0</v>
      </c>
      <c r="AG5" s="4">
        <f t="shared" si="10"/>
        <v>0.06</v>
      </c>
      <c r="AH5" s="1">
        <f t="shared" si="11"/>
        <v>582</v>
      </c>
      <c r="AI5" s="1">
        <v>1.0</v>
      </c>
      <c r="AJ5" s="1">
        <f t="shared" si="12"/>
        <v>574</v>
      </c>
      <c r="AK5" s="1">
        <v>0.0</v>
      </c>
      <c r="AL5" s="1">
        <v>2.0</v>
      </c>
      <c r="AM5" s="4">
        <f t="shared" si="13"/>
        <v>0.67</v>
      </c>
      <c r="AN5" s="1">
        <f t="shared" si="14"/>
        <v>732</v>
      </c>
      <c r="AO5" s="1">
        <v>1.0</v>
      </c>
      <c r="AP5" s="1">
        <f t="shared" si="15"/>
        <v>574</v>
      </c>
      <c r="AQ5" s="1">
        <v>0.0</v>
      </c>
      <c r="AR5" s="1">
        <v>2.0</v>
      </c>
      <c r="AS5" s="4">
        <f t="shared" si="16"/>
        <v>0.85</v>
      </c>
      <c r="AT5" s="1">
        <f t="shared" si="17"/>
        <v>762</v>
      </c>
      <c r="AU5" s="1">
        <v>0.0</v>
      </c>
      <c r="AV5" s="1">
        <f t="shared" si="18"/>
        <v>582</v>
      </c>
      <c r="AW5" s="1">
        <v>0.0</v>
      </c>
      <c r="AX5" s="1">
        <v>1.0</v>
      </c>
      <c r="AY5" s="4">
        <f t="shared" si="19"/>
        <v>0.45</v>
      </c>
      <c r="AZ5" s="4">
        <f t="shared" si="20"/>
        <v>552</v>
      </c>
      <c r="BA5" s="1">
        <v>1.0</v>
      </c>
      <c r="BB5" s="4">
        <f t="shared" si="21"/>
        <v>574</v>
      </c>
      <c r="BC5" s="1">
        <v>0.0</v>
      </c>
      <c r="BD5" s="1">
        <v>0.0</v>
      </c>
      <c r="BE5" s="4">
        <f t="shared" si="22"/>
        <v>0</v>
      </c>
      <c r="BF5" s="4">
        <f t="shared" si="23"/>
        <v>496</v>
      </c>
      <c r="BG5" s="1">
        <v>2.0</v>
      </c>
      <c r="BH5" s="4">
        <f t="shared" si="24"/>
        <v>176.5</v>
      </c>
      <c r="BI5" s="1">
        <v>0.0</v>
      </c>
      <c r="BJ5" s="1">
        <v>0.0</v>
      </c>
      <c r="BK5" s="4">
        <f t="shared" si="25"/>
        <v>0</v>
      </c>
      <c r="BL5" s="4">
        <f t="shared" si="26"/>
        <v>534</v>
      </c>
      <c r="BM5" s="1">
        <v>2.0</v>
      </c>
      <c r="BN5" s="4">
        <f t="shared" si="27"/>
        <v>176.5</v>
      </c>
      <c r="BO5" s="1">
        <v>2.0</v>
      </c>
      <c r="BP5" s="1">
        <v>0.0</v>
      </c>
      <c r="BQ5" s="4">
        <f t="shared" si="28"/>
        <v>0</v>
      </c>
      <c r="BR5" s="4">
        <f t="shared" si="29"/>
        <v>550</v>
      </c>
      <c r="BS5" s="1">
        <v>0.0</v>
      </c>
      <c r="BT5" s="4">
        <f t="shared" si="30"/>
        <v>512</v>
      </c>
      <c r="BU5" s="1">
        <v>0.0</v>
      </c>
      <c r="BV5" s="1">
        <v>0.0</v>
      </c>
      <c r="BW5" s="4">
        <f t="shared" si="31"/>
        <v>0</v>
      </c>
      <c r="BX5" s="4">
        <f t="shared" si="32"/>
        <v>582</v>
      </c>
      <c r="BY5" s="1">
        <v>1.0</v>
      </c>
      <c r="BZ5" s="4">
        <f t="shared" si="33"/>
        <v>574</v>
      </c>
      <c r="CA5" s="1">
        <v>0.0</v>
      </c>
      <c r="CB5" s="1">
        <v>1.0</v>
      </c>
      <c r="CC5" s="4">
        <f t="shared" si="34"/>
        <v>0.34</v>
      </c>
      <c r="CD5" s="4">
        <f t="shared" si="35"/>
        <v>750</v>
      </c>
      <c r="CE5" s="1">
        <v>1.0</v>
      </c>
      <c r="CF5" s="4">
        <f t="shared" si="36"/>
        <v>580</v>
      </c>
      <c r="CG5" s="1">
        <v>1.0</v>
      </c>
      <c r="CH5" s="1">
        <v>2.0</v>
      </c>
      <c r="CI5" s="4">
        <f t="shared" si="37"/>
        <v>0.87</v>
      </c>
      <c r="CJ5" s="4">
        <f t="shared" si="38"/>
        <v>582</v>
      </c>
      <c r="CK5" s="1">
        <v>1.0</v>
      </c>
      <c r="CL5" s="1">
        <v>80.0</v>
      </c>
      <c r="CM5" s="1">
        <v>0.0</v>
      </c>
      <c r="CN5" s="1">
        <v>1.0</v>
      </c>
      <c r="CO5" s="4">
        <f t="shared" si="39"/>
        <v>0.05</v>
      </c>
      <c r="CP5" s="4">
        <f t="shared" si="40"/>
        <v>579</v>
      </c>
      <c r="CQ5" s="1">
        <v>2.0</v>
      </c>
      <c r="CR5" s="4">
        <f t="shared" si="41"/>
        <v>200.5</v>
      </c>
      <c r="CS5" s="1">
        <v>2.0</v>
      </c>
      <c r="CT5" s="1">
        <v>0.0</v>
      </c>
      <c r="CU5" s="4">
        <f t="shared" si="42"/>
        <v>0</v>
      </c>
      <c r="CV5" s="1">
        <f t="shared" si="43"/>
        <v>577</v>
      </c>
      <c r="CW5" s="1">
        <v>2.0</v>
      </c>
      <c r="CX5" s="4">
        <f t="shared" si="44"/>
        <v>250</v>
      </c>
      <c r="CY5" s="1">
        <v>2.0</v>
      </c>
      <c r="CZ5" s="1">
        <v>0.0</v>
      </c>
      <c r="DA5" s="4">
        <f t="shared" si="45"/>
        <v>0</v>
      </c>
      <c r="DB5" s="4">
        <f t="shared" ref="DB5:DE5" si="64">CV5</f>
        <v>577</v>
      </c>
      <c r="DC5" s="4">
        <f t="shared" si="64"/>
        <v>2</v>
      </c>
      <c r="DD5" s="4">
        <f t="shared" si="64"/>
        <v>250</v>
      </c>
      <c r="DE5" s="4">
        <f t="shared" si="64"/>
        <v>2</v>
      </c>
      <c r="DF5" s="1">
        <v>0.0</v>
      </c>
      <c r="DG5" s="4">
        <f t="shared" si="47"/>
        <v>0</v>
      </c>
      <c r="DH5" s="1">
        <v>1000.0</v>
      </c>
      <c r="DI5" s="1">
        <v>2.0</v>
      </c>
      <c r="DJ5" s="4">
        <f t="shared" si="48"/>
        <v>597</v>
      </c>
      <c r="DK5" s="1">
        <v>2.0</v>
      </c>
      <c r="DL5" s="1">
        <v>0.0</v>
      </c>
      <c r="DM5" s="4">
        <f t="shared" si="49"/>
        <v>0</v>
      </c>
      <c r="DN5" s="4">
        <f t="shared" si="50"/>
        <v>1.97</v>
      </c>
      <c r="DO5" s="4">
        <f t="shared" si="51"/>
        <v>1.48</v>
      </c>
      <c r="DP5" s="4"/>
      <c r="DQ5" s="4"/>
      <c r="DR5" s="4"/>
      <c r="DS5" s="4"/>
      <c r="DT5" s="4"/>
      <c r="DU5" s="4"/>
      <c r="DV5" s="4"/>
    </row>
    <row r="6">
      <c r="A6" s="3" t="s">
        <v>249</v>
      </c>
      <c r="B6" s="1">
        <v>600.0</v>
      </c>
      <c r="C6" s="1">
        <v>580.0</v>
      </c>
      <c r="D6" s="1">
        <v>850.0</v>
      </c>
      <c r="E6" s="4">
        <f t="shared" si="52"/>
        <v>15</v>
      </c>
      <c r="F6" s="4">
        <f t="shared" si="53"/>
        <v>18</v>
      </c>
      <c r="G6" s="4">
        <f t="shared" si="54"/>
        <v>6</v>
      </c>
      <c r="H6" s="4">
        <f t="shared" si="55"/>
        <v>100</v>
      </c>
      <c r="I6" s="4">
        <f t="shared" si="56"/>
        <v>100</v>
      </c>
      <c r="J6" s="4">
        <f t="shared" si="57"/>
        <v>13</v>
      </c>
      <c r="K6" s="4">
        <f t="shared" si="58"/>
        <v>20</v>
      </c>
      <c r="L6" s="4">
        <f t="shared" si="59"/>
        <v>6</v>
      </c>
      <c r="M6" s="4">
        <f t="shared" si="60"/>
        <v>2</v>
      </c>
      <c r="N6" s="4">
        <f t="shared" si="61"/>
        <v>10</v>
      </c>
      <c r="O6" s="4">
        <f t="shared" si="62"/>
        <v>8</v>
      </c>
      <c r="P6" s="4">
        <f t="shared" si="2"/>
        <v>600</v>
      </c>
      <c r="Q6" s="1">
        <v>0.0</v>
      </c>
      <c r="R6" s="1">
        <f t="shared" si="3"/>
        <v>100</v>
      </c>
      <c r="S6" s="1">
        <v>1.0</v>
      </c>
      <c r="T6" s="1">
        <v>1.0</v>
      </c>
      <c r="U6" s="4">
        <f t="shared" si="4"/>
        <v>0.06</v>
      </c>
      <c r="V6" s="4">
        <f t="shared" si="5"/>
        <v>462</v>
      </c>
      <c r="W6" s="1">
        <v>0.0</v>
      </c>
      <c r="X6" s="4">
        <f t="shared" si="6"/>
        <v>100</v>
      </c>
      <c r="Y6" s="1">
        <v>0.0</v>
      </c>
      <c r="Z6" s="1">
        <v>2.0</v>
      </c>
      <c r="AA6" s="4">
        <f t="shared" si="7"/>
        <v>0.1</v>
      </c>
      <c r="AB6" s="4">
        <f t="shared" si="8"/>
        <v>564</v>
      </c>
      <c r="AC6" s="1">
        <v>0.0</v>
      </c>
      <c r="AD6" s="4">
        <f t="shared" si="9"/>
        <v>100</v>
      </c>
      <c r="AE6" s="1">
        <v>0.0</v>
      </c>
      <c r="AF6" s="1">
        <v>1.0</v>
      </c>
      <c r="AG6" s="4">
        <f t="shared" si="10"/>
        <v>0.06</v>
      </c>
      <c r="AH6" s="1">
        <f t="shared" si="11"/>
        <v>582</v>
      </c>
      <c r="AI6" s="1">
        <v>1.0</v>
      </c>
      <c r="AJ6" s="1">
        <f t="shared" si="12"/>
        <v>574</v>
      </c>
      <c r="AK6" s="1">
        <v>0.0</v>
      </c>
      <c r="AL6" s="1">
        <v>2.0</v>
      </c>
      <c r="AM6" s="4">
        <f t="shared" si="13"/>
        <v>0.67</v>
      </c>
      <c r="AN6" s="1">
        <f t="shared" si="14"/>
        <v>732</v>
      </c>
      <c r="AO6" s="1">
        <v>1.0</v>
      </c>
      <c r="AP6" s="1">
        <f t="shared" si="15"/>
        <v>574</v>
      </c>
      <c r="AQ6" s="1">
        <v>0.0</v>
      </c>
      <c r="AR6" s="1">
        <v>2.0</v>
      </c>
      <c r="AS6" s="4">
        <f t="shared" si="16"/>
        <v>0.85</v>
      </c>
      <c r="AT6" s="1">
        <f t="shared" si="17"/>
        <v>762</v>
      </c>
      <c r="AU6" s="1">
        <v>0.0</v>
      </c>
      <c r="AV6" s="1">
        <f t="shared" si="18"/>
        <v>582</v>
      </c>
      <c r="AW6" s="1">
        <v>0.0</v>
      </c>
      <c r="AX6" s="1">
        <v>1.0</v>
      </c>
      <c r="AY6" s="4">
        <f t="shared" si="19"/>
        <v>0.45</v>
      </c>
      <c r="AZ6" s="4">
        <f t="shared" si="20"/>
        <v>552</v>
      </c>
      <c r="BA6" s="1">
        <v>1.0</v>
      </c>
      <c r="BB6" s="4">
        <f t="shared" si="21"/>
        <v>574</v>
      </c>
      <c r="BC6" s="1">
        <v>0.0</v>
      </c>
      <c r="BD6" s="1">
        <v>0.0</v>
      </c>
      <c r="BE6" s="4">
        <f t="shared" si="22"/>
        <v>0</v>
      </c>
      <c r="BF6" s="4">
        <f t="shared" si="23"/>
        <v>496</v>
      </c>
      <c r="BG6" s="1">
        <v>2.0</v>
      </c>
      <c r="BH6" s="4">
        <f t="shared" si="24"/>
        <v>176.5</v>
      </c>
      <c r="BI6" s="1">
        <v>0.0</v>
      </c>
      <c r="BJ6" s="1">
        <v>0.0</v>
      </c>
      <c r="BK6" s="4">
        <f t="shared" si="25"/>
        <v>0</v>
      </c>
      <c r="BL6" s="4">
        <f t="shared" si="26"/>
        <v>534</v>
      </c>
      <c r="BM6" s="1">
        <v>2.0</v>
      </c>
      <c r="BN6" s="4">
        <f t="shared" si="27"/>
        <v>176.5</v>
      </c>
      <c r="BO6" s="1">
        <v>2.0</v>
      </c>
      <c r="BP6" s="1">
        <v>0.0</v>
      </c>
      <c r="BQ6" s="4">
        <f t="shared" si="28"/>
        <v>0</v>
      </c>
      <c r="BR6" s="4">
        <f t="shared" si="29"/>
        <v>550</v>
      </c>
      <c r="BS6" s="1">
        <v>0.0</v>
      </c>
      <c r="BT6" s="4">
        <f t="shared" si="30"/>
        <v>512</v>
      </c>
      <c r="BU6" s="1">
        <v>0.0</v>
      </c>
      <c r="BV6" s="1">
        <v>0.0</v>
      </c>
      <c r="BW6" s="4">
        <f t="shared" si="31"/>
        <v>0</v>
      </c>
      <c r="BX6" s="4">
        <f t="shared" si="32"/>
        <v>582</v>
      </c>
      <c r="BY6" s="1">
        <v>1.0</v>
      </c>
      <c r="BZ6" s="4">
        <f t="shared" si="33"/>
        <v>574</v>
      </c>
      <c r="CA6" s="1">
        <v>0.0</v>
      </c>
      <c r="CB6" s="1">
        <v>1.0</v>
      </c>
      <c r="CC6" s="4">
        <f t="shared" si="34"/>
        <v>0.34</v>
      </c>
      <c r="CD6" s="4">
        <f t="shared" si="35"/>
        <v>750</v>
      </c>
      <c r="CE6" s="1">
        <v>1.0</v>
      </c>
      <c r="CF6" s="4">
        <f t="shared" si="36"/>
        <v>580</v>
      </c>
      <c r="CG6" s="1">
        <v>1.0</v>
      </c>
      <c r="CH6" s="1">
        <v>2.0</v>
      </c>
      <c r="CI6" s="4">
        <f t="shared" si="37"/>
        <v>0.87</v>
      </c>
      <c r="CJ6" s="4">
        <f t="shared" si="38"/>
        <v>582</v>
      </c>
      <c r="CK6" s="1">
        <v>1.0</v>
      </c>
      <c r="CL6" s="1">
        <v>80.0</v>
      </c>
      <c r="CM6" s="1">
        <v>0.0</v>
      </c>
      <c r="CN6" s="1">
        <v>1.0</v>
      </c>
      <c r="CO6" s="4">
        <f t="shared" si="39"/>
        <v>0.05</v>
      </c>
      <c r="CP6" s="4">
        <f t="shared" si="40"/>
        <v>579</v>
      </c>
      <c r="CQ6" s="1">
        <v>2.0</v>
      </c>
      <c r="CR6" s="4">
        <f t="shared" si="41"/>
        <v>200.5</v>
      </c>
      <c r="CS6" s="1">
        <v>2.0</v>
      </c>
      <c r="CT6" s="1">
        <v>0.0</v>
      </c>
      <c r="CU6" s="4">
        <f t="shared" si="42"/>
        <v>0</v>
      </c>
      <c r="CV6" s="1">
        <f t="shared" si="43"/>
        <v>577</v>
      </c>
      <c r="CW6" s="1">
        <v>2.0</v>
      </c>
      <c r="CX6" s="4">
        <f t="shared" si="44"/>
        <v>250</v>
      </c>
      <c r="CY6" s="1">
        <v>2.0</v>
      </c>
      <c r="CZ6" s="1">
        <v>0.0</v>
      </c>
      <c r="DA6" s="4">
        <f t="shared" si="45"/>
        <v>0</v>
      </c>
      <c r="DB6" s="4">
        <f t="shared" ref="DB6:DE6" si="65">CV6</f>
        <v>577</v>
      </c>
      <c r="DC6" s="4">
        <f t="shared" si="65"/>
        <v>2</v>
      </c>
      <c r="DD6" s="4">
        <f t="shared" si="65"/>
        <v>250</v>
      </c>
      <c r="DE6" s="4">
        <f t="shared" si="65"/>
        <v>2</v>
      </c>
      <c r="DF6" s="1">
        <v>0.0</v>
      </c>
      <c r="DG6" s="4">
        <f t="shared" si="47"/>
        <v>0</v>
      </c>
      <c r="DH6" s="1">
        <v>1000.0</v>
      </c>
      <c r="DI6" s="1">
        <v>2.0</v>
      </c>
      <c r="DJ6" s="4">
        <f t="shared" si="48"/>
        <v>597</v>
      </c>
      <c r="DK6" s="1">
        <v>2.0</v>
      </c>
      <c r="DL6" s="1">
        <v>0.0</v>
      </c>
      <c r="DM6" s="4">
        <f t="shared" si="49"/>
        <v>0</v>
      </c>
      <c r="DN6" s="4">
        <f t="shared" si="50"/>
        <v>1.97</v>
      </c>
      <c r="DO6" s="4">
        <f t="shared" si="51"/>
        <v>1.48</v>
      </c>
      <c r="DP6" s="4"/>
      <c r="DQ6" s="4"/>
      <c r="DR6" s="4"/>
      <c r="DS6" s="4"/>
      <c r="DT6" s="4"/>
      <c r="DU6" s="4"/>
      <c r="DV6" s="4"/>
    </row>
    <row r="7">
      <c r="A7" s="3" t="s">
        <v>250</v>
      </c>
      <c r="B7" s="1">
        <v>600.0</v>
      </c>
      <c r="C7" s="1">
        <v>580.0</v>
      </c>
      <c r="D7" s="1">
        <v>850.0</v>
      </c>
      <c r="E7" s="4">
        <f t="shared" si="52"/>
        <v>15</v>
      </c>
      <c r="F7" s="4">
        <f t="shared" si="53"/>
        <v>18</v>
      </c>
      <c r="G7" s="4">
        <f t="shared" si="54"/>
        <v>6</v>
      </c>
      <c r="H7" s="4">
        <f t="shared" si="55"/>
        <v>100</v>
      </c>
      <c r="I7" s="4">
        <f t="shared" si="56"/>
        <v>100</v>
      </c>
      <c r="J7" s="4">
        <f t="shared" si="57"/>
        <v>13</v>
      </c>
      <c r="K7" s="4">
        <f t="shared" si="58"/>
        <v>20</v>
      </c>
      <c r="L7" s="4">
        <f t="shared" si="59"/>
        <v>6</v>
      </c>
      <c r="M7" s="4">
        <f t="shared" si="60"/>
        <v>2</v>
      </c>
      <c r="N7" s="4">
        <f t="shared" si="61"/>
        <v>10</v>
      </c>
      <c r="O7" s="4">
        <f t="shared" si="62"/>
        <v>8</v>
      </c>
      <c r="P7" s="4">
        <f t="shared" si="2"/>
        <v>600</v>
      </c>
      <c r="Q7" s="1">
        <v>0.0</v>
      </c>
      <c r="R7" s="1">
        <f t="shared" si="3"/>
        <v>100</v>
      </c>
      <c r="S7" s="1">
        <v>1.0</v>
      </c>
      <c r="T7" s="1">
        <v>1.0</v>
      </c>
      <c r="U7" s="4">
        <f t="shared" si="4"/>
        <v>0.06</v>
      </c>
      <c r="V7" s="4">
        <f t="shared" si="5"/>
        <v>462</v>
      </c>
      <c r="W7" s="1">
        <v>0.0</v>
      </c>
      <c r="X7" s="4">
        <f t="shared" si="6"/>
        <v>100</v>
      </c>
      <c r="Y7" s="1">
        <v>0.0</v>
      </c>
      <c r="Z7" s="1">
        <v>2.0</v>
      </c>
      <c r="AA7" s="4">
        <f t="shared" si="7"/>
        <v>0.1</v>
      </c>
      <c r="AB7" s="4">
        <f t="shared" si="8"/>
        <v>564</v>
      </c>
      <c r="AC7" s="1">
        <v>0.0</v>
      </c>
      <c r="AD7" s="4">
        <f t="shared" si="9"/>
        <v>100</v>
      </c>
      <c r="AE7" s="1">
        <v>0.0</v>
      </c>
      <c r="AF7" s="1">
        <v>1.0</v>
      </c>
      <c r="AG7" s="4">
        <f t="shared" si="10"/>
        <v>0.06</v>
      </c>
      <c r="AH7" s="1">
        <f t="shared" si="11"/>
        <v>582</v>
      </c>
      <c r="AI7" s="1">
        <v>1.0</v>
      </c>
      <c r="AJ7" s="1">
        <f t="shared" si="12"/>
        <v>574</v>
      </c>
      <c r="AK7" s="1">
        <v>0.0</v>
      </c>
      <c r="AL7" s="1">
        <v>2.0</v>
      </c>
      <c r="AM7" s="4">
        <f t="shared" si="13"/>
        <v>0.67</v>
      </c>
      <c r="AN7" s="1">
        <f t="shared" si="14"/>
        <v>732</v>
      </c>
      <c r="AO7" s="1">
        <v>1.0</v>
      </c>
      <c r="AP7" s="1">
        <f t="shared" si="15"/>
        <v>574</v>
      </c>
      <c r="AQ7" s="1">
        <v>0.0</v>
      </c>
      <c r="AR7" s="1">
        <v>2.0</v>
      </c>
      <c r="AS7" s="4">
        <f t="shared" si="16"/>
        <v>0.85</v>
      </c>
      <c r="AT7" s="1">
        <f t="shared" si="17"/>
        <v>762</v>
      </c>
      <c r="AU7" s="1">
        <v>0.0</v>
      </c>
      <c r="AV7" s="1">
        <f t="shared" si="18"/>
        <v>582</v>
      </c>
      <c r="AW7" s="1">
        <v>0.0</v>
      </c>
      <c r="AX7" s="1">
        <v>1.0</v>
      </c>
      <c r="AY7" s="4">
        <f t="shared" si="19"/>
        <v>0.45</v>
      </c>
      <c r="AZ7" s="4">
        <f t="shared" si="20"/>
        <v>552</v>
      </c>
      <c r="BA7" s="1">
        <v>1.0</v>
      </c>
      <c r="BB7" s="4">
        <f t="shared" si="21"/>
        <v>574</v>
      </c>
      <c r="BC7" s="1">
        <v>0.0</v>
      </c>
      <c r="BD7" s="1">
        <v>0.0</v>
      </c>
      <c r="BE7" s="4">
        <f t="shared" si="22"/>
        <v>0</v>
      </c>
      <c r="BF7" s="4">
        <f t="shared" si="23"/>
        <v>496</v>
      </c>
      <c r="BG7" s="1">
        <v>2.0</v>
      </c>
      <c r="BH7" s="4">
        <f t="shared" si="24"/>
        <v>176.5</v>
      </c>
      <c r="BI7" s="1">
        <v>0.0</v>
      </c>
      <c r="BJ7" s="1">
        <v>0.0</v>
      </c>
      <c r="BK7" s="4">
        <f t="shared" si="25"/>
        <v>0</v>
      </c>
      <c r="BL7" s="4">
        <f t="shared" si="26"/>
        <v>534</v>
      </c>
      <c r="BM7" s="1">
        <v>2.0</v>
      </c>
      <c r="BN7" s="4">
        <f t="shared" si="27"/>
        <v>176.5</v>
      </c>
      <c r="BO7" s="1">
        <v>2.0</v>
      </c>
      <c r="BP7" s="1">
        <v>0.0</v>
      </c>
      <c r="BQ7" s="4">
        <f t="shared" si="28"/>
        <v>0</v>
      </c>
      <c r="BR7" s="4">
        <f t="shared" si="29"/>
        <v>550</v>
      </c>
      <c r="BS7" s="1">
        <v>0.0</v>
      </c>
      <c r="BT7" s="4">
        <f t="shared" si="30"/>
        <v>512</v>
      </c>
      <c r="BU7" s="1">
        <v>0.0</v>
      </c>
      <c r="BV7" s="1">
        <v>0.0</v>
      </c>
      <c r="BW7" s="4">
        <f t="shared" si="31"/>
        <v>0</v>
      </c>
      <c r="BX7" s="4">
        <f t="shared" si="32"/>
        <v>582</v>
      </c>
      <c r="BY7" s="1">
        <v>1.0</v>
      </c>
      <c r="BZ7" s="4">
        <f t="shared" si="33"/>
        <v>574</v>
      </c>
      <c r="CA7" s="1">
        <v>0.0</v>
      </c>
      <c r="CB7" s="1">
        <v>1.0</v>
      </c>
      <c r="CC7" s="4">
        <f t="shared" si="34"/>
        <v>0.34</v>
      </c>
      <c r="CD7" s="4">
        <f t="shared" si="35"/>
        <v>750</v>
      </c>
      <c r="CE7" s="1">
        <v>1.0</v>
      </c>
      <c r="CF7" s="4">
        <f t="shared" si="36"/>
        <v>580</v>
      </c>
      <c r="CG7" s="1">
        <v>1.0</v>
      </c>
      <c r="CH7" s="1">
        <v>2.0</v>
      </c>
      <c r="CI7" s="4">
        <f t="shared" si="37"/>
        <v>0.87</v>
      </c>
      <c r="CJ7" s="4">
        <f t="shared" si="38"/>
        <v>582</v>
      </c>
      <c r="CK7" s="1">
        <v>1.0</v>
      </c>
      <c r="CL7" s="1">
        <v>80.0</v>
      </c>
      <c r="CM7" s="1">
        <v>0.0</v>
      </c>
      <c r="CN7" s="1">
        <v>1.0</v>
      </c>
      <c r="CO7" s="4">
        <f t="shared" si="39"/>
        <v>0.05</v>
      </c>
      <c r="CP7" s="4">
        <f t="shared" si="40"/>
        <v>579</v>
      </c>
      <c r="CQ7" s="1">
        <v>2.0</v>
      </c>
      <c r="CR7" s="4">
        <f t="shared" si="41"/>
        <v>200.5</v>
      </c>
      <c r="CS7" s="1">
        <v>2.0</v>
      </c>
      <c r="CT7" s="1">
        <v>0.0</v>
      </c>
      <c r="CU7" s="4">
        <f t="shared" si="42"/>
        <v>0</v>
      </c>
      <c r="CV7" s="1">
        <f t="shared" si="43"/>
        <v>577</v>
      </c>
      <c r="CW7" s="1">
        <v>2.0</v>
      </c>
      <c r="CX7" s="4">
        <f t="shared" si="44"/>
        <v>250</v>
      </c>
      <c r="CY7" s="1">
        <v>2.0</v>
      </c>
      <c r="CZ7" s="1">
        <v>0.0</v>
      </c>
      <c r="DA7" s="4">
        <f t="shared" si="45"/>
        <v>0</v>
      </c>
      <c r="DB7" s="4">
        <f t="shared" ref="DB7:DE7" si="66">CV7</f>
        <v>577</v>
      </c>
      <c r="DC7" s="4">
        <f t="shared" si="66"/>
        <v>2</v>
      </c>
      <c r="DD7" s="4">
        <f t="shared" si="66"/>
        <v>250</v>
      </c>
      <c r="DE7" s="4">
        <f t="shared" si="66"/>
        <v>2</v>
      </c>
      <c r="DF7" s="1">
        <v>0.0</v>
      </c>
      <c r="DG7" s="4">
        <f t="shared" si="47"/>
        <v>0</v>
      </c>
      <c r="DH7" s="1">
        <v>1000.0</v>
      </c>
      <c r="DI7" s="1">
        <v>2.0</v>
      </c>
      <c r="DJ7" s="4">
        <f t="shared" si="48"/>
        <v>597</v>
      </c>
      <c r="DK7" s="1">
        <v>2.0</v>
      </c>
      <c r="DL7" s="1">
        <v>0.0</v>
      </c>
      <c r="DM7" s="4">
        <f t="shared" si="49"/>
        <v>0</v>
      </c>
      <c r="DN7" s="4">
        <f t="shared" si="50"/>
        <v>1.97</v>
      </c>
      <c r="DO7" s="4">
        <f t="shared" si="51"/>
        <v>1.48</v>
      </c>
      <c r="DP7" s="4"/>
      <c r="DQ7" s="4"/>
      <c r="DR7" s="4"/>
      <c r="DS7" s="4"/>
      <c r="DT7" s="4"/>
      <c r="DU7" s="4"/>
      <c r="DV7" s="4"/>
    </row>
    <row r="8">
      <c r="A8" s="3" t="s">
        <v>252</v>
      </c>
      <c r="B8" s="1">
        <v>600.0</v>
      </c>
      <c r="C8" s="1">
        <v>580.0</v>
      </c>
      <c r="D8" s="1">
        <v>850.0</v>
      </c>
      <c r="E8" s="4">
        <f t="shared" si="52"/>
        <v>15</v>
      </c>
      <c r="F8" s="4">
        <f t="shared" si="53"/>
        <v>18</v>
      </c>
      <c r="G8" s="4">
        <f t="shared" si="54"/>
        <v>6</v>
      </c>
      <c r="H8" s="4">
        <f t="shared" si="55"/>
        <v>100</v>
      </c>
      <c r="I8" s="4">
        <f t="shared" si="56"/>
        <v>100</v>
      </c>
      <c r="J8" s="4">
        <f t="shared" si="57"/>
        <v>13</v>
      </c>
      <c r="K8" s="4">
        <f t="shared" si="58"/>
        <v>20</v>
      </c>
      <c r="L8" s="4">
        <f t="shared" si="59"/>
        <v>6</v>
      </c>
      <c r="M8" s="4">
        <f t="shared" si="60"/>
        <v>2</v>
      </c>
      <c r="N8" s="4">
        <f t="shared" si="61"/>
        <v>10</v>
      </c>
      <c r="O8" s="4">
        <f t="shared" si="62"/>
        <v>8</v>
      </c>
      <c r="P8" s="4">
        <f t="shared" si="2"/>
        <v>600</v>
      </c>
      <c r="Q8" s="1">
        <v>0.0</v>
      </c>
      <c r="R8" s="1">
        <f t="shared" si="3"/>
        <v>100</v>
      </c>
      <c r="S8" s="1">
        <v>1.0</v>
      </c>
      <c r="T8" s="1">
        <v>1.0</v>
      </c>
      <c r="U8" s="4">
        <f t="shared" si="4"/>
        <v>0.06</v>
      </c>
      <c r="V8" s="4">
        <f t="shared" si="5"/>
        <v>462</v>
      </c>
      <c r="W8" s="1">
        <v>0.0</v>
      </c>
      <c r="X8" s="4">
        <f t="shared" si="6"/>
        <v>100</v>
      </c>
      <c r="Y8" s="1">
        <v>0.0</v>
      </c>
      <c r="Z8" s="1">
        <v>2.0</v>
      </c>
      <c r="AA8" s="4">
        <f t="shared" si="7"/>
        <v>0.1</v>
      </c>
      <c r="AB8" s="4">
        <f t="shared" si="8"/>
        <v>564</v>
      </c>
      <c r="AC8" s="1">
        <v>0.0</v>
      </c>
      <c r="AD8" s="4">
        <f t="shared" si="9"/>
        <v>100</v>
      </c>
      <c r="AE8" s="1">
        <v>0.0</v>
      </c>
      <c r="AF8" s="1">
        <v>1.0</v>
      </c>
      <c r="AG8" s="4">
        <f t="shared" si="10"/>
        <v>0.06</v>
      </c>
      <c r="AH8" s="1">
        <f t="shared" si="11"/>
        <v>582</v>
      </c>
      <c r="AI8" s="1">
        <v>1.0</v>
      </c>
      <c r="AJ8" s="1">
        <f t="shared" si="12"/>
        <v>574</v>
      </c>
      <c r="AK8" s="1">
        <v>0.0</v>
      </c>
      <c r="AL8" s="1">
        <v>2.0</v>
      </c>
      <c r="AM8" s="4">
        <f t="shared" si="13"/>
        <v>0.67</v>
      </c>
      <c r="AN8" s="1">
        <f t="shared" si="14"/>
        <v>732</v>
      </c>
      <c r="AO8" s="1">
        <v>1.0</v>
      </c>
      <c r="AP8" s="1">
        <f t="shared" si="15"/>
        <v>574</v>
      </c>
      <c r="AQ8" s="1">
        <v>0.0</v>
      </c>
      <c r="AR8" s="1">
        <v>2.0</v>
      </c>
      <c r="AS8" s="4">
        <f t="shared" si="16"/>
        <v>0.85</v>
      </c>
      <c r="AT8" s="1">
        <f t="shared" si="17"/>
        <v>762</v>
      </c>
      <c r="AU8" s="1">
        <v>0.0</v>
      </c>
      <c r="AV8" s="1">
        <f t="shared" si="18"/>
        <v>582</v>
      </c>
      <c r="AW8" s="1">
        <v>0.0</v>
      </c>
      <c r="AX8" s="1">
        <v>1.0</v>
      </c>
      <c r="AY8" s="4">
        <f t="shared" si="19"/>
        <v>0.45</v>
      </c>
      <c r="AZ8" s="4">
        <f t="shared" si="20"/>
        <v>552</v>
      </c>
      <c r="BA8" s="1">
        <v>1.0</v>
      </c>
      <c r="BB8" s="4">
        <f t="shared" si="21"/>
        <v>574</v>
      </c>
      <c r="BC8" s="1">
        <v>0.0</v>
      </c>
      <c r="BD8" s="1">
        <v>0.0</v>
      </c>
      <c r="BE8" s="4">
        <f t="shared" si="22"/>
        <v>0</v>
      </c>
      <c r="BF8" s="4">
        <f t="shared" si="23"/>
        <v>496</v>
      </c>
      <c r="BG8" s="1">
        <v>2.0</v>
      </c>
      <c r="BH8" s="4">
        <f t="shared" si="24"/>
        <v>176.5</v>
      </c>
      <c r="BI8" s="1">
        <v>0.0</v>
      </c>
      <c r="BJ8" s="1">
        <v>0.0</v>
      </c>
      <c r="BK8" s="4">
        <f t="shared" si="25"/>
        <v>0</v>
      </c>
      <c r="BL8" s="4">
        <f t="shared" si="26"/>
        <v>534</v>
      </c>
      <c r="BM8" s="1">
        <v>2.0</v>
      </c>
      <c r="BN8" s="4">
        <f t="shared" si="27"/>
        <v>176.5</v>
      </c>
      <c r="BO8" s="1">
        <v>2.0</v>
      </c>
      <c r="BP8" s="1">
        <v>0.0</v>
      </c>
      <c r="BQ8" s="4">
        <f t="shared" si="28"/>
        <v>0</v>
      </c>
      <c r="BR8" s="4">
        <f t="shared" si="29"/>
        <v>550</v>
      </c>
      <c r="BS8" s="1">
        <v>0.0</v>
      </c>
      <c r="BT8" s="4">
        <f t="shared" si="30"/>
        <v>512</v>
      </c>
      <c r="BU8" s="1">
        <v>0.0</v>
      </c>
      <c r="BV8" s="1">
        <v>0.0</v>
      </c>
      <c r="BW8" s="4">
        <f t="shared" si="31"/>
        <v>0</v>
      </c>
      <c r="BX8" s="4">
        <f t="shared" si="32"/>
        <v>582</v>
      </c>
      <c r="BY8" s="1">
        <v>1.0</v>
      </c>
      <c r="BZ8" s="4">
        <f t="shared" si="33"/>
        <v>574</v>
      </c>
      <c r="CA8" s="1">
        <v>0.0</v>
      </c>
      <c r="CB8" s="1">
        <v>1.0</v>
      </c>
      <c r="CC8" s="4">
        <f t="shared" si="34"/>
        <v>0.34</v>
      </c>
      <c r="CD8" s="4">
        <f t="shared" si="35"/>
        <v>750</v>
      </c>
      <c r="CE8" s="1">
        <v>1.0</v>
      </c>
      <c r="CF8" s="4">
        <f t="shared" si="36"/>
        <v>580</v>
      </c>
      <c r="CG8" s="1">
        <v>1.0</v>
      </c>
      <c r="CH8" s="1">
        <v>2.0</v>
      </c>
      <c r="CI8" s="4">
        <f t="shared" si="37"/>
        <v>0.87</v>
      </c>
      <c r="CJ8" s="4">
        <f t="shared" si="38"/>
        <v>582</v>
      </c>
      <c r="CK8" s="1">
        <v>1.0</v>
      </c>
      <c r="CL8" s="1">
        <v>80.0</v>
      </c>
      <c r="CM8" s="1">
        <v>0.0</v>
      </c>
      <c r="CN8" s="1">
        <v>1.0</v>
      </c>
      <c r="CO8" s="4">
        <f t="shared" si="39"/>
        <v>0.05</v>
      </c>
      <c r="CP8" s="4">
        <f t="shared" si="40"/>
        <v>579</v>
      </c>
      <c r="CQ8" s="1">
        <v>2.0</v>
      </c>
      <c r="CR8" s="4">
        <f t="shared" si="41"/>
        <v>200.5</v>
      </c>
      <c r="CS8" s="1">
        <v>2.0</v>
      </c>
      <c r="CT8" s="1">
        <v>0.0</v>
      </c>
      <c r="CU8" s="4">
        <f t="shared" si="42"/>
        <v>0</v>
      </c>
      <c r="CV8" s="1">
        <f t="shared" si="43"/>
        <v>577</v>
      </c>
      <c r="CW8" s="1">
        <v>2.0</v>
      </c>
      <c r="CX8" s="4">
        <f t="shared" si="44"/>
        <v>250</v>
      </c>
      <c r="CY8" s="1">
        <v>2.0</v>
      </c>
      <c r="CZ8" s="1">
        <v>0.0</v>
      </c>
      <c r="DA8" s="4">
        <f t="shared" si="45"/>
        <v>0</v>
      </c>
      <c r="DB8" s="4">
        <f t="shared" ref="DB8:DE8" si="67">CV8</f>
        <v>577</v>
      </c>
      <c r="DC8" s="4">
        <f t="shared" si="67"/>
        <v>2</v>
      </c>
      <c r="DD8" s="4">
        <f t="shared" si="67"/>
        <v>250</v>
      </c>
      <c r="DE8" s="4">
        <f t="shared" si="67"/>
        <v>2</v>
      </c>
      <c r="DF8" s="1">
        <v>0.0</v>
      </c>
      <c r="DG8" s="4">
        <f t="shared" si="47"/>
        <v>0</v>
      </c>
      <c r="DH8" s="1">
        <v>1000.0</v>
      </c>
      <c r="DI8" s="1">
        <v>2.0</v>
      </c>
      <c r="DJ8" s="4">
        <f t="shared" si="48"/>
        <v>597</v>
      </c>
      <c r="DK8" s="1">
        <v>2.0</v>
      </c>
      <c r="DL8" s="1">
        <v>0.0</v>
      </c>
      <c r="DM8" s="4">
        <f t="shared" si="49"/>
        <v>0</v>
      </c>
      <c r="DN8" s="4">
        <f t="shared" si="50"/>
        <v>1.97</v>
      </c>
      <c r="DO8" s="4">
        <f t="shared" si="51"/>
        <v>1.48</v>
      </c>
      <c r="DP8" s="4"/>
      <c r="DQ8" s="4"/>
      <c r="DR8" s="4"/>
      <c r="DS8" s="4"/>
      <c r="DT8" s="4"/>
      <c r="DU8" s="4"/>
      <c r="DV8" s="4"/>
    </row>
    <row r="9">
      <c r="A9" s="3" t="s">
        <v>253</v>
      </c>
      <c r="B9" s="1">
        <v>600.0</v>
      </c>
      <c r="C9" s="1">
        <v>580.0</v>
      </c>
      <c r="D9" s="1">
        <v>850.0</v>
      </c>
      <c r="E9" s="4">
        <f t="shared" si="52"/>
        <v>15</v>
      </c>
      <c r="F9" s="4">
        <f t="shared" si="53"/>
        <v>18</v>
      </c>
      <c r="G9" s="4">
        <f t="shared" si="54"/>
        <v>6</v>
      </c>
      <c r="H9" s="4">
        <f t="shared" si="55"/>
        <v>100</v>
      </c>
      <c r="I9" s="4">
        <f t="shared" si="56"/>
        <v>100</v>
      </c>
      <c r="J9" s="4">
        <f t="shared" si="57"/>
        <v>13</v>
      </c>
      <c r="K9" s="4">
        <f t="shared" si="58"/>
        <v>20</v>
      </c>
      <c r="L9" s="4">
        <f t="shared" si="59"/>
        <v>6</v>
      </c>
      <c r="M9" s="4">
        <f t="shared" si="60"/>
        <v>2</v>
      </c>
      <c r="N9" s="4">
        <f t="shared" si="61"/>
        <v>10</v>
      </c>
      <c r="O9" s="4">
        <f t="shared" si="62"/>
        <v>8</v>
      </c>
      <c r="P9" s="4">
        <f t="shared" si="2"/>
        <v>600</v>
      </c>
      <c r="Q9" s="1">
        <v>0.0</v>
      </c>
      <c r="R9" s="1">
        <f t="shared" si="3"/>
        <v>100</v>
      </c>
      <c r="S9" s="1">
        <v>1.0</v>
      </c>
      <c r="T9" s="1">
        <v>1.0</v>
      </c>
      <c r="U9" s="4">
        <f t="shared" si="4"/>
        <v>0.06</v>
      </c>
      <c r="V9" s="4">
        <f t="shared" si="5"/>
        <v>462</v>
      </c>
      <c r="W9" s="1">
        <v>0.0</v>
      </c>
      <c r="X9" s="4">
        <f t="shared" si="6"/>
        <v>100</v>
      </c>
      <c r="Y9" s="1">
        <v>0.0</v>
      </c>
      <c r="Z9" s="1">
        <v>2.0</v>
      </c>
      <c r="AA9" s="4">
        <f t="shared" si="7"/>
        <v>0.1</v>
      </c>
      <c r="AB9" s="4">
        <f t="shared" si="8"/>
        <v>564</v>
      </c>
      <c r="AC9" s="1">
        <v>0.0</v>
      </c>
      <c r="AD9" s="4">
        <f t="shared" si="9"/>
        <v>100</v>
      </c>
      <c r="AE9" s="1">
        <v>0.0</v>
      </c>
      <c r="AF9" s="1">
        <v>1.0</v>
      </c>
      <c r="AG9" s="4">
        <f t="shared" si="10"/>
        <v>0.06</v>
      </c>
      <c r="AH9" s="1">
        <f t="shared" si="11"/>
        <v>582</v>
      </c>
      <c r="AI9" s="1">
        <v>1.0</v>
      </c>
      <c r="AJ9" s="1">
        <f t="shared" si="12"/>
        <v>574</v>
      </c>
      <c r="AK9" s="1">
        <v>0.0</v>
      </c>
      <c r="AL9" s="1">
        <v>2.0</v>
      </c>
      <c r="AM9" s="4">
        <f t="shared" si="13"/>
        <v>0.67</v>
      </c>
      <c r="AN9" s="1">
        <f t="shared" si="14"/>
        <v>732</v>
      </c>
      <c r="AO9" s="1">
        <v>1.0</v>
      </c>
      <c r="AP9" s="1">
        <f t="shared" si="15"/>
        <v>574</v>
      </c>
      <c r="AQ9" s="1">
        <v>0.0</v>
      </c>
      <c r="AR9" s="1">
        <v>2.0</v>
      </c>
      <c r="AS9" s="4">
        <f t="shared" si="16"/>
        <v>0.85</v>
      </c>
      <c r="AT9" s="1">
        <f t="shared" si="17"/>
        <v>762</v>
      </c>
      <c r="AU9" s="1">
        <v>0.0</v>
      </c>
      <c r="AV9" s="1">
        <f t="shared" si="18"/>
        <v>582</v>
      </c>
      <c r="AW9" s="1">
        <v>0.0</v>
      </c>
      <c r="AX9" s="1">
        <v>1.0</v>
      </c>
      <c r="AY9" s="4">
        <f t="shared" si="19"/>
        <v>0.45</v>
      </c>
      <c r="AZ9" s="4">
        <f t="shared" si="20"/>
        <v>552</v>
      </c>
      <c r="BA9" s="1">
        <v>1.0</v>
      </c>
      <c r="BB9" s="4">
        <f t="shared" si="21"/>
        <v>574</v>
      </c>
      <c r="BC9" s="1">
        <v>0.0</v>
      </c>
      <c r="BD9" s="1">
        <v>0.0</v>
      </c>
      <c r="BE9" s="4">
        <f t="shared" si="22"/>
        <v>0</v>
      </c>
      <c r="BF9" s="4">
        <f t="shared" si="23"/>
        <v>496</v>
      </c>
      <c r="BG9" s="1">
        <v>2.0</v>
      </c>
      <c r="BH9" s="4">
        <f t="shared" si="24"/>
        <v>176.5</v>
      </c>
      <c r="BI9" s="1">
        <v>0.0</v>
      </c>
      <c r="BJ9" s="1">
        <v>0.0</v>
      </c>
      <c r="BK9" s="4">
        <f t="shared" si="25"/>
        <v>0</v>
      </c>
      <c r="BL9" s="4">
        <f t="shared" si="26"/>
        <v>534</v>
      </c>
      <c r="BM9" s="1">
        <v>2.0</v>
      </c>
      <c r="BN9" s="4">
        <f t="shared" si="27"/>
        <v>176.5</v>
      </c>
      <c r="BO9" s="1">
        <v>2.0</v>
      </c>
      <c r="BP9" s="1">
        <v>0.0</v>
      </c>
      <c r="BQ9" s="4">
        <f t="shared" si="28"/>
        <v>0</v>
      </c>
      <c r="BR9" s="4">
        <f t="shared" si="29"/>
        <v>550</v>
      </c>
      <c r="BS9" s="1">
        <v>0.0</v>
      </c>
      <c r="BT9" s="4">
        <f t="shared" si="30"/>
        <v>512</v>
      </c>
      <c r="BU9" s="1">
        <v>0.0</v>
      </c>
      <c r="BV9" s="1">
        <v>0.0</v>
      </c>
      <c r="BW9" s="4">
        <f t="shared" si="31"/>
        <v>0</v>
      </c>
      <c r="BX9" s="4">
        <f t="shared" si="32"/>
        <v>582</v>
      </c>
      <c r="BY9" s="1">
        <v>1.0</v>
      </c>
      <c r="BZ9" s="4">
        <f t="shared" si="33"/>
        <v>574</v>
      </c>
      <c r="CA9" s="1">
        <v>0.0</v>
      </c>
      <c r="CB9" s="1">
        <v>1.0</v>
      </c>
      <c r="CC9" s="4">
        <f t="shared" si="34"/>
        <v>0.34</v>
      </c>
      <c r="CD9" s="4">
        <f t="shared" si="35"/>
        <v>750</v>
      </c>
      <c r="CE9" s="1">
        <v>1.0</v>
      </c>
      <c r="CF9" s="4">
        <f t="shared" si="36"/>
        <v>580</v>
      </c>
      <c r="CG9" s="1">
        <v>1.0</v>
      </c>
      <c r="CH9" s="1">
        <v>2.0</v>
      </c>
      <c r="CI9" s="4">
        <f t="shared" si="37"/>
        <v>0.87</v>
      </c>
      <c r="CJ9" s="4">
        <f t="shared" si="38"/>
        <v>582</v>
      </c>
      <c r="CK9" s="1">
        <v>1.0</v>
      </c>
      <c r="CL9" s="1">
        <v>80.0</v>
      </c>
      <c r="CM9" s="1">
        <v>0.0</v>
      </c>
      <c r="CN9" s="1">
        <v>1.0</v>
      </c>
      <c r="CO9" s="4">
        <f t="shared" si="39"/>
        <v>0.05</v>
      </c>
      <c r="CP9" s="4">
        <f t="shared" si="40"/>
        <v>579</v>
      </c>
      <c r="CQ9" s="1">
        <v>2.0</v>
      </c>
      <c r="CR9" s="4">
        <f t="shared" si="41"/>
        <v>200.5</v>
      </c>
      <c r="CS9" s="1">
        <v>2.0</v>
      </c>
      <c r="CT9" s="1">
        <v>0.0</v>
      </c>
      <c r="CU9" s="4">
        <f t="shared" si="42"/>
        <v>0</v>
      </c>
      <c r="CV9" s="1">
        <f t="shared" si="43"/>
        <v>577</v>
      </c>
      <c r="CW9" s="1">
        <v>2.0</v>
      </c>
      <c r="CX9" s="4">
        <f t="shared" si="44"/>
        <v>250</v>
      </c>
      <c r="CY9" s="1">
        <v>2.0</v>
      </c>
      <c r="CZ9" s="1">
        <v>0.0</v>
      </c>
      <c r="DA9" s="4">
        <f t="shared" si="45"/>
        <v>0</v>
      </c>
      <c r="DB9" s="4">
        <f t="shared" ref="DB9:DE9" si="68">CV9</f>
        <v>577</v>
      </c>
      <c r="DC9" s="4">
        <f t="shared" si="68"/>
        <v>2</v>
      </c>
      <c r="DD9" s="4">
        <f t="shared" si="68"/>
        <v>250</v>
      </c>
      <c r="DE9" s="4">
        <f t="shared" si="68"/>
        <v>2</v>
      </c>
      <c r="DF9" s="1">
        <v>0.0</v>
      </c>
      <c r="DG9" s="4">
        <f t="shared" si="47"/>
        <v>0</v>
      </c>
      <c r="DH9" s="1">
        <v>1000.0</v>
      </c>
      <c r="DI9" s="1">
        <v>2.0</v>
      </c>
      <c r="DJ9" s="4">
        <f t="shared" si="48"/>
        <v>597</v>
      </c>
      <c r="DK9" s="1">
        <v>2.0</v>
      </c>
      <c r="DL9" s="1">
        <v>0.0</v>
      </c>
      <c r="DM9" s="4">
        <f t="shared" si="49"/>
        <v>0</v>
      </c>
      <c r="DN9" s="4">
        <f t="shared" si="50"/>
        <v>1.97</v>
      </c>
      <c r="DO9" s="4">
        <f t="shared" si="51"/>
        <v>1.48</v>
      </c>
      <c r="DP9" s="4"/>
      <c r="DQ9" s="4"/>
      <c r="DR9" s="4"/>
      <c r="DS9" s="4"/>
      <c r="DT9" s="4"/>
      <c r="DU9" s="4"/>
      <c r="DV9" s="4"/>
    </row>
    <row r="10">
      <c r="A10" s="3" t="s">
        <v>255</v>
      </c>
      <c r="B10" s="1">
        <v>600.0</v>
      </c>
      <c r="C10" s="1">
        <v>580.0</v>
      </c>
      <c r="D10" s="1">
        <v>850.0</v>
      </c>
      <c r="E10" s="4">
        <f t="shared" si="52"/>
        <v>15</v>
      </c>
      <c r="F10" s="4">
        <f t="shared" si="53"/>
        <v>18</v>
      </c>
      <c r="G10" s="4">
        <f t="shared" si="54"/>
        <v>6</v>
      </c>
      <c r="H10" s="4">
        <f t="shared" si="55"/>
        <v>100</v>
      </c>
      <c r="I10" s="4">
        <f t="shared" si="56"/>
        <v>100</v>
      </c>
      <c r="J10" s="4">
        <f t="shared" si="57"/>
        <v>13</v>
      </c>
      <c r="K10" s="4">
        <f t="shared" si="58"/>
        <v>20</v>
      </c>
      <c r="L10" s="4">
        <f t="shared" si="59"/>
        <v>6</v>
      </c>
      <c r="M10" s="4">
        <f t="shared" si="60"/>
        <v>2</v>
      </c>
      <c r="N10" s="4">
        <f t="shared" si="61"/>
        <v>10</v>
      </c>
      <c r="O10" s="4">
        <f t="shared" si="62"/>
        <v>8</v>
      </c>
      <c r="P10" s="4">
        <f t="shared" si="2"/>
        <v>600</v>
      </c>
      <c r="Q10" s="1">
        <v>0.0</v>
      </c>
      <c r="R10" s="1">
        <f t="shared" si="3"/>
        <v>100</v>
      </c>
      <c r="S10" s="1">
        <v>1.0</v>
      </c>
      <c r="T10" s="1">
        <v>1.0</v>
      </c>
      <c r="U10" s="4">
        <f t="shared" si="4"/>
        <v>0.06</v>
      </c>
      <c r="V10" s="4">
        <f t="shared" si="5"/>
        <v>462</v>
      </c>
      <c r="W10" s="1">
        <v>0.0</v>
      </c>
      <c r="X10" s="4">
        <f t="shared" si="6"/>
        <v>100</v>
      </c>
      <c r="Y10" s="1">
        <v>0.0</v>
      </c>
      <c r="Z10" s="1">
        <v>2.0</v>
      </c>
      <c r="AA10" s="4">
        <f t="shared" si="7"/>
        <v>0.1</v>
      </c>
      <c r="AB10" s="4">
        <f t="shared" si="8"/>
        <v>564</v>
      </c>
      <c r="AC10" s="1">
        <v>0.0</v>
      </c>
      <c r="AD10" s="4">
        <f t="shared" si="9"/>
        <v>100</v>
      </c>
      <c r="AE10" s="1">
        <v>0.0</v>
      </c>
      <c r="AF10" s="1">
        <v>1.0</v>
      </c>
      <c r="AG10" s="4">
        <f t="shared" si="10"/>
        <v>0.06</v>
      </c>
      <c r="AH10" s="1">
        <f t="shared" si="11"/>
        <v>582</v>
      </c>
      <c r="AI10" s="1">
        <v>1.0</v>
      </c>
      <c r="AJ10" s="1">
        <f t="shared" si="12"/>
        <v>574</v>
      </c>
      <c r="AK10" s="1">
        <v>0.0</v>
      </c>
      <c r="AL10" s="1">
        <v>2.0</v>
      </c>
      <c r="AM10" s="4">
        <f t="shared" si="13"/>
        <v>0.67</v>
      </c>
      <c r="AN10" s="1">
        <f t="shared" si="14"/>
        <v>732</v>
      </c>
      <c r="AO10" s="1">
        <v>1.0</v>
      </c>
      <c r="AP10" s="1">
        <f t="shared" si="15"/>
        <v>574</v>
      </c>
      <c r="AQ10" s="1">
        <v>0.0</v>
      </c>
      <c r="AR10" s="1">
        <v>2.0</v>
      </c>
      <c r="AS10" s="4">
        <f t="shared" si="16"/>
        <v>0.85</v>
      </c>
      <c r="AT10" s="1">
        <f t="shared" si="17"/>
        <v>762</v>
      </c>
      <c r="AU10" s="1">
        <v>0.0</v>
      </c>
      <c r="AV10" s="1">
        <f t="shared" si="18"/>
        <v>582</v>
      </c>
      <c r="AW10" s="1">
        <v>0.0</v>
      </c>
      <c r="AX10" s="1">
        <v>1.0</v>
      </c>
      <c r="AY10" s="4">
        <f t="shared" si="19"/>
        <v>0.45</v>
      </c>
      <c r="AZ10" s="4">
        <f t="shared" si="20"/>
        <v>552</v>
      </c>
      <c r="BA10" s="1">
        <v>1.0</v>
      </c>
      <c r="BB10" s="4">
        <f t="shared" si="21"/>
        <v>574</v>
      </c>
      <c r="BC10" s="1">
        <v>0.0</v>
      </c>
      <c r="BD10" s="1">
        <v>0.0</v>
      </c>
      <c r="BE10" s="4">
        <f t="shared" si="22"/>
        <v>0</v>
      </c>
      <c r="BF10" s="4">
        <f t="shared" si="23"/>
        <v>496</v>
      </c>
      <c r="BG10" s="1">
        <v>2.0</v>
      </c>
      <c r="BH10" s="4">
        <f t="shared" si="24"/>
        <v>176.5</v>
      </c>
      <c r="BI10" s="1">
        <v>0.0</v>
      </c>
      <c r="BJ10" s="1">
        <v>0.0</v>
      </c>
      <c r="BK10" s="4">
        <f t="shared" si="25"/>
        <v>0</v>
      </c>
      <c r="BL10" s="4">
        <f t="shared" si="26"/>
        <v>534</v>
      </c>
      <c r="BM10" s="1">
        <v>2.0</v>
      </c>
      <c r="BN10" s="4">
        <f t="shared" si="27"/>
        <v>176.5</v>
      </c>
      <c r="BO10" s="1">
        <v>2.0</v>
      </c>
      <c r="BP10" s="1">
        <v>0.0</v>
      </c>
      <c r="BQ10" s="4">
        <f t="shared" si="28"/>
        <v>0</v>
      </c>
      <c r="BR10" s="4">
        <f t="shared" si="29"/>
        <v>550</v>
      </c>
      <c r="BS10" s="1">
        <v>0.0</v>
      </c>
      <c r="BT10" s="4">
        <f t="shared" si="30"/>
        <v>512</v>
      </c>
      <c r="BU10" s="1">
        <v>0.0</v>
      </c>
      <c r="BV10" s="1">
        <v>0.0</v>
      </c>
      <c r="BW10" s="4">
        <f t="shared" si="31"/>
        <v>0</v>
      </c>
      <c r="BX10" s="4">
        <f t="shared" si="32"/>
        <v>582</v>
      </c>
      <c r="BY10" s="1">
        <v>1.0</v>
      </c>
      <c r="BZ10" s="4">
        <f t="shared" si="33"/>
        <v>574</v>
      </c>
      <c r="CA10" s="1">
        <v>0.0</v>
      </c>
      <c r="CB10" s="1">
        <v>1.0</v>
      </c>
      <c r="CC10" s="4">
        <f t="shared" si="34"/>
        <v>0.34</v>
      </c>
      <c r="CD10" s="4">
        <f t="shared" si="35"/>
        <v>750</v>
      </c>
      <c r="CE10" s="1">
        <v>1.0</v>
      </c>
      <c r="CF10" s="4">
        <f t="shared" si="36"/>
        <v>580</v>
      </c>
      <c r="CG10" s="1">
        <v>1.0</v>
      </c>
      <c r="CH10" s="1">
        <v>2.0</v>
      </c>
      <c r="CI10" s="4">
        <f t="shared" si="37"/>
        <v>0.87</v>
      </c>
      <c r="CJ10" s="4">
        <f t="shared" si="38"/>
        <v>582</v>
      </c>
      <c r="CK10" s="1">
        <v>1.0</v>
      </c>
      <c r="CL10" s="1">
        <v>80.0</v>
      </c>
      <c r="CM10" s="1">
        <v>0.0</v>
      </c>
      <c r="CN10" s="1">
        <v>1.0</v>
      </c>
      <c r="CO10" s="4">
        <f t="shared" si="39"/>
        <v>0.05</v>
      </c>
      <c r="CP10" s="4">
        <f t="shared" si="40"/>
        <v>579</v>
      </c>
      <c r="CQ10" s="1">
        <v>2.0</v>
      </c>
      <c r="CR10" s="4">
        <f t="shared" si="41"/>
        <v>200.5</v>
      </c>
      <c r="CS10" s="1">
        <v>2.0</v>
      </c>
      <c r="CT10" s="1">
        <v>0.0</v>
      </c>
      <c r="CU10" s="4">
        <f t="shared" si="42"/>
        <v>0</v>
      </c>
      <c r="CV10" s="1">
        <f t="shared" si="43"/>
        <v>577</v>
      </c>
      <c r="CW10" s="1">
        <v>2.0</v>
      </c>
      <c r="CX10" s="4">
        <f t="shared" si="44"/>
        <v>250</v>
      </c>
      <c r="CY10" s="1">
        <v>2.0</v>
      </c>
      <c r="CZ10" s="1">
        <v>0.0</v>
      </c>
      <c r="DA10" s="4">
        <f t="shared" si="45"/>
        <v>0</v>
      </c>
      <c r="DB10" s="4">
        <f t="shared" ref="DB10:DE10" si="69">CV10</f>
        <v>577</v>
      </c>
      <c r="DC10" s="4">
        <f t="shared" si="69"/>
        <v>2</v>
      </c>
      <c r="DD10" s="4">
        <f t="shared" si="69"/>
        <v>250</v>
      </c>
      <c r="DE10" s="4">
        <f t="shared" si="69"/>
        <v>2</v>
      </c>
      <c r="DF10" s="1">
        <v>0.0</v>
      </c>
      <c r="DG10" s="4">
        <f t="shared" si="47"/>
        <v>0</v>
      </c>
      <c r="DH10" s="1">
        <v>1000.0</v>
      </c>
      <c r="DI10" s="1">
        <v>2.0</v>
      </c>
      <c r="DJ10" s="4">
        <f t="shared" si="48"/>
        <v>597</v>
      </c>
      <c r="DK10" s="1">
        <v>2.0</v>
      </c>
      <c r="DL10" s="1">
        <v>0.0</v>
      </c>
      <c r="DM10" s="4">
        <f t="shared" si="49"/>
        <v>0</v>
      </c>
      <c r="DN10" s="4">
        <f t="shared" si="50"/>
        <v>1.97</v>
      </c>
      <c r="DO10" s="4">
        <f t="shared" si="51"/>
        <v>1.48</v>
      </c>
      <c r="DP10" s="4"/>
      <c r="DQ10" s="4"/>
      <c r="DR10" s="4"/>
      <c r="DS10" s="4"/>
      <c r="DT10" s="4"/>
      <c r="DU10" s="4"/>
      <c r="DV10" s="4"/>
    </row>
    <row r="11">
      <c r="A11" s="3" t="s">
        <v>257</v>
      </c>
      <c r="B11" s="1">
        <v>600.0</v>
      </c>
      <c r="C11" s="1">
        <v>580.0</v>
      </c>
      <c r="D11" s="1">
        <v>850.0</v>
      </c>
      <c r="E11" s="4">
        <f t="shared" si="52"/>
        <v>15</v>
      </c>
      <c r="F11" s="4">
        <f t="shared" si="53"/>
        <v>18</v>
      </c>
      <c r="G11" s="4">
        <f t="shared" si="54"/>
        <v>6</v>
      </c>
      <c r="H11" s="4">
        <f t="shared" si="55"/>
        <v>100</v>
      </c>
      <c r="I11" s="4">
        <f t="shared" si="56"/>
        <v>100</v>
      </c>
      <c r="J11" s="4">
        <f t="shared" si="57"/>
        <v>13</v>
      </c>
      <c r="K11" s="4">
        <f t="shared" si="58"/>
        <v>20</v>
      </c>
      <c r="L11" s="4">
        <f t="shared" si="59"/>
        <v>6</v>
      </c>
      <c r="M11" s="4">
        <f t="shared" si="60"/>
        <v>2</v>
      </c>
      <c r="N11" s="4">
        <f t="shared" si="61"/>
        <v>10</v>
      </c>
      <c r="O11" s="4">
        <f t="shared" si="62"/>
        <v>8</v>
      </c>
      <c r="P11" s="4">
        <f t="shared" si="2"/>
        <v>600</v>
      </c>
      <c r="Q11" s="1">
        <v>0.0</v>
      </c>
      <c r="R11" s="1">
        <f t="shared" si="3"/>
        <v>100</v>
      </c>
      <c r="S11" s="1">
        <v>1.0</v>
      </c>
      <c r="T11" s="1">
        <v>1.0</v>
      </c>
      <c r="U11" s="4">
        <f t="shared" si="4"/>
        <v>0.06</v>
      </c>
      <c r="V11" s="4">
        <f t="shared" si="5"/>
        <v>462</v>
      </c>
      <c r="W11" s="1">
        <v>0.0</v>
      </c>
      <c r="X11" s="4">
        <f t="shared" si="6"/>
        <v>100</v>
      </c>
      <c r="Y11" s="1">
        <v>0.0</v>
      </c>
      <c r="Z11" s="1">
        <v>2.0</v>
      </c>
      <c r="AA11" s="4">
        <f t="shared" si="7"/>
        <v>0.1</v>
      </c>
      <c r="AB11" s="4">
        <f t="shared" si="8"/>
        <v>564</v>
      </c>
      <c r="AC11" s="1">
        <v>0.0</v>
      </c>
      <c r="AD11" s="4">
        <f t="shared" si="9"/>
        <v>100</v>
      </c>
      <c r="AE11" s="1">
        <v>0.0</v>
      </c>
      <c r="AF11" s="1">
        <v>1.0</v>
      </c>
      <c r="AG11" s="4">
        <f t="shared" si="10"/>
        <v>0.06</v>
      </c>
      <c r="AH11" s="1">
        <f t="shared" si="11"/>
        <v>582</v>
      </c>
      <c r="AI11" s="1">
        <v>1.0</v>
      </c>
      <c r="AJ11" s="1">
        <f t="shared" si="12"/>
        <v>574</v>
      </c>
      <c r="AK11" s="1">
        <v>0.0</v>
      </c>
      <c r="AL11" s="1">
        <v>2.0</v>
      </c>
      <c r="AM11" s="4">
        <f t="shared" si="13"/>
        <v>0.67</v>
      </c>
      <c r="AN11" s="1">
        <f t="shared" si="14"/>
        <v>732</v>
      </c>
      <c r="AO11" s="1">
        <v>1.0</v>
      </c>
      <c r="AP11" s="1">
        <f t="shared" si="15"/>
        <v>574</v>
      </c>
      <c r="AQ11" s="1">
        <v>0.0</v>
      </c>
      <c r="AR11" s="1">
        <v>2.0</v>
      </c>
      <c r="AS11" s="4">
        <f t="shared" si="16"/>
        <v>0.85</v>
      </c>
      <c r="AT11" s="1">
        <f t="shared" si="17"/>
        <v>762</v>
      </c>
      <c r="AU11" s="1">
        <v>0.0</v>
      </c>
      <c r="AV11" s="1">
        <f t="shared" si="18"/>
        <v>582</v>
      </c>
      <c r="AW11" s="1">
        <v>0.0</v>
      </c>
      <c r="AX11" s="1">
        <v>1.0</v>
      </c>
      <c r="AY11" s="4">
        <f t="shared" si="19"/>
        <v>0.45</v>
      </c>
      <c r="AZ11" s="4">
        <f t="shared" si="20"/>
        <v>552</v>
      </c>
      <c r="BA11" s="1">
        <v>1.0</v>
      </c>
      <c r="BB11" s="4">
        <f t="shared" si="21"/>
        <v>574</v>
      </c>
      <c r="BC11" s="1">
        <v>0.0</v>
      </c>
      <c r="BD11" s="1">
        <v>0.0</v>
      </c>
      <c r="BE11" s="4">
        <f t="shared" si="22"/>
        <v>0</v>
      </c>
      <c r="BF11" s="4">
        <f t="shared" si="23"/>
        <v>496</v>
      </c>
      <c r="BG11" s="1">
        <v>2.0</v>
      </c>
      <c r="BH11" s="4">
        <f t="shared" si="24"/>
        <v>176.5</v>
      </c>
      <c r="BI11" s="1">
        <v>0.0</v>
      </c>
      <c r="BJ11" s="1">
        <v>0.0</v>
      </c>
      <c r="BK11" s="4">
        <f t="shared" si="25"/>
        <v>0</v>
      </c>
      <c r="BL11" s="4">
        <f t="shared" si="26"/>
        <v>534</v>
      </c>
      <c r="BM11" s="1">
        <v>2.0</v>
      </c>
      <c r="BN11" s="4">
        <f t="shared" si="27"/>
        <v>176.5</v>
      </c>
      <c r="BO11" s="1">
        <v>2.0</v>
      </c>
      <c r="BP11" s="1">
        <v>0.0</v>
      </c>
      <c r="BQ11" s="4">
        <f t="shared" si="28"/>
        <v>0</v>
      </c>
      <c r="BR11" s="4">
        <f t="shared" si="29"/>
        <v>550</v>
      </c>
      <c r="BS11" s="1">
        <v>0.0</v>
      </c>
      <c r="BT11" s="4">
        <f t="shared" si="30"/>
        <v>512</v>
      </c>
      <c r="BU11" s="1">
        <v>0.0</v>
      </c>
      <c r="BV11" s="1">
        <v>0.0</v>
      </c>
      <c r="BW11" s="4">
        <f t="shared" si="31"/>
        <v>0</v>
      </c>
      <c r="BX11" s="4">
        <f t="shared" si="32"/>
        <v>582</v>
      </c>
      <c r="BY11" s="1">
        <v>1.0</v>
      </c>
      <c r="BZ11" s="4">
        <f t="shared" si="33"/>
        <v>574</v>
      </c>
      <c r="CA11" s="1">
        <v>0.0</v>
      </c>
      <c r="CB11" s="1">
        <v>1.0</v>
      </c>
      <c r="CC11" s="4">
        <f t="shared" si="34"/>
        <v>0.34</v>
      </c>
      <c r="CD11" s="4">
        <f t="shared" si="35"/>
        <v>750</v>
      </c>
      <c r="CE11" s="1">
        <v>1.0</v>
      </c>
      <c r="CF11" s="4">
        <f t="shared" si="36"/>
        <v>580</v>
      </c>
      <c r="CG11" s="1">
        <v>1.0</v>
      </c>
      <c r="CH11" s="1">
        <v>2.0</v>
      </c>
      <c r="CI11" s="4">
        <f t="shared" si="37"/>
        <v>0.87</v>
      </c>
      <c r="CJ11" s="4">
        <f t="shared" si="38"/>
        <v>582</v>
      </c>
      <c r="CK11" s="1">
        <v>1.0</v>
      </c>
      <c r="CL11" s="1">
        <v>80.0</v>
      </c>
      <c r="CM11" s="1">
        <v>0.0</v>
      </c>
      <c r="CN11" s="1">
        <v>1.0</v>
      </c>
      <c r="CO11" s="4">
        <f t="shared" si="39"/>
        <v>0.05</v>
      </c>
      <c r="CP11" s="4">
        <f t="shared" si="40"/>
        <v>579</v>
      </c>
      <c r="CQ11" s="1">
        <v>2.0</v>
      </c>
      <c r="CR11" s="4">
        <f t="shared" si="41"/>
        <v>200.5</v>
      </c>
      <c r="CS11" s="1">
        <v>2.0</v>
      </c>
      <c r="CT11" s="1">
        <v>0.0</v>
      </c>
      <c r="CU11" s="4">
        <f t="shared" si="42"/>
        <v>0</v>
      </c>
      <c r="CV11" s="1">
        <f t="shared" si="43"/>
        <v>577</v>
      </c>
      <c r="CW11" s="1">
        <v>2.0</v>
      </c>
      <c r="CX11" s="4">
        <f t="shared" si="44"/>
        <v>250</v>
      </c>
      <c r="CY11" s="1">
        <v>2.0</v>
      </c>
      <c r="CZ11" s="1">
        <v>0.0</v>
      </c>
      <c r="DA11" s="4">
        <f t="shared" si="45"/>
        <v>0</v>
      </c>
      <c r="DB11" s="4">
        <f t="shared" ref="DB11:DE11" si="70">CV11</f>
        <v>577</v>
      </c>
      <c r="DC11" s="4">
        <f t="shared" si="70"/>
        <v>2</v>
      </c>
      <c r="DD11" s="4">
        <f t="shared" si="70"/>
        <v>250</v>
      </c>
      <c r="DE11" s="4">
        <f t="shared" si="70"/>
        <v>2</v>
      </c>
      <c r="DF11" s="1">
        <v>0.0</v>
      </c>
      <c r="DG11" s="4">
        <f t="shared" si="47"/>
        <v>0</v>
      </c>
      <c r="DH11" s="1">
        <v>1000.0</v>
      </c>
      <c r="DI11" s="1">
        <v>2.0</v>
      </c>
      <c r="DJ11" s="4">
        <f t="shared" si="48"/>
        <v>597</v>
      </c>
      <c r="DK11" s="1">
        <v>2.0</v>
      </c>
      <c r="DL11" s="1">
        <v>0.0</v>
      </c>
      <c r="DM11" s="4">
        <f t="shared" si="49"/>
        <v>0</v>
      </c>
      <c r="DN11" s="4">
        <f t="shared" si="50"/>
        <v>1.97</v>
      </c>
      <c r="DO11" s="4">
        <f t="shared" si="51"/>
        <v>1.48</v>
      </c>
      <c r="DP11" s="4"/>
      <c r="DQ11" s="4"/>
      <c r="DR11" s="4"/>
      <c r="DS11" s="4"/>
      <c r="DT11" s="4"/>
      <c r="DU11" s="4"/>
      <c r="DV11" s="4"/>
    </row>
    <row r="12">
      <c r="A12" s="3" t="s">
        <v>259</v>
      </c>
      <c r="B12" s="1">
        <v>600.0</v>
      </c>
      <c r="C12" s="1">
        <v>580.0</v>
      </c>
      <c r="D12" s="1">
        <v>850.0</v>
      </c>
      <c r="E12" s="4">
        <f t="shared" si="52"/>
        <v>15</v>
      </c>
      <c r="F12" s="4">
        <f t="shared" si="53"/>
        <v>18</v>
      </c>
      <c r="G12" s="4">
        <f t="shared" si="54"/>
        <v>6</v>
      </c>
      <c r="H12" s="4">
        <f t="shared" si="55"/>
        <v>100</v>
      </c>
      <c r="I12" s="4">
        <f t="shared" si="56"/>
        <v>100</v>
      </c>
      <c r="J12" s="4">
        <f t="shared" si="57"/>
        <v>13</v>
      </c>
      <c r="K12" s="4">
        <f t="shared" si="58"/>
        <v>20</v>
      </c>
      <c r="L12" s="4">
        <f t="shared" si="59"/>
        <v>6</v>
      </c>
      <c r="M12" s="4">
        <f t="shared" si="60"/>
        <v>2</v>
      </c>
      <c r="N12" s="4">
        <f t="shared" si="61"/>
        <v>10</v>
      </c>
      <c r="O12" s="4">
        <f t="shared" si="62"/>
        <v>8</v>
      </c>
      <c r="P12" s="4">
        <f t="shared" si="2"/>
        <v>600</v>
      </c>
      <c r="Q12" s="1">
        <v>0.0</v>
      </c>
      <c r="R12" s="1">
        <f t="shared" si="3"/>
        <v>100</v>
      </c>
      <c r="S12" s="1">
        <v>1.0</v>
      </c>
      <c r="T12" s="1">
        <v>1.0</v>
      </c>
      <c r="U12" s="4">
        <f t="shared" si="4"/>
        <v>0.06</v>
      </c>
      <c r="V12" s="4">
        <f t="shared" si="5"/>
        <v>462</v>
      </c>
      <c r="W12" s="1">
        <v>0.0</v>
      </c>
      <c r="X12" s="4">
        <f t="shared" si="6"/>
        <v>100</v>
      </c>
      <c r="Y12" s="1">
        <v>0.0</v>
      </c>
      <c r="Z12" s="1">
        <v>2.0</v>
      </c>
      <c r="AA12" s="4">
        <f t="shared" si="7"/>
        <v>0.1</v>
      </c>
      <c r="AB12" s="4">
        <f t="shared" si="8"/>
        <v>564</v>
      </c>
      <c r="AC12" s="1">
        <v>0.0</v>
      </c>
      <c r="AD12" s="4">
        <f t="shared" si="9"/>
        <v>100</v>
      </c>
      <c r="AE12" s="1">
        <v>0.0</v>
      </c>
      <c r="AF12" s="1">
        <v>1.0</v>
      </c>
      <c r="AG12" s="4">
        <f t="shared" si="10"/>
        <v>0.06</v>
      </c>
      <c r="AH12" s="1">
        <f t="shared" si="11"/>
        <v>582</v>
      </c>
      <c r="AI12" s="1">
        <v>1.0</v>
      </c>
      <c r="AJ12" s="1">
        <f t="shared" si="12"/>
        <v>574</v>
      </c>
      <c r="AK12" s="1">
        <v>0.0</v>
      </c>
      <c r="AL12" s="1">
        <v>2.0</v>
      </c>
      <c r="AM12" s="4">
        <f t="shared" si="13"/>
        <v>0.67</v>
      </c>
      <c r="AN12" s="1">
        <f t="shared" si="14"/>
        <v>732</v>
      </c>
      <c r="AO12" s="1">
        <v>1.0</v>
      </c>
      <c r="AP12" s="1">
        <f t="shared" si="15"/>
        <v>574</v>
      </c>
      <c r="AQ12" s="1">
        <v>0.0</v>
      </c>
      <c r="AR12" s="1">
        <v>2.0</v>
      </c>
      <c r="AS12" s="4">
        <f t="shared" si="16"/>
        <v>0.85</v>
      </c>
      <c r="AT12" s="1">
        <f t="shared" si="17"/>
        <v>762</v>
      </c>
      <c r="AU12" s="1">
        <v>0.0</v>
      </c>
      <c r="AV12" s="1">
        <f t="shared" si="18"/>
        <v>582</v>
      </c>
      <c r="AW12" s="1">
        <v>0.0</v>
      </c>
      <c r="AX12" s="1">
        <v>1.0</v>
      </c>
      <c r="AY12" s="4">
        <f t="shared" si="19"/>
        <v>0.45</v>
      </c>
      <c r="AZ12" s="4">
        <f t="shared" si="20"/>
        <v>552</v>
      </c>
      <c r="BA12" s="1">
        <v>1.0</v>
      </c>
      <c r="BB12" s="4">
        <f t="shared" si="21"/>
        <v>574</v>
      </c>
      <c r="BC12" s="1">
        <v>0.0</v>
      </c>
      <c r="BD12" s="1">
        <v>0.0</v>
      </c>
      <c r="BE12" s="4">
        <f t="shared" si="22"/>
        <v>0</v>
      </c>
      <c r="BF12" s="4">
        <f t="shared" si="23"/>
        <v>496</v>
      </c>
      <c r="BG12" s="1">
        <v>2.0</v>
      </c>
      <c r="BH12" s="4">
        <f t="shared" si="24"/>
        <v>176.5</v>
      </c>
      <c r="BI12" s="1">
        <v>0.0</v>
      </c>
      <c r="BJ12" s="1">
        <v>0.0</v>
      </c>
      <c r="BK12" s="4">
        <f t="shared" si="25"/>
        <v>0</v>
      </c>
      <c r="BL12" s="4">
        <f t="shared" si="26"/>
        <v>534</v>
      </c>
      <c r="BM12" s="1">
        <v>2.0</v>
      </c>
      <c r="BN12" s="4">
        <f t="shared" si="27"/>
        <v>176.5</v>
      </c>
      <c r="BO12" s="1">
        <v>2.0</v>
      </c>
      <c r="BP12" s="1">
        <v>0.0</v>
      </c>
      <c r="BQ12" s="4">
        <f t="shared" si="28"/>
        <v>0</v>
      </c>
      <c r="BR12" s="4">
        <f t="shared" si="29"/>
        <v>550</v>
      </c>
      <c r="BS12" s="1">
        <v>0.0</v>
      </c>
      <c r="BT12" s="4">
        <f t="shared" si="30"/>
        <v>512</v>
      </c>
      <c r="BU12" s="1">
        <v>0.0</v>
      </c>
      <c r="BV12" s="1">
        <v>0.0</v>
      </c>
      <c r="BW12" s="4">
        <f t="shared" si="31"/>
        <v>0</v>
      </c>
      <c r="BX12" s="4">
        <f t="shared" si="32"/>
        <v>582</v>
      </c>
      <c r="BY12" s="1">
        <v>1.0</v>
      </c>
      <c r="BZ12" s="4">
        <f t="shared" si="33"/>
        <v>574</v>
      </c>
      <c r="CA12" s="1">
        <v>0.0</v>
      </c>
      <c r="CB12" s="1">
        <v>1.0</v>
      </c>
      <c r="CC12" s="4">
        <f t="shared" si="34"/>
        <v>0.34</v>
      </c>
      <c r="CD12" s="4">
        <f t="shared" si="35"/>
        <v>750</v>
      </c>
      <c r="CE12" s="1">
        <v>1.0</v>
      </c>
      <c r="CF12" s="4">
        <f t="shared" si="36"/>
        <v>580</v>
      </c>
      <c r="CG12" s="1">
        <v>1.0</v>
      </c>
      <c r="CH12" s="1">
        <v>2.0</v>
      </c>
      <c r="CI12" s="4">
        <f t="shared" si="37"/>
        <v>0.87</v>
      </c>
      <c r="CJ12" s="4">
        <f t="shared" si="38"/>
        <v>582</v>
      </c>
      <c r="CK12" s="1">
        <v>1.0</v>
      </c>
      <c r="CL12" s="1">
        <v>80.0</v>
      </c>
      <c r="CM12" s="1">
        <v>0.0</v>
      </c>
      <c r="CN12" s="1">
        <v>1.0</v>
      </c>
      <c r="CO12" s="4">
        <f t="shared" si="39"/>
        <v>0.05</v>
      </c>
      <c r="CP12" s="4">
        <f t="shared" si="40"/>
        <v>579</v>
      </c>
      <c r="CQ12" s="1">
        <v>2.0</v>
      </c>
      <c r="CR12" s="4">
        <f t="shared" si="41"/>
        <v>200.5</v>
      </c>
      <c r="CS12" s="1">
        <v>2.0</v>
      </c>
      <c r="CT12" s="1">
        <v>0.0</v>
      </c>
      <c r="CU12" s="4">
        <f t="shared" si="42"/>
        <v>0</v>
      </c>
      <c r="CV12" s="1">
        <f t="shared" si="43"/>
        <v>577</v>
      </c>
      <c r="CW12" s="1">
        <v>2.0</v>
      </c>
      <c r="CX12" s="4">
        <f t="shared" si="44"/>
        <v>250</v>
      </c>
      <c r="CY12" s="1">
        <v>2.0</v>
      </c>
      <c r="CZ12" s="1">
        <v>0.0</v>
      </c>
      <c r="DA12" s="4">
        <f t="shared" si="45"/>
        <v>0</v>
      </c>
      <c r="DB12" s="4">
        <f t="shared" ref="DB12:DE12" si="71">CV12</f>
        <v>577</v>
      </c>
      <c r="DC12" s="4">
        <f t="shared" si="71"/>
        <v>2</v>
      </c>
      <c r="DD12" s="4">
        <f t="shared" si="71"/>
        <v>250</v>
      </c>
      <c r="DE12" s="4">
        <f t="shared" si="71"/>
        <v>2</v>
      </c>
      <c r="DF12" s="1">
        <v>0.0</v>
      </c>
      <c r="DG12" s="4">
        <f t="shared" si="47"/>
        <v>0</v>
      </c>
      <c r="DH12" s="1">
        <v>1000.0</v>
      </c>
      <c r="DI12" s="1">
        <v>2.0</v>
      </c>
      <c r="DJ12" s="4">
        <f t="shared" si="48"/>
        <v>597</v>
      </c>
      <c r="DK12" s="1">
        <v>2.0</v>
      </c>
      <c r="DL12" s="1">
        <v>0.0</v>
      </c>
      <c r="DM12" s="4">
        <f t="shared" si="49"/>
        <v>0</v>
      </c>
      <c r="DN12" s="4">
        <f t="shared" si="50"/>
        <v>1.97</v>
      </c>
      <c r="DO12" s="4">
        <f t="shared" si="51"/>
        <v>1.48</v>
      </c>
      <c r="DP12" s="4"/>
      <c r="DQ12" s="4"/>
      <c r="DR12" s="4"/>
      <c r="DS12" s="4"/>
      <c r="DT12" s="4"/>
      <c r="DU12" s="4"/>
      <c r="DV12" s="4"/>
    </row>
    <row r="13">
      <c r="A13" s="3" t="s">
        <v>261</v>
      </c>
      <c r="B13" s="1">
        <v>600.0</v>
      </c>
      <c r="C13" s="1">
        <v>580.0</v>
      </c>
      <c r="D13" s="1">
        <v>850.0</v>
      </c>
      <c r="E13" s="4">
        <f t="shared" si="52"/>
        <v>15</v>
      </c>
      <c r="F13" s="4">
        <f t="shared" si="53"/>
        <v>18</v>
      </c>
      <c r="G13" s="4">
        <f t="shared" si="54"/>
        <v>6</v>
      </c>
      <c r="H13" s="4">
        <f t="shared" si="55"/>
        <v>100</v>
      </c>
      <c r="I13" s="4">
        <f t="shared" si="56"/>
        <v>100</v>
      </c>
      <c r="J13" s="4">
        <f t="shared" si="57"/>
        <v>13</v>
      </c>
      <c r="K13" s="4">
        <f t="shared" si="58"/>
        <v>20</v>
      </c>
      <c r="L13" s="4">
        <f t="shared" si="59"/>
        <v>6</v>
      </c>
      <c r="M13" s="4">
        <f t="shared" si="60"/>
        <v>2</v>
      </c>
      <c r="N13" s="4">
        <f t="shared" si="61"/>
        <v>10</v>
      </c>
      <c r="O13" s="4">
        <f t="shared" si="62"/>
        <v>8</v>
      </c>
      <c r="P13" s="4">
        <f t="shared" si="2"/>
        <v>600</v>
      </c>
      <c r="Q13" s="1">
        <v>0.0</v>
      </c>
      <c r="R13" s="1">
        <f t="shared" si="3"/>
        <v>100</v>
      </c>
      <c r="S13" s="1">
        <v>1.0</v>
      </c>
      <c r="T13" s="1">
        <v>1.0</v>
      </c>
      <c r="U13" s="4">
        <f t="shared" si="4"/>
        <v>0.06</v>
      </c>
      <c r="V13" s="4">
        <f t="shared" si="5"/>
        <v>462</v>
      </c>
      <c r="W13" s="1">
        <v>0.0</v>
      </c>
      <c r="X13" s="4">
        <f t="shared" si="6"/>
        <v>100</v>
      </c>
      <c r="Y13" s="1">
        <v>0.0</v>
      </c>
      <c r="Z13" s="1">
        <v>2.0</v>
      </c>
      <c r="AA13" s="4">
        <f t="shared" si="7"/>
        <v>0.1</v>
      </c>
      <c r="AB13" s="4">
        <f t="shared" si="8"/>
        <v>564</v>
      </c>
      <c r="AC13" s="1">
        <v>0.0</v>
      </c>
      <c r="AD13" s="4">
        <f t="shared" si="9"/>
        <v>100</v>
      </c>
      <c r="AE13" s="1">
        <v>0.0</v>
      </c>
      <c r="AF13" s="1">
        <v>1.0</v>
      </c>
      <c r="AG13" s="4">
        <f t="shared" si="10"/>
        <v>0.06</v>
      </c>
      <c r="AH13" s="1">
        <f t="shared" si="11"/>
        <v>582</v>
      </c>
      <c r="AI13" s="1">
        <v>1.0</v>
      </c>
      <c r="AJ13" s="1">
        <f t="shared" si="12"/>
        <v>574</v>
      </c>
      <c r="AK13" s="1">
        <v>0.0</v>
      </c>
      <c r="AL13" s="1">
        <v>2.0</v>
      </c>
      <c r="AM13" s="4">
        <f t="shared" si="13"/>
        <v>0.67</v>
      </c>
      <c r="AN13" s="1">
        <f t="shared" si="14"/>
        <v>732</v>
      </c>
      <c r="AO13" s="1">
        <v>1.0</v>
      </c>
      <c r="AP13" s="1">
        <f t="shared" si="15"/>
        <v>574</v>
      </c>
      <c r="AQ13" s="1">
        <v>0.0</v>
      </c>
      <c r="AR13" s="1">
        <v>2.0</v>
      </c>
      <c r="AS13" s="4">
        <f t="shared" si="16"/>
        <v>0.85</v>
      </c>
      <c r="AT13" s="1">
        <f t="shared" si="17"/>
        <v>762</v>
      </c>
      <c r="AU13" s="1">
        <v>0.0</v>
      </c>
      <c r="AV13" s="1">
        <f t="shared" si="18"/>
        <v>582</v>
      </c>
      <c r="AW13" s="1">
        <v>0.0</v>
      </c>
      <c r="AX13" s="1">
        <v>1.0</v>
      </c>
      <c r="AY13" s="4">
        <f t="shared" si="19"/>
        <v>0.45</v>
      </c>
      <c r="AZ13" s="4">
        <f t="shared" si="20"/>
        <v>552</v>
      </c>
      <c r="BA13" s="1">
        <v>1.0</v>
      </c>
      <c r="BB13" s="4">
        <f t="shared" si="21"/>
        <v>574</v>
      </c>
      <c r="BC13" s="1">
        <v>0.0</v>
      </c>
      <c r="BD13" s="1">
        <v>0.0</v>
      </c>
      <c r="BE13" s="4">
        <f t="shared" si="22"/>
        <v>0</v>
      </c>
      <c r="BF13" s="4">
        <f t="shared" si="23"/>
        <v>496</v>
      </c>
      <c r="BG13" s="1">
        <v>2.0</v>
      </c>
      <c r="BH13" s="4">
        <f t="shared" si="24"/>
        <v>176.5</v>
      </c>
      <c r="BI13" s="1">
        <v>0.0</v>
      </c>
      <c r="BJ13" s="1">
        <v>0.0</v>
      </c>
      <c r="BK13" s="4">
        <f t="shared" si="25"/>
        <v>0</v>
      </c>
      <c r="BL13" s="4">
        <f t="shared" si="26"/>
        <v>534</v>
      </c>
      <c r="BM13" s="1">
        <v>2.0</v>
      </c>
      <c r="BN13" s="4">
        <f t="shared" si="27"/>
        <v>176.5</v>
      </c>
      <c r="BO13" s="1">
        <v>2.0</v>
      </c>
      <c r="BP13" s="1">
        <v>0.0</v>
      </c>
      <c r="BQ13" s="4">
        <f t="shared" si="28"/>
        <v>0</v>
      </c>
      <c r="BR13" s="4">
        <f t="shared" si="29"/>
        <v>550</v>
      </c>
      <c r="BS13" s="1">
        <v>0.0</v>
      </c>
      <c r="BT13" s="4">
        <f t="shared" si="30"/>
        <v>512</v>
      </c>
      <c r="BU13" s="1">
        <v>0.0</v>
      </c>
      <c r="BV13" s="1">
        <v>0.0</v>
      </c>
      <c r="BW13" s="4">
        <f t="shared" si="31"/>
        <v>0</v>
      </c>
      <c r="BX13" s="4">
        <f t="shared" si="32"/>
        <v>582</v>
      </c>
      <c r="BY13" s="1">
        <v>1.0</v>
      </c>
      <c r="BZ13" s="4">
        <f t="shared" si="33"/>
        <v>574</v>
      </c>
      <c r="CA13" s="1">
        <v>0.0</v>
      </c>
      <c r="CB13" s="1">
        <v>1.0</v>
      </c>
      <c r="CC13" s="4">
        <f t="shared" si="34"/>
        <v>0.34</v>
      </c>
      <c r="CD13" s="4">
        <f t="shared" si="35"/>
        <v>750</v>
      </c>
      <c r="CE13" s="1">
        <v>1.0</v>
      </c>
      <c r="CF13" s="4">
        <f t="shared" si="36"/>
        <v>580</v>
      </c>
      <c r="CG13" s="1">
        <v>1.0</v>
      </c>
      <c r="CH13" s="1">
        <v>2.0</v>
      </c>
      <c r="CI13" s="4">
        <f t="shared" si="37"/>
        <v>0.87</v>
      </c>
      <c r="CJ13" s="4">
        <f t="shared" si="38"/>
        <v>582</v>
      </c>
      <c r="CK13" s="1">
        <v>1.0</v>
      </c>
      <c r="CL13" s="1">
        <v>80.0</v>
      </c>
      <c r="CM13" s="1">
        <v>0.0</v>
      </c>
      <c r="CN13" s="1">
        <v>1.0</v>
      </c>
      <c r="CO13" s="4">
        <f t="shared" si="39"/>
        <v>0.05</v>
      </c>
      <c r="CP13" s="4">
        <f t="shared" si="40"/>
        <v>579</v>
      </c>
      <c r="CQ13" s="1">
        <v>2.0</v>
      </c>
      <c r="CR13" s="4">
        <f t="shared" si="41"/>
        <v>200.5</v>
      </c>
      <c r="CS13" s="1">
        <v>2.0</v>
      </c>
      <c r="CT13" s="1">
        <v>0.0</v>
      </c>
      <c r="CU13" s="4">
        <f t="shared" si="42"/>
        <v>0</v>
      </c>
      <c r="CV13" s="1">
        <f t="shared" si="43"/>
        <v>577</v>
      </c>
      <c r="CW13" s="1">
        <v>2.0</v>
      </c>
      <c r="CX13" s="4">
        <f t="shared" si="44"/>
        <v>250</v>
      </c>
      <c r="CY13" s="1">
        <v>2.0</v>
      </c>
      <c r="CZ13" s="1">
        <v>0.0</v>
      </c>
      <c r="DA13" s="4">
        <f t="shared" si="45"/>
        <v>0</v>
      </c>
      <c r="DB13" s="4">
        <f t="shared" ref="DB13:DE13" si="72">CV13</f>
        <v>577</v>
      </c>
      <c r="DC13" s="4">
        <f t="shared" si="72"/>
        <v>2</v>
      </c>
      <c r="DD13" s="4">
        <f t="shared" si="72"/>
        <v>250</v>
      </c>
      <c r="DE13" s="4">
        <f t="shared" si="72"/>
        <v>2</v>
      </c>
      <c r="DF13" s="1">
        <v>0.0</v>
      </c>
      <c r="DG13" s="4">
        <f t="shared" si="47"/>
        <v>0</v>
      </c>
      <c r="DH13" s="1">
        <v>1000.0</v>
      </c>
      <c r="DI13" s="1">
        <v>2.0</v>
      </c>
      <c r="DJ13" s="4">
        <f t="shared" si="48"/>
        <v>597</v>
      </c>
      <c r="DK13" s="1">
        <v>2.0</v>
      </c>
      <c r="DL13" s="1">
        <v>0.0</v>
      </c>
      <c r="DM13" s="4">
        <f t="shared" si="49"/>
        <v>0</v>
      </c>
      <c r="DN13" s="4">
        <f t="shared" si="50"/>
        <v>1.97</v>
      </c>
      <c r="DO13" s="4">
        <f t="shared" si="51"/>
        <v>1.48</v>
      </c>
      <c r="DP13" s="4"/>
      <c r="DQ13" s="4"/>
      <c r="DR13" s="4"/>
      <c r="DS13" s="4"/>
      <c r="DT13" s="4"/>
      <c r="DU13" s="4"/>
      <c r="DV13" s="4"/>
    </row>
    <row r="14">
      <c r="A14" s="3" t="s">
        <v>262</v>
      </c>
      <c r="B14" s="1">
        <v>600.0</v>
      </c>
      <c r="C14" s="1">
        <v>580.0</v>
      </c>
      <c r="D14" s="1">
        <v>850.0</v>
      </c>
      <c r="E14" s="4">
        <f t="shared" si="52"/>
        <v>15</v>
      </c>
      <c r="F14" s="4">
        <f t="shared" si="53"/>
        <v>18</v>
      </c>
      <c r="G14" s="4">
        <f t="shared" si="54"/>
        <v>6</v>
      </c>
      <c r="H14" s="4">
        <f t="shared" si="55"/>
        <v>100</v>
      </c>
      <c r="I14" s="4">
        <f t="shared" si="56"/>
        <v>100</v>
      </c>
      <c r="J14" s="4">
        <f t="shared" si="57"/>
        <v>13</v>
      </c>
      <c r="K14" s="4">
        <f t="shared" si="58"/>
        <v>20</v>
      </c>
      <c r="L14" s="4">
        <f t="shared" si="59"/>
        <v>6</v>
      </c>
      <c r="M14" s="4">
        <f t="shared" si="60"/>
        <v>2</v>
      </c>
      <c r="N14" s="4">
        <f t="shared" si="61"/>
        <v>10</v>
      </c>
      <c r="O14" s="4">
        <f t="shared" si="62"/>
        <v>8</v>
      </c>
      <c r="P14" s="4">
        <f t="shared" si="2"/>
        <v>600</v>
      </c>
      <c r="Q14" s="1">
        <v>0.0</v>
      </c>
      <c r="R14" s="1">
        <f t="shared" si="3"/>
        <v>100</v>
      </c>
      <c r="S14" s="1">
        <v>1.0</v>
      </c>
      <c r="T14" s="1">
        <v>1.0</v>
      </c>
      <c r="U14" s="4">
        <f t="shared" si="4"/>
        <v>0.06</v>
      </c>
      <c r="V14" s="4">
        <f t="shared" si="5"/>
        <v>462</v>
      </c>
      <c r="W14" s="1">
        <v>0.0</v>
      </c>
      <c r="X14" s="4">
        <f t="shared" si="6"/>
        <v>100</v>
      </c>
      <c r="Y14" s="1">
        <v>0.0</v>
      </c>
      <c r="Z14" s="1">
        <v>2.0</v>
      </c>
      <c r="AA14" s="4">
        <f t="shared" si="7"/>
        <v>0.1</v>
      </c>
      <c r="AB14" s="4">
        <f t="shared" si="8"/>
        <v>564</v>
      </c>
      <c r="AC14" s="1">
        <v>0.0</v>
      </c>
      <c r="AD14" s="4">
        <f t="shared" si="9"/>
        <v>100</v>
      </c>
      <c r="AE14" s="1">
        <v>0.0</v>
      </c>
      <c r="AF14" s="1">
        <v>1.0</v>
      </c>
      <c r="AG14" s="4">
        <f t="shared" si="10"/>
        <v>0.06</v>
      </c>
      <c r="AH14" s="1">
        <f t="shared" si="11"/>
        <v>582</v>
      </c>
      <c r="AI14" s="1">
        <v>1.0</v>
      </c>
      <c r="AJ14" s="1">
        <f t="shared" si="12"/>
        <v>574</v>
      </c>
      <c r="AK14" s="1">
        <v>0.0</v>
      </c>
      <c r="AL14" s="1">
        <v>2.0</v>
      </c>
      <c r="AM14" s="4">
        <f t="shared" si="13"/>
        <v>0.67</v>
      </c>
      <c r="AN14" s="1">
        <f t="shared" si="14"/>
        <v>732</v>
      </c>
      <c r="AO14" s="1">
        <v>1.0</v>
      </c>
      <c r="AP14" s="1">
        <f t="shared" si="15"/>
        <v>574</v>
      </c>
      <c r="AQ14" s="1">
        <v>0.0</v>
      </c>
      <c r="AR14" s="1">
        <v>2.0</v>
      </c>
      <c r="AS14" s="4">
        <f t="shared" si="16"/>
        <v>0.85</v>
      </c>
      <c r="AT14" s="1">
        <f t="shared" si="17"/>
        <v>762</v>
      </c>
      <c r="AU14" s="1">
        <v>0.0</v>
      </c>
      <c r="AV14" s="1">
        <f t="shared" si="18"/>
        <v>582</v>
      </c>
      <c r="AW14" s="1">
        <v>0.0</v>
      </c>
      <c r="AX14" s="1">
        <v>1.0</v>
      </c>
      <c r="AY14" s="4">
        <f t="shared" si="19"/>
        <v>0.45</v>
      </c>
      <c r="AZ14" s="4">
        <f t="shared" si="20"/>
        <v>552</v>
      </c>
      <c r="BA14" s="1">
        <v>1.0</v>
      </c>
      <c r="BB14" s="4">
        <f t="shared" si="21"/>
        <v>574</v>
      </c>
      <c r="BC14" s="1">
        <v>0.0</v>
      </c>
      <c r="BD14" s="1">
        <v>0.0</v>
      </c>
      <c r="BE14" s="4">
        <f t="shared" si="22"/>
        <v>0</v>
      </c>
      <c r="BF14" s="4">
        <f t="shared" si="23"/>
        <v>496</v>
      </c>
      <c r="BG14" s="1">
        <v>2.0</v>
      </c>
      <c r="BH14" s="4">
        <f t="shared" si="24"/>
        <v>176.5</v>
      </c>
      <c r="BI14" s="1">
        <v>0.0</v>
      </c>
      <c r="BJ14" s="1">
        <v>0.0</v>
      </c>
      <c r="BK14" s="4">
        <f t="shared" si="25"/>
        <v>0</v>
      </c>
      <c r="BL14" s="4">
        <f t="shared" si="26"/>
        <v>534</v>
      </c>
      <c r="BM14" s="1">
        <v>2.0</v>
      </c>
      <c r="BN14" s="4">
        <f t="shared" si="27"/>
        <v>176.5</v>
      </c>
      <c r="BO14" s="1">
        <v>2.0</v>
      </c>
      <c r="BP14" s="1">
        <v>0.0</v>
      </c>
      <c r="BQ14" s="4">
        <f t="shared" si="28"/>
        <v>0</v>
      </c>
      <c r="BR14" s="4">
        <f t="shared" si="29"/>
        <v>550</v>
      </c>
      <c r="BS14" s="1">
        <v>0.0</v>
      </c>
      <c r="BT14" s="4">
        <f t="shared" si="30"/>
        <v>512</v>
      </c>
      <c r="BU14" s="1">
        <v>0.0</v>
      </c>
      <c r="BV14" s="1">
        <v>0.0</v>
      </c>
      <c r="BW14" s="4">
        <f t="shared" si="31"/>
        <v>0</v>
      </c>
      <c r="BX14" s="4">
        <f t="shared" si="32"/>
        <v>582</v>
      </c>
      <c r="BY14" s="1">
        <v>1.0</v>
      </c>
      <c r="BZ14" s="4">
        <f t="shared" si="33"/>
        <v>574</v>
      </c>
      <c r="CA14" s="1">
        <v>0.0</v>
      </c>
      <c r="CB14" s="1">
        <v>1.0</v>
      </c>
      <c r="CC14" s="4">
        <f t="shared" si="34"/>
        <v>0.34</v>
      </c>
      <c r="CD14" s="4">
        <f t="shared" si="35"/>
        <v>750</v>
      </c>
      <c r="CE14" s="1">
        <v>1.0</v>
      </c>
      <c r="CF14" s="4">
        <f t="shared" si="36"/>
        <v>580</v>
      </c>
      <c r="CG14" s="1">
        <v>1.0</v>
      </c>
      <c r="CH14" s="1">
        <v>2.0</v>
      </c>
      <c r="CI14" s="4">
        <f t="shared" si="37"/>
        <v>0.87</v>
      </c>
      <c r="CJ14" s="4">
        <f t="shared" si="38"/>
        <v>582</v>
      </c>
      <c r="CK14" s="1">
        <v>1.0</v>
      </c>
      <c r="CL14" s="1">
        <v>80.0</v>
      </c>
      <c r="CM14" s="1">
        <v>0.0</v>
      </c>
      <c r="CN14" s="1">
        <v>1.0</v>
      </c>
      <c r="CO14" s="4">
        <f t="shared" si="39"/>
        <v>0.05</v>
      </c>
      <c r="CP14" s="4">
        <f t="shared" si="40"/>
        <v>579</v>
      </c>
      <c r="CQ14" s="1">
        <v>2.0</v>
      </c>
      <c r="CR14" s="4">
        <f t="shared" si="41"/>
        <v>200.5</v>
      </c>
      <c r="CS14" s="1">
        <v>2.0</v>
      </c>
      <c r="CT14" s="1">
        <v>0.0</v>
      </c>
      <c r="CU14" s="4">
        <f t="shared" si="42"/>
        <v>0</v>
      </c>
      <c r="CV14" s="1">
        <f t="shared" si="43"/>
        <v>577</v>
      </c>
      <c r="CW14" s="1">
        <v>2.0</v>
      </c>
      <c r="CX14" s="4">
        <f t="shared" si="44"/>
        <v>250</v>
      </c>
      <c r="CY14" s="1">
        <v>2.0</v>
      </c>
      <c r="CZ14" s="1">
        <v>0.0</v>
      </c>
      <c r="DA14" s="4">
        <f t="shared" si="45"/>
        <v>0</v>
      </c>
      <c r="DB14" s="4">
        <f t="shared" ref="DB14:DE14" si="73">CV14</f>
        <v>577</v>
      </c>
      <c r="DC14" s="4">
        <f t="shared" si="73"/>
        <v>2</v>
      </c>
      <c r="DD14" s="4">
        <f t="shared" si="73"/>
        <v>250</v>
      </c>
      <c r="DE14" s="4">
        <f t="shared" si="73"/>
        <v>2</v>
      </c>
      <c r="DF14" s="1">
        <v>0.0</v>
      </c>
      <c r="DG14" s="4">
        <f t="shared" si="47"/>
        <v>0</v>
      </c>
      <c r="DH14" s="1">
        <v>1000.0</v>
      </c>
      <c r="DI14" s="1">
        <v>2.0</v>
      </c>
      <c r="DJ14" s="4">
        <f t="shared" si="48"/>
        <v>597</v>
      </c>
      <c r="DK14" s="1">
        <v>2.0</v>
      </c>
      <c r="DL14" s="1">
        <v>0.0</v>
      </c>
      <c r="DM14" s="4">
        <f t="shared" si="49"/>
        <v>0</v>
      </c>
      <c r="DN14" s="4">
        <f t="shared" si="50"/>
        <v>1.97</v>
      </c>
      <c r="DO14" s="4">
        <f t="shared" si="51"/>
        <v>1.48</v>
      </c>
      <c r="DP14" s="4"/>
      <c r="DQ14" s="4"/>
      <c r="DR14" s="4"/>
      <c r="DS14" s="4"/>
      <c r="DT14" s="4"/>
      <c r="DU14" s="4"/>
      <c r="DV14" s="4"/>
    </row>
    <row r="15">
      <c r="A15" s="3" t="s">
        <v>263</v>
      </c>
      <c r="B15" s="1">
        <v>600.0</v>
      </c>
      <c r="C15" s="1">
        <v>580.0</v>
      </c>
      <c r="D15" s="1">
        <v>850.0</v>
      </c>
      <c r="E15" s="4">
        <f t="shared" si="52"/>
        <v>15</v>
      </c>
      <c r="F15" s="4">
        <f t="shared" si="53"/>
        <v>18</v>
      </c>
      <c r="G15" s="4">
        <f t="shared" si="54"/>
        <v>6</v>
      </c>
      <c r="H15" s="4">
        <f t="shared" si="55"/>
        <v>100</v>
      </c>
      <c r="I15" s="4">
        <f t="shared" si="56"/>
        <v>100</v>
      </c>
      <c r="J15" s="4">
        <f t="shared" si="57"/>
        <v>13</v>
      </c>
      <c r="K15" s="4">
        <f t="shared" si="58"/>
        <v>20</v>
      </c>
      <c r="L15" s="4">
        <f t="shared" si="59"/>
        <v>6</v>
      </c>
      <c r="M15" s="4">
        <f t="shared" si="60"/>
        <v>2</v>
      </c>
      <c r="N15" s="4">
        <f t="shared" si="61"/>
        <v>10</v>
      </c>
      <c r="O15" s="4">
        <f t="shared" si="62"/>
        <v>8</v>
      </c>
      <c r="P15" s="4">
        <f t="shared" si="2"/>
        <v>600</v>
      </c>
      <c r="Q15" s="1">
        <v>0.0</v>
      </c>
      <c r="R15" s="1">
        <f t="shared" si="3"/>
        <v>100</v>
      </c>
      <c r="S15" s="1">
        <v>1.0</v>
      </c>
      <c r="T15" s="1">
        <v>1.0</v>
      </c>
      <c r="U15" s="4">
        <f t="shared" si="4"/>
        <v>0.06</v>
      </c>
      <c r="V15" s="4">
        <f t="shared" si="5"/>
        <v>462</v>
      </c>
      <c r="W15" s="1">
        <v>0.0</v>
      </c>
      <c r="X15" s="4">
        <f t="shared" si="6"/>
        <v>100</v>
      </c>
      <c r="Y15" s="1">
        <v>0.0</v>
      </c>
      <c r="Z15" s="1">
        <v>2.0</v>
      </c>
      <c r="AA15" s="4">
        <f t="shared" si="7"/>
        <v>0.1</v>
      </c>
      <c r="AB15" s="4">
        <f t="shared" si="8"/>
        <v>564</v>
      </c>
      <c r="AC15" s="1">
        <v>0.0</v>
      </c>
      <c r="AD15" s="4">
        <f t="shared" si="9"/>
        <v>100</v>
      </c>
      <c r="AE15" s="1">
        <v>0.0</v>
      </c>
      <c r="AF15" s="1">
        <v>1.0</v>
      </c>
      <c r="AG15" s="4">
        <f t="shared" si="10"/>
        <v>0.06</v>
      </c>
      <c r="AH15" s="1">
        <f t="shared" si="11"/>
        <v>582</v>
      </c>
      <c r="AI15" s="1">
        <v>1.0</v>
      </c>
      <c r="AJ15" s="1">
        <f t="shared" si="12"/>
        <v>574</v>
      </c>
      <c r="AK15" s="1">
        <v>0.0</v>
      </c>
      <c r="AL15" s="1">
        <v>2.0</v>
      </c>
      <c r="AM15" s="4">
        <f t="shared" si="13"/>
        <v>0.67</v>
      </c>
      <c r="AN15" s="1">
        <f t="shared" si="14"/>
        <v>732</v>
      </c>
      <c r="AO15" s="1">
        <v>1.0</v>
      </c>
      <c r="AP15" s="1">
        <f t="shared" si="15"/>
        <v>574</v>
      </c>
      <c r="AQ15" s="1">
        <v>0.0</v>
      </c>
      <c r="AR15" s="1">
        <v>2.0</v>
      </c>
      <c r="AS15" s="4">
        <f t="shared" si="16"/>
        <v>0.85</v>
      </c>
      <c r="AT15" s="1">
        <f t="shared" si="17"/>
        <v>762</v>
      </c>
      <c r="AU15" s="1">
        <v>0.0</v>
      </c>
      <c r="AV15" s="1">
        <f t="shared" si="18"/>
        <v>582</v>
      </c>
      <c r="AW15" s="1">
        <v>0.0</v>
      </c>
      <c r="AX15" s="1">
        <v>1.0</v>
      </c>
      <c r="AY15" s="4">
        <f t="shared" si="19"/>
        <v>0.45</v>
      </c>
      <c r="AZ15" s="4">
        <f t="shared" si="20"/>
        <v>552</v>
      </c>
      <c r="BA15" s="1">
        <v>1.0</v>
      </c>
      <c r="BB15" s="4">
        <f t="shared" si="21"/>
        <v>574</v>
      </c>
      <c r="BC15" s="1">
        <v>0.0</v>
      </c>
      <c r="BD15" s="1">
        <v>0.0</v>
      </c>
      <c r="BE15" s="4">
        <f t="shared" si="22"/>
        <v>0</v>
      </c>
      <c r="BF15" s="4">
        <f t="shared" si="23"/>
        <v>496</v>
      </c>
      <c r="BG15" s="1">
        <v>2.0</v>
      </c>
      <c r="BH15" s="4">
        <f t="shared" si="24"/>
        <v>176.5</v>
      </c>
      <c r="BI15" s="1">
        <v>0.0</v>
      </c>
      <c r="BJ15" s="1">
        <v>0.0</v>
      </c>
      <c r="BK15" s="4">
        <f t="shared" si="25"/>
        <v>0</v>
      </c>
      <c r="BL15" s="4">
        <f t="shared" si="26"/>
        <v>534</v>
      </c>
      <c r="BM15" s="1">
        <v>2.0</v>
      </c>
      <c r="BN15" s="4">
        <f t="shared" si="27"/>
        <v>176.5</v>
      </c>
      <c r="BO15" s="1">
        <v>2.0</v>
      </c>
      <c r="BP15" s="1">
        <v>0.0</v>
      </c>
      <c r="BQ15" s="4">
        <f t="shared" si="28"/>
        <v>0</v>
      </c>
      <c r="BR15" s="4">
        <f t="shared" si="29"/>
        <v>550</v>
      </c>
      <c r="BS15" s="1">
        <v>0.0</v>
      </c>
      <c r="BT15" s="4">
        <f t="shared" si="30"/>
        <v>512</v>
      </c>
      <c r="BU15" s="1">
        <v>0.0</v>
      </c>
      <c r="BV15" s="1">
        <v>0.0</v>
      </c>
      <c r="BW15" s="4">
        <f t="shared" si="31"/>
        <v>0</v>
      </c>
      <c r="BX15" s="4">
        <f t="shared" si="32"/>
        <v>582</v>
      </c>
      <c r="BY15" s="1">
        <v>1.0</v>
      </c>
      <c r="BZ15" s="4">
        <f t="shared" si="33"/>
        <v>574</v>
      </c>
      <c r="CA15" s="1">
        <v>0.0</v>
      </c>
      <c r="CB15" s="1">
        <v>1.0</v>
      </c>
      <c r="CC15" s="4">
        <f t="shared" si="34"/>
        <v>0.34</v>
      </c>
      <c r="CD15" s="4">
        <f t="shared" si="35"/>
        <v>750</v>
      </c>
      <c r="CE15" s="1">
        <v>1.0</v>
      </c>
      <c r="CF15" s="4">
        <f t="shared" si="36"/>
        <v>580</v>
      </c>
      <c r="CG15" s="1">
        <v>1.0</v>
      </c>
      <c r="CH15" s="1">
        <v>2.0</v>
      </c>
      <c r="CI15" s="4">
        <f t="shared" si="37"/>
        <v>0.87</v>
      </c>
      <c r="CJ15" s="4">
        <f t="shared" si="38"/>
        <v>582</v>
      </c>
      <c r="CK15" s="1">
        <v>1.0</v>
      </c>
      <c r="CL15" s="1">
        <v>80.0</v>
      </c>
      <c r="CM15" s="1">
        <v>0.0</v>
      </c>
      <c r="CN15" s="1">
        <v>1.0</v>
      </c>
      <c r="CO15" s="4">
        <f t="shared" si="39"/>
        <v>0.05</v>
      </c>
      <c r="CP15" s="4">
        <f t="shared" si="40"/>
        <v>579</v>
      </c>
      <c r="CQ15" s="1">
        <v>2.0</v>
      </c>
      <c r="CR15" s="4">
        <f t="shared" si="41"/>
        <v>200.5</v>
      </c>
      <c r="CS15" s="1">
        <v>2.0</v>
      </c>
      <c r="CT15" s="1">
        <v>0.0</v>
      </c>
      <c r="CU15" s="4">
        <f t="shared" si="42"/>
        <v>0</v>
      </c>
      <c r="CV15" s="1">
        <f t="shared" si="43"/>
        <v>577</v>
      </c>
      <c r="CW15" s="1">
        <v>2.0</v>
      </c>
      <c r="CX15" s="4">
        <f t="shared" si="44"/>
        <v>250</v>
      </c>
      <c r="CY15" s="1">
        <v>2.0</v>
      </c>
      <c r="CZ15" s="1">
        <v>0.0</v>
      </c>
      <c r="DA15" s="4">
        <f t="shared" si="45"/>
        <v>0</v>
      </c>
      <c r="DB15" s="4">
        <f t="shared" ref="DB15:DE15" si="74">CV15</f>
        <v>577</v>
      </c>
      <c r="DC15" s="4">
        <f t="shared" si="74"/>
        <v>2</v>
      </c>
      <c r="DD15" s="4">
        <f t="shared" si="74"/>
        <v>250</v>
      </c>
      <c r="DE15" s="4">
        <f t="shared" si="74"/>
        <v>2</v>
      </c>
      <c r="DF15" s="1">
        <v>0.0</v>
      </c>
      <c r="DG15" s="4">
        <f t="shared" si="47"/>
        <v>0</v>
      </c>
      <c r="DH15" s="1">
        <v>1000.0</v>
      </c>
      <c r="DI15" s="1">
        <v>2.0</v>
      </c>
      <c r="DJ15" s="4">
        <f t="shared" si="48"/>
        <v>597</v>
      </c>
      <c r="DK15" s="1">
        <v>2.0</v>
      </c>
      <c r="DL15" s="1">
        <v>0.0</v>
      </c>
      <c r="DM15" s="4">
        <f t="shared" si="49"/>
        <v>0</v>
      </c>
      <c r="DN15" s="4">
        <f t="shared" si="50"/>
        <v>1.97</v>
      </c>
      <c r="DO15" s="4">
        <f t="shared" si="51"/>
        <v>1.48</v>
      </c>
      <c r="DP15" s="4"/>
      <c r="DQ15" s="4"/>
      <c r="DR15" s="4"/>
      <c r="DS15" s="4"/>
      <c r="DT15" s="4"/>
      <c r="DU15" s="4"/>
      <c r="DV15" s="4"/>
    </row>
    <row r="16">
      <c r="A16" s="3" t="s">
        <v>264</v>
      </c>
      <c r="B16" s="1">
        <v>600.0</v>
      </c>
      <c r="C16" s="1">
        <v>580.0</v>
      </c>
      <c r="D16" s="1">
        <v>850.0</v>
      </c>
      <c r="E16" s="4">
        <f t="shared" si="52"/>
        <v>15</v>
      </c>
      <c r="F16" s="4">
        <f t="shared" si="53"/>
        <v>18</v>
      </c>
      <c r="G16" s="4">
        <f t="shared" si="54"/>
        <v>6</v>
      </c>
      <c r="H16" s="4">
        <f t="shared" si="55"/>
        <v>100</v>
      </c>
      <c r="I16" s="4">
        <f t="shared" si="56"/>
        <v>100</v>
      </c>
      <c r="J16" s="4">
        <f t="shared" si="57"/>
        <v>13</v>
      </c>
      <c r="K16" s="4">
        <f t="shared" si="58"/>
        <v>20</v>
      </c>
      <c r="L16" s="4">
        <f t="shared" si="59"/>
        <v>6</v>
      </c>
      <c r="M16" s="4">
        <f t="shared" si="60"/>
        <v>2</v>
      </c>
      <c r="N16" s="4">
        <f t="shared" si="61"/>
        <v>10</v>
      </c>
      <c r="O16" s="4">
        <f t="shared" si="62"/>
        <v>8</v>
      </c>
      <c r="P16" s="4">
        <f t="shared" si="2"/>
        <v>600</v>
      </c>
      <c r="Q16" s="1">
        <v>0.0</v>
      </c>
      <c r="R16" s="1">
        <f t="shared" si="3"/>
        <v>100</v>
      </c>
      <c r="S16" s="1">
        <v>1.0</v>
      </c>
      <c r="T16" s="1">
        <v>1.0</v>
      </c>
      <c r="U16" s="4">
        <f t="shared" si="4"/>
        <v>0.06</v>
      </c>
      <c r="V16" s="4">
        <f t="shared" si="5"/>
        <v>462</v>
      </c>
      <c r="W16" s="1">
        <v>0.0</v>
      </c>
      <c r="X16" s="4">
        <f t="shared" si="6"/>
        <v>100</v>
      </c>
      <c r="Y16" s="1">
        <v>0.0</v>
      </c>
      <c r="Z16" s="1">
        <v>2.0</v>
      </c>
      <c r="AA16" s="4">
        <f t="shared" si="7"/>
        <v>0.1</v>
      </c>
      <c r="AB16" s="4">
        <f t="shared" si="8"/>
        <v>564</v>
      </c>
      <c r="AC16" s="1">
        <v>0.0</v>
      </c>
      <c r="AD16" s="4">
        <f t="shared" si="9"/>
        <v>100</v>
      </c>
      <c r="AE16" s="1">
        <v>0.0</v>
      </c>
      <c r="AF16" s="1">
        <v>1.0</v>
      </c>
      <c r="AG16" s="4">
        <f t="shared" si="10"/>
        <v>0.06</v>
      </c>
      <c r="AH16" s="1">
        <f t="shared" si="11"/>
        <v>582</v>
      </c>
      <c r="AI16" s="1">
        <v>1.0</v>
      </c>
      <c r="AJ16" s="1">
        <f t="shared" si="12"/>
        <v>574</v>
      </c>
      <c r="AK16" s="1">
        <v>0.0</v>
      </c>
      <c r="AL16" s="1">
        <v>2.0</v>
      </c>
      <c r="AM16" s="4">
        <f t="shared" si="13"/>
        <v>0.67</v>
      </c>
      <c r="AN16" s="1">
        <f t="shared" si="14"/>
        <v>732</v>
      </c>
      <c r="AO16" s="1">
        <v>1.0</v>
      </c>
      <c r="AP16" s="1">
        <f t="shared" si="15"/>
        <v>574</v>
      </c>
      <c r="AQ16" s="1">
        <v>0.0</v>
      </c>
      <c r="AR16" s="1">
        <v>2.0</v>
      </c>
      <c r="AS16" s="4">
        <f t="shared" si="16"/>
        <v>0.85</v>
      </c>
      <c r="AT16" s="1">
        <f t="shared" si="17"/>
        <v>762</v>
      </c>
      <c r="AU16" s="1">
        <v>0.0</v>
      </c>
      <c r="AV16" s="1">
        <f t="shared" si="18"/>
        <v>582</v>
      </c>
      <c r="AW16" s="1">
        <v>0.0</v>
      </c>
      <c r="AX16" s="1">
        <v>1.0</v>
      </c>
      <c r="AY16" s="4">
        <f t="shared" si="19"/>
        <v>0.45</v>
      </c>
      <c r="AZ16" s="4">
        <f t="shared" si="20"/>
        <v>552</v>
      </c>
      <c r="BA16" s="1">
        <v>1.0</v>
      </c>
      <c r="BB16" s="4">
        <f t="shared" si="21"/>
        <v>574</v>
      </c>
      <c r="BC16" s="1">
        <v>0.0</v>
      </c>
      <c r="BD16" s="1">
        <v>0.0</v>
      </c>
      <c r="BE16" s="4">
        <f t="shared" si="22"/>
        <v>0</v>
      </c>
      <c r="BF16" s="4">
        <f t="shared" si="23"/>
        <v>496</v>
      </c>
      <c r="BG16" s="1">
        <v>2.0</v>
      </c>
      <c r="BH16" s="4">
        <f t="shared" si="24"/>
        <v>176.5</v>
      </c>
      <c r="BI16" s="1">
        <v>0.0</v>
      </c>
      <c r="BJ16" s="1">
        <v>0.0</v>
      </c>
      <c r="BK16" s="4">
        <f t="shared" si="25"/>
        <v>0</v>
      </c>
      <c r="BL16" s="4">
        <f t="shared" si="26"/>
        <v>534</v>
      </c>
      <c r="BM16" s="1">
        <v>2.0</v>
      </c>
      <c r="BN16" s="4">
        <f t="shared" si="27"/>
        <v>176.5</v>
      </c>
      <c r="BO16" s="1">
        <v>2.0</v>
      </c>
      <c r="BP16" s="1">
        <v>0.0</v>
      </c>
      <c r="BQ16" s="4">
        <f t="shared" si="28"/>
        <v>0</v>
      </c>
      <c r="BR16" s="4">
        <f t="shared" si="29"/>
        <v>550</v>
      </c>
      <c r="BS16" s="1">
        <v>0.0</v>
      </c>
      <c r="BT16" s="4">
        <f t="shared" si="30"/>
        <v>512</v>
      </c>
      <c r="BU16" s="1">
        <v>0.0</v>
      </c>
      <c r="BV16" s="1">
        <v>0.0</v>
      </c>
      <c r="BW16" s="4">
        <f t="shared" si="31"/>
        <v>0</v>
      </c>
      <c r="BX16" s="4">
        <f t="shared" si="32"/>
        <v>582</v>
      </c>
      <c r="BY16" s="1">
        <v>1.0</v>
      </c>
      <c r="BZ16" s="4">
        <f t="shared" si="33"/>
        <v>574</v>
      </c>
      <c r="CA16" s="1">
        <v>0.0</v>
      </c>
      <c r="CB16" s="1">
        <v>1.0</v>
      </c>
      <c r="CC16" s="4">
        <f t="shared" si="34"/>
        <v>0.34</v>
      </c>
      <c r="CD16" s="4">
        <f t="shared" si="35"/>
        <v>750</v>
      </c>
      <c r="CE16" s="1">
        <v>1.0</v>
      </c>
      <c r="CF16" s="4">
        <f t="shared" si="36"/>
        <v>580</v>
      </c>
      <c r="CG16" s="1">
        <v>1.0</v>
      </c>
      <c r="CH16" s="1">
        <v>2.0</v>
      </c>
      <c r="CI16" s="4">
        <f t="shared" si="37"/>
        <v>0.87</v>
      </c>
      <c r="CJ16" s="4">
        <f t="shared" si="38"/>
        <v>582</v>
      </c>
      <c r="CK16" s="1">
        <v>1.0</v>
      </c>
      <c r="CL16" s="1">
        <v>80.0</v>
      </c>
      <c r="CM16" s="1">
        <v>0.0</v>
      </c>
      <c r="CN16" s="1">
        <v>1.0</v>
      </c>
      <c r="CO16" s="4">
        <f t="shared" si="39"/>
        <v>0.05</v>
      </c>
      <c r="CP16" s="4">
        <f t="shared" si="40"/>
        <v>579</v>
      </c>
      <c r="CQ16" s="1">
        <v>2.0</v>
      </c>
      <c r="CR16" s="4">
        <f t="shared" si="41"/>
        <v>200.5</v>
      </c>
      <c r="CS16" s="1">
        <v>2.0</v>
      </c>
      <c r="CT16" s="1">
        <v>0.0</v>
      </c>
      <c r="CU16" s="4">
        <f t="shared" si="42"/>
        <v>0</v>
      </c>
      <c r="CV16" s="1">
        <f t="shared" si="43"/>
        <v>577</v>
      </c>
      <c r="CW16" s="1">
        <v>2.0</v>
      </c>
      <c r="CX16" s="4">
        <f t="shared" si="44"/>
        <v>250</v>
      </c>
      <c r="CY16" s="1">
        <v>2.0</v>
      </c>
      <c r="CZ16" s="1">
        <v>0.0</v>
      </c>
      <c r="DA16" s="4">
        <f t="shared" si="45"/>
        <v>0</v>
      </c>
      <c r="DB16" s="4">
        <f t="shared" ref="DB16:DE16" si="75">CV16</f>
        <v>577</v>
      </c>
      <c r="DC16" s="4">
        <f t="shared" si="75"/>
        <v>2</v>
      </c>
      <c r="DD16" s="4">
        <f t="shared" si="75"/>
        <v>250</v>
      </c>
      <c r="DE16" s="4">
        <f t="shared" si="75"/>
        <v>2</v>
      </c>
      <c r="DF16" s="1">
        <v>0.0</v>
      </c>
      <c r="DG16" s="4">
        <f t="shared" si="47"/>
        <v>0</v>
      </c>
      <c r="DH16" s="1">
        <v>1000.0</v>
      </c>
      <c r="DI16" s="1">
        <v>2.0</v>
      </c>
      <c r="DJ16" s="4">
        <f t="shared" si="48"/>
        <v>597</v>
      </c>
      <c r="DK16" s="1">
        <v>2.0</v>
      </c>
      <c r="DL16" s="1">
        <v>0.0</v>
      </c>
      <c r="DM16" s="4">
        <f t="shared" si="49"/>
        <v>0</v>
      </c>
      <c r="DN16" s="4">
        <f t="shared" si="50"/>
        <v>1.97</v>
      </c>
      <c r="DO16" s="4">
        <f t="shared" si="51"/>
        <v>1.48</v>
      </c>
      <c r="DP16" s="4"/>
      <c r="DQ16" s="4"/>
      <c r="DR16" s="4"/>
      <c r="DS16" s="4"/>
      <c r="DT16" s="4"/>
      <c r="DU16" s="4"/>
      <c r="DV16" s="4"/>
    </row>
    <row r="17">
      <c r="A17" s="3" t="s">
        <v>265</v>
      </c>
      <c r="B17" s="1">
        <v>600.0</v>
      </c>
      <c r="C17" s="1">
        <v>580.0</v>
      </c>
      <c r="D17" s="1">
        <v>850.0</v>
      </c>
      <c r="E17" s="4">
        <f t="shared" si="52"/>
        <v>15</v>
      </c>
      <c r="F17" s="4">
        <f t="shared" si="53"/>
        <v>18</v>
      </c>
      <c r="G17" s="4">
        <f t="shared" si="54"/>
        <v>6</v>
      </c>
      <c r="H17" s="4">
        <f t="shared" si="55"/>
        <v>100</v>
      </c>
      <c r="I17" s="4">
        <f t="shared" si="56"/>
        <v>100</v>
      </c>
      <c r="J17" s="4">
        <f t="shared" si="57"/>
        <v>13</v>
      </c>
      <c r="K17" s="4">
        <f t="shared" si="58"/>
        <v>20</v>
      </c>
      <c r="L17" s="4">
        <f t="shared" si="59"/>
        <v>6</v>
      </c>
      <c r="M17" s="4">
        <f t="shared" si="60"/>
        <v>2</v>
      </c>
      <c r="N17" s="4">
        <f t="shared" si="61"/>
        <v>10</v>
      </c>
      <c r="O17" s="4">
        <f t="shared" si="62"/>
        <v>8</v>
      </c>
      <c r="P17" s="4">
        <f t="shared" si="2"/>
        <v>600</v>
      </c>
      <c r="Q17" s="1">
        <v>0.0</v>
      </c>
      <c r="R17" s="1">
        <f t="shared" si="3"/>
        <v>100</v>
      </c>
      <c r="S17" s="1">
        <v>1.0</v>
      </c>
      <c r="T17" s="1">
        <v>1.0</v>
      </c>
      <c r="U17" s="4">
        <f t="shared" si="4"/>
        <v>0.06</v>
      </c>
      <c r="V17" s="4">
        <f t="shared" si="5"/>
        <v>462</v>
      </c>
      <c r="W17" s="1">
        <v>0.0</v>
      </c>
      <c r="X17" s="4">
        <f t="shared" si="6"/>
        <v>100</v>
      </c>
      <c r="Y17" s="1">
        <v>0.0</v>
      </c>
      <c r="Z17" s="1">
        <v>2.0</v>
      </c>
      <c r="AA17" s="4">
        <f t="shared" si="7"/>
        <v>0.1</v>
      </c>
      <c r="AB17" s="4">
        <f t="shared" si="8"/>
        <v>564</v>
      </c>
      <c r="AC17" s="1">
        <v>0.0</v>
      </c>
      <c r="AD17" s="4">
        <f t="shared" si="9"/>
        <v>100</v>
      </c>
      <c r="AE17" s="1">
        <v>0.0</v>
      </c>
      <c r="AF17" s="1">
        <v>1.0</v>
      </c>
      <c r="AG17" s="4">
        <f t="shared" si="10"/>
        <v>0.06</v>
      </c>
      <c r="AH17" s="1">
        <f t="shared" si="11"/>
        <v>582</v>
      </c>
      <c r="AI17" s="1">
        <v>1.0</v>
      </c>
      <c r="AJ17" s="1">
        <f t="shared" si="12"/>
        <v>574</v>
      </c>
      <c r="AK17" s="1">
        <v>0.0</v>
      </c>
      <c r="AL17" s="1">
        <v>2.0</v>
      </c>
      <c r="AM17" s="4">
        <f t="shared" si="13"/>
        <v>0.67</v>
      </c>
      <c r="AN17" s="1">
        <f t="shared" si="14"/>
        <v>732</v>
      </c>
      <c r="AO17" s="1">
        <v>1.0</v>
      </c>
      <c r="AP17" s="1">
        <f t="shared" si="15"/>
        <v>574</v>
      </c>
      <c r="AQ17" s="1">
        <v>0.0</v>
      </c>
      <c r="AR17" s="1">
        <v>2.0</v>
      </c>
      <c r="AS17" s="4">
        <f t="shared" si="16"/>
        <v>0.85</v>
      </c>
      <c r="AT17" s="1">
        <f t="shared" si="17"/>
        <v>762</v>
      </c>
      <c r="AU17" s="1">
        <v>0.0</v>
      </c>
      <c r="AV17" s="1">
        <f t="shared" si="18"/>
        <v>582</v>
      </c>
      <c r="AW17" s="1">
        <v>0.0</v>
      </c>
      <c r="AX17" s="1">
        <v>1.0</v>
      </c>
      <c r="AY17" s="4">
        <f t="shared" si="19"/>
        <v>0.45</v>
      </c>
      <c r="AZ17" s="4">
        <f t="shared" si="20"/>
        <v>552</v>
      </c>
      <c r="BA17" s="1">
        <v>1.0</v>
      </c>
      <c r="BB17" s="4">
        <f t="shared" si="21"/>
        <v>574</v>
      </c>
      <c r="BC17" s="1">
        <v>0.0</v>
      </c>
      <c r="BD17" s="1">
        <v>0.0</v>
      </c>
      <c r="BE17" s="4">
        <f t="shared" si="22"/>
        <v>0</v>
      </c>
      <c r="BF17" s="4">
        <f t="shared" si="23"/>
        <v>496</v>
      </c>
      <c r="BG17" s="1">
        <v>2.0</v>
      </c>
      <c r="BH17" s="4">
        <f t="shared" si="24"/>
        <v>176.5</v>
      </c>
      <c r="BI17" s="1">
        <v>0.0</v>
      </c>
      <c r="BJ17" s="1">
        <v>0.0</v>
      </c>
      <c r="BK17" s="4">
        <f t="shared" si="25"/>
        <v>0</v>
      </c>
      <c r="BL17" s="4">
        <f t="shared" si="26"/>
        <v>534</v>
      </c>
      <c r="BM17" s="1">
        <v>2.0</v>
      </c>
      <c r="BN17" s="4">
        <f t="shared" si="27"/>
        <v>176.5</v>
      </c>
      <c r="BO17" s="1">
        <v>2.0</v>
      </c>
      <c r="BP17" s="1">
        <v>0.0</v>
      </c>
      <c r="BQ17" s="4">
        <f t="shared" si="28"/>
        <v>0</v>
      </c>
      <c r="BR17" s="4">
        <f t="shared" si="29"/>
        <v>550</v>
      </c>
      <c r="BS17" s="1">
        <v>0.0</v>
      </c>
      <c r="BT17" s="4">
        <f t="shared" si="30"/>
        <v>512</v>
      </c>
      <c r="BU17" s="1">
        <v>0.0</v>
      </c>
      <c r="BV17" s="1">
        <v>0.0</v>
      </c>
      <c r="BW17" s="4">
        <f t="shared" si="31"/>
        <v>0</v>
      </c>
      <c r="BX17" s="4">
        <f t="shared" si="32"/>
        <v>582</v>
      </c>
      <c r="BY17" s="1">
        <v>1.0</v>
      </c>
      <c r="BZ17" s="4">
        <f t="shared" si="33"/>
        <v>574</v>
      </c>
      <c r="CA17" s="1">
        <v>0.0</v>
      </c>
      <c r="CB17" s="1">
        <v>1.0</v>
      </c>
      <c r="CC17" s="4">
        <f t="shared" si="34"/>
        <v>0.34</v>
      </c>
      <c r="CD17" s="4">
        <f t="shared" si="35"/>
        <v>750</v>
      </c>
      <c r="CE17" s="1">
        <v>1.0</v>
      </c>
      <c r="CF17" s="4">
        <f t="shared" si="36"/>
        <v>580</v>
      </c>
      <c r="CG17" s="1">
        <v>1.0</v>
      </c>
      <c r="CH17" s="1">
        <v>2.0</v>
      </c>
      <c r="CI17" s="4">
        <f t="shared" si="37"/>
        <v>0.87</v>
      </c>
      <c r="CJ17" s="4">
        <f t="shared" si="38"/>
        <v>582</v>
      </c>
      <c r="CK17" s="1">
        <v>1.0</v>
      </c>
      <c r="CL17" s="1">
        <v>80.0</v>
      </c>
      <c r="CM17" s="1">
        <v>0.0</v>
      </c>
      <c r="CN17" s="1">
        <v>1.0</v>
      </c>
      <c r="CO17" s="4">
        <f t="shared" si="39"/>
        <v>0.05</v>
      </c>
      <c r="CP17" s="4">
        <f t="shared" si="40"/>
        <v>579</v>
      </c>
      <c r="CQ17" s="1">
        <v>2.0</v>
      </c>
      <c r="CR17" s="4">
        <f t="shared" si="41"/>
        <v>200.5</v>
      </c>
      <c r="CS17" s="1">
        <v>2.0</v>
      </c>
      <c r="CT17" s="1">
        <v>0.0</v>
      </c>
      <c r="CU17" s="4">
        <f t="shared" si="42"/>
        <v>0</v>
      </c>
      <c r="CV17" s="1">
        <f t="shared" si="43"/>
        <v>577</v>
      </c>
      <c r="CW17" s="1">
        <v>2.0</v>
      </c>
      <c r="CX17" s="4">
        <f t="shared" si="44"/>
        <v>250</v>
      </c>
      <c r="CY17" s="1">
        <v>2.0</v>
      </c>
      <c r="CZ17" s="1">
        <v>0.0</v>
      </c>
      <c r="DA17" s="4">
        <f t="shared" si="45"/>
        <v>0</v>
      </c>
      <c r="DB17" s="4">
        <f t="shared" ref="DB17:DE17" si="76">CV17</f>
        <v>577</v>
      </c>
      <c r="DC17" s="4">
        <f t="shared" si="76"/>
        <v>2</v>
      </c>
      <c r="DD17" s="4">
        <f t="shared" si="76"/>
        <v>250</v>
      </c>
      <c r="DE17" s="4">
        <f t="shared" si="76"/>
        <v>2</v>
      </c>
      <c r="DF17" s="1">
        <v>0.0</v>
      </c>
      <c r="DG17" s="4">
        <f t="shared" si="47"/>
        <v>0</v>
      </c>
      <c r="DH17" s="1">
        <v>1000.0</v>
      </c>
      <c r="DI17" s="1">
        <v>2.0</v>
      </c>
      <c r="DJ17" s="4">
        <f t="shared" si="48"/>
        <v>597</v>
      </c>
      <c r="DK17" s="1">
        <v>2.0</v>
      </c>
      <c r="DL17" s="1">
        <v>0.0</v>
      </c>
      <c r="DM17" s="4">
        <f t="shared" si="49"/>
        <v>0</v>
      </c>
      <c r="DN17" s="4">
        <f t="shared" si="50"/>
        <v>1.97</v>
      </c>
      <c r="DO17" s="4">
        <f t="shared" si="51"/>
        <v>1.48</v>
      </c>
      <c r="DP17" s="4"/>
      <c r="DQ17" s="4"/>
      <c r="DR17" s="4"/>
      <c r="DS17" s="4"/>
      <c r="DT17" s="4"/>
      <c r="DU17" s="4"/>
      <c r="DV17" s="4"/>
    </row>
    <row r="18">
      <c r="A18" s="3" t="s">
        <v>266</v>
      </c>
      <c r="B18" s="1">
        <v>600.0</v>
      </c>
      <c r="C18" s="1">
        <v>580.0</v>
      </c>
      <c r="D18" s="1">
        <v>1930.0</v>
      </c>
      <c r="E18" s="4">
        <f t="shared" si="52"/>
        <v>15</v>
      </c>
      <c r="F18" s="4">
        <f t="shared" si="53"/>
        <v>18</v>
      </c>
      <c r="G18" s="4">
        <f t="shared" si="54"/>
        <v>6</v>
      </c>
      <c r="H18" s="4">
        <f t="shared" si="55"/>
        <v>100</v>
      </c>
      <c r="I18" s="4">
        <f t="shared" si="56"/>
        <v>100</v>
      </c>
      <c r="J18" s="4">
        <f t="shared" si="57"/>
        <v>13</v>
      </c>
      <c r="K18" s="4">
        <f t="shared" si="58"/>
        <v>20</v>
      </c>
      <c r="L18" s="4">
        <f t="shared" si="59"/>
        <v>6</v>
      </c>
      <c r="M18" s="4">
        <f t="shared" si="60"/>
        <v>2</v>
      </c>
      <c r="N18" s="4">
        <f t="shared" si="61"/>
        <v>10</v>
      </c>
      <c r="O18" s="4">
        <f t="shared" si="62"/>
        <v>8</v>
      </c>
      <c r="P18" s="4">
        <f t="shared" si="2"/>
        <v>600</v>
      </c>
      <c r="Q18" s="1">
        <v>0.0</v>
      </c>
      <c r="R18" s="1">
        <f t="shared" si="3"/>
        <v>100</v>
      </c>
      <c r="S18" s="1">
        <v>1.0</v>
      </c>
      <c r="T18" s="1">
        <v>1.0</v>
      </c>
      <c r="U18" s="4">
        <f t="shared" si="4"/>
        <v>0.06</v>
      </c>
      <c r="V18" s="4">
        <f t="shared" si="5"/>
        <v>462</v>
      </c>
      <c r="W18" s="1">
        <v>0.0</v>
      </c>
      <c r="X18" s="4">
        <f t="shared" si="6"/>
        <v>100</v>
      </c>
      <c r="Y18" s="1">
        <v>0.0</v>
      </c>
      <c r="Z18" s="1">
        <v>2.0</v>
      </c>
      <c r="AA18" s="4">
        <f t="shared" si="7"/>
        <v>0.1</v>
      </c>
      <c r="AB18" s="4">
        <f t="shared" si="8"/>
        <v>564</v>
      </c>
      <c r="AC18" s="1">
        <v>0.0</v>
      </c>
      <c r="AD18" s="4">
        <f t="shared" si="9"/>
        <v>100</v>
      </c>
      <c r="AE18" s="1">
        <v>0.0</v>
      </c>
      <c r="AF18" s="1">
        <v>1.0</v>
      </c>
      <c r="AG18" s="4">
        <f t="shared" si="10"/>
        <v>0.06</v>
      </c>
      <c r="AH18" s="1">
        <f t="shared" si="11"/>
        <v>582</v>
      </c>
      <c r="AI18" s="1">
        <v>1.0</v>
      </c>
      <c r="AJ18" s="1">
        <f t="shared" si="12"/>
        <v>574</v>
      </c>
      <c r="AK18" s="1">
        <v>0.0</v>
      </c>
      <c r="AL18" s="1">
        <v>2.0</v>
      </c>
      <c r="AM18" s="4">
        <f t="shared" si="13"/>
        <v>0.67</v>
      </c>
      <c r="AN18" s="1">
        <f t="shared" si="14"/>
        <v>1812</v>
      </c>
      <c r="AO18" s="1">
        <v>1.0</v>
      </c>
      <c r="AP18" s="1">
        <f t="shared" si="15"/>
        <v>574</v>
      </c>
      <c r="AQ18" s="1">
        <v>0.0</v>
      </c>
      <c r="AR18" s="1">
        <v>2.0</v>
      </c>
      <c r="AS18" s="4">
        <f t="shared" si="16"/>
        <v>2.09</v>
      </c>
      <c r="AT18" s="1">
        <f t="shared" si="17"/>
        <v>1842</v>
      </c>
      <c r="AU18" s="1">
        <v>0.0</v>
      </c>
      <c r="AV18" s="1">
        <f t="shared" si="18"/>
        <v>582</v>
      </c>
      <c r="AW18" s="1">
        <v>0.0</v>
      </c>
      <c r="AX18" s="1">
        <v>1.0</v>
      </c>
      <c r="AY18" s="4">
        <f t="shared" si="19"/>
        <v>1.08</v>
      </c>
      <c r="AZ18" s="4">
        <f t="shared" si="20"/>
        <v>552</v>
      </c>
      <c r="BA18" s="1">
        <v>1.0</v>
      </c>
      <c r="BB18" s="4">
        <f t="shared" si="21"/>
        <v>574</v>
      </c>
      <c r="BC18" s="1">
        <v>0.0</v>
      </c>
      <c r="BD18" s="1">
        <v>0.0</v>
      </c>
      <c r="BE18" s="4">
        <f t="shared" si="22"/>
        <v>0</v>
      </c>
      <c r="BF18" s="4">
        <f t="shared" si="23"/>
        <v>496</v>
      </c>
      <c r="BG18" s="1">
        <v>2.0</v>
      </c>
      <c r="BH18" s="4">
        <f t="shared" si="24"/>
        <v>446.5</v>
      </c>
      <c r="BI18" s="1">
        <v>0.0</v>
      </c>
      <c r="BJ18" s="1">
        <v>0.0</v>
      </c>
      <c r="BK18" s="4">
        <f t="shared" si="25"/>
        <v>0</v>
      </c>
      <c r="BL18" s="4">
        <f t="shared" si="26"/>
        <v>534</v>
      </c>
      <c r="BM18" s="1">
        <v>2.0</v>
      </c>
      <c r="BN18" s="4">
        <f t="shared" si="27"/>
        <v>446.5</v>
      </c>
      <c r="BO18" s="1">
        <v>2.0</v>
      </c>
      <c r="BP18" s="1">
        <v>0.0</v>
      </c>
      <c r="BQ18" s="4">
        <f t="shared" si="28"/>
        <v>0</v>
      </c>
      <c r="BR18" s="4">
        <f t="shared" si="29"/>
        <v>550</v>
      </c>
      <c r="BS18" s="1">
        <v>0.0</v>
      </c>
      <c r="BT18" s="4">
        <f t="shared" si="30"/>
        <v>512</v>
      </c>
      <c r="BU18" s="1">
        <v>0.0</v>
      </c>
      <c r="BV18" s="1">
        <v>0.0</v>
      </c>
      <c r="BW18" s="4">
        <f t="shared" si="31"/>
        <v>0</v>
      </c>
      <c r="BX18" s="4">
        <f t="shared" si="32"/>
        <v>582</v>
      </c>
      <c r="BY18" s="1">
        <v>1.0</v>
      </c>
      <c r="BZ18" s="4">
        <f t="shared" si="33"/>
        <v>574</v>
      </c>
      <c r="CA18" s="1">
        <v>0.0</v>
      </c>
      <c r="CB18" s="1">
        <v>1.0</v>
      </c>
      <c r="CC18" s="4">
        <f t="shared" si="34"/>
        <v>0.34</v>
      </c>
      <c r="CD18" s="4">
        <f t="shared" si="35"/>
        <v>1830</v>
      </c>
      <c r="CE18" s="1">
        <v>1.0</v>
      </c>
      <c r="CF18" s="4">
        <f t="shared" si="36"/>
        <v>580</v>
      </c>
      <c r="CG18" s="1">
        <v>1.0</v>
      </c>
      <c r="CH18" s="1">
        <v>2.0</v>
      </c>
      <c r="CI18" s="4">
        <f t="shared" si="37"/>
        <v>2.13</v>
      </c>
      <c r="CJ18" s="4">
        <f t="shared" si="38"/>
        <v>582</v>
      </c>
      <c r="CK18" s="1">
        <v>1.0</v>
      </c>
      <c r="CL18" s="1">
        <v>80.0</v>
      </c>
      <c r="CM18" s="1">
        <v>0.0</v>
      </c>
      <c r="CN18" s="1">
        <v>1.0</v>
      </c>
      <c r="CO18" s="4">
        <f t="shared" si="39"/>
        <v>0.05</v>
      </c>
      <c r="CP18" s="4">
        <f t="shared" si="40"/>
        <v>579</v>
      </c>
      <c r="CQ18" s="1">
        <v>2.0</v>
      </c>
      <c r="CR18" s="4">
        <f t="shared" si="41"/>
        <v>470.5</v>
      </c>
      <c r="CS18" s="1">
        <v>2.0</v>
      </c>
      <c r="CT18" s="1">
        <v>0.0</v>
      </c>
      <c r="CU18" s="4">
        <f t="shared" si="42"/>
        <v>0</v>
      </c>
      <c r="CV18" s="1">
        <f t="shared" si="43"/>
        <v>577</v>
      </c>
      <c r="CW18" s="1">
        <v>2.0</v>
      </c>
      <c r="CX18" s="4">
        <f t="shared" si="44"/>
        <v>1330</v>
      </c>
      <c r="CY18" s="1">
        <v>2.0</v>
      </c>
      <c r="CZ18" s="1">
        <v>0.0</v>
      </c>
      <c r="DA18" s="4">
        <f t="shared" si="45"/>
        <v>0</v>
      </c>
      <c r="DB18" s="4">
        <f t="shared" ref="DB18:DE18" si="77">CV18</f>
        <v>577</v>
      </c>
      <c r="DC18" s="4">
        <f t="shared" si="77"/>
        <v>2</v>
      </c>
      <c r="DD18" s="4">
        <f t="shared" si="77"/>
        <v>1330</v>
      </c>
      <c r="DE18" s="4">
        <f t="shared" si="77"/>
        <v>2</v>
      </c>
      <c r="DF18" s="1">
        <v>0.0</v>
      </c>
      <c r="DG18" s="4">
        <f t="shared" si="47"/>
        <v>0</v>
      </c>
      <c r="DH18" s="1">
        <v>1000.0</v>
      </c>
      <c r="DI18" s="1">
        <v>2.0</v>
      </c>
      <c r="DJ18" s="4">
        <f t="shared" si="48"/>
        <v>597</v>
      </c>
      <c r="DK18" s="1">
        <v>2.0</v>
      </c>
      <c r="DL18" s="1">
        <v>0.0</v>
      </c>
      <c r="DM18" s="4">
        <f t="shared" si="49"/>
        <v>0</v>
      </c>
      <c r="DN18" s="4">
        <f t="shared" si="50"/>
        <v>3.84</v>
      </c>
      <c r="DO18" s="4">
        <f t="shared" si="51"/>
        <v>2.74</v>
      </c>
      <c r="DP18" s="4"/>
      <c r="DQ18" s="4"/>
      <c r="DR18" s="4"/>
      <c r="DS18" s="4"/>
      <c r="DT18" s="4"/>
      <c r="DU18" s="4"/>
      <c r="DV18" s="4"/>
    </row>
    <row r="19">
      <c r="A19" s="3" t="s">
        <v>268</v>
      </c>
      <c r="B19" s="1">
        <v>600.0</v>
      </c>
      <c r="C19" s="1">
        <v>580.0</v>
      </c>
      <c r="D19" s="1">
        <v>1930.0</v>
      </c>
      <c r="E19" s="4">
        <f t="shared" si="52"/>
        <v>15</v>
      </c>
      <c r="F19" s="4">
        <f t="shared" si="53"/>
        <v>18</v>
      </c>
      <c r="G19" s="4">
        <f t="shared" si="54"/>
        <v>6</v>
      </c>
      <c r="H19" s="4">
        <f t="shared" si="55"/>
        <v>100</v>
      </c>
      <c r="I19" s="4">
        <f t="shared" si="56"/>
        <v>100</v>
      </c>
      <c r="J19" s="4">
        <f t="shared" si="57"/>
        <v>13</v>
      </c>
      <c r="K19" s="4">
        <f t="shared" si="58"/>
        <v>20</v>
      </c>
      <c r="L19" s="4">
        <f t="shared" si="59"/>
        <v>6</v>
      </c>
      <c r="M19" s="4">
        <f t="shared" si="60"/>
        <v>2</v>
      </c>
      <c r="N19" s="4">
        <f t="shared" si="61"/>
        <v>10</v>
      </c>
      <c r="O19" s="4">
        <f t="shared" si="62"/>
        <v>8</v>
      </c>
      <c r="P19" s="4">
        <f t="shared" si="2"/>
        <v>600</v>
      </c>
      <c r="Q19" s="1">
        <v>0.0</v>
      </c>
      <c r="R19" s="1">
        <f t="shared" si="3"/>
        <v>100</v>
      </c>
      <c r="S19" s="1">
        <v>1.0</v>
      </c>
      <c r="T19" s="1">
        <v>1.0</v>
      </c>
      <c r="U19" s="4">
        <f t="shared" si="4"/>
        <v>0.06</v>
      </c>
      <c r="V19" s="4">
        <f t="shared" si="5"/>
        <v>462</v>
      </c>
      <c r="W19" s="1">
        <v>0.0</v>
      </c>
      <c r="X19" s="4">
        <f t="shared" si="6"/>
        <v>100</v>
      </c>
      <c r="Y19" s="1">
        <v>0.0</v>
      </c>
      <c r="Z19" s="1">
        <v>2.0</v>
      </c>
      <c r="AA19" s="4">
        <f t="shared" si="7"/>
        <v>0.1</v>
      </c>
      <c r="AB19" s="4">
        <f t="shared" si="8"/>
        <v>564</v>
      </c>
      <c r="AC19" s="1">
        <v>0.0</v>
      </c>
      <c r="AD19" s="4">
        <f t="shared" si="9"/>
        <v>100</v>
      </c>
      <c r="AE19" s="1">
        <v>0.0</v>
      </c>
      <c r="AF19" s="1">
        <v>1.0</v>
      </c>
      <c r="AG19" s="4">
        <f t="shared" si="10"/>
        <v>0.06</v>
      </c>
      <c r="AH19" s="1">
        <f t="shared" si="11"/>
        <v>582</v>
      </c>
      <c r="AI19" s="1">
        <v>1.0</v>
      </c>
      <c r="AJ19" s="1">
        <f t="shared" si="12"/>
        <v>574</v>
      </c>
      <c r="AK19" s="1">
        <v>0.0</v>
      </c>
      <c r="AL19" s="1">
        <v>2.0</v>
      </c>
      <c r="AM19" s="4">
        <f t="shared" si="13"/>
        <v>0.67</v>
      </c>
      <c r="AN19" s="1">
        <f t="shared" si="14"/>
        <v>1812</v>
      </c>
      <c r="AO19" s="1">
        <v>1.0</v>
      </c>
      <c r="AP19" s="1">
        <f t="shared" si="15"/>
        <v>574</v>
      </c>
      <c r="AQ19" s="1">
        <v>0.0</v>
      </c>
      <c r="AR19" s="1">
        <v>2.0</v>
      </c>
      <c r="AS19" s="4">
        <f t="shared" si="16"/>
        <v>2.09</v>
      </c>
      <c r="AT19" s="1">
        <f t="shared" si="17"/>
        <v>1842</v>
      </c>
      <c r="AU19" s="1">
        <v>0.0</v>
      </c>
      <c r="AV19" s="1">
        <f t="shared" si="18"/>
        <v>582</v>
      </c>
      <c r="AW19" s="1">
        <v>0.0</v>
      </c>
      <c r="AX19" s="1">
        <v>1.0</v>
      </c>
      <c r="AY19" s="4">
        <f t="shared" si="19"/>
        <v>1.08</v>
      </c>
      <c r="AZ19" s="4">
        <f t="shared" si="20"/>
        <v>552</v>
      </c>
      <c r="BA19" s="1">
        <v>1.0</v>
      </c>
      <c r="BB19" s="4">
        <f t="shared" si="21"/>
        <v>574</v>
      </c>
      <c r="BC19" s="1">
        <v>0.0</v>
      </c>
      <c r="BD19" s="1">
        <v>0.0</v>
      </c>
      <c r="BE19" s="4">
        <f t="shared" si="22"/>
        <v>0</v>
      </c>
      <c r="BF19" s="4">
        <f t="shared" si="23"/>
        <v>496</v>
      </c>
      <c r="BG19" s="1">
        <v>2.0</v>
      </c>
      <c r="BH19" s="4">
        <f t="shared" si="24"/>
        <v>446.5</v>
      </c>
      <c r="BI19" s="1">
        <v>0.0</v>
      </c>
      <c r="BJ19" s="1">
        <v>0.0</v>
      </c>
      <c r="BK19" s="4">
        <f t="shared" si="25"/>
        <v>0</v>
      </c>
      <c r="BL19" s="4">
        <f t="shared" si="26"/>
        <v>534</v>
      </c>
      <c r="BM19" s="1">
        <v>2.0</v>
      </c>
      <c r="BN19" s="4">
        <f t="shared" si="27"/>
        <v>446.5</v>
      </c>
      <c r="BO19" s="1">
        <v>2.0</v>
      </c>
      <c r="BP19" s="1">
        <v>0.0</v>
      </c>
      <c r="BQ19" s="4">
        <f t="shared" si="28"/>
        <v>0</v>
      </c>
      <c r="BR19" s="4">
        <f t="shared" si="29"/>
        <v>550</v>
      </c>
      <c r="BS19" s="1">
        <v>0.0</v>
      </c>
      <c r="BT19" s="4">
        <f t="shared" si="30"/>
        <v>512</v>
      </c>
      <c r="BU19" s="1">
        <v>0.0</v>
      </c>
      <c r="BV19" s="1">
        <v>0.0</v>
      </c>
      <c r="BW19" s="4">
        <f t="shared" si="31"/>
        <v>0</v>
      </c>
      <c r="BX19" s="4">
        <f t="shared" si="32"/>
        <v>582</v>
      </c>
      <c r="BY19" s="1">
        <v>1.0</v>
      </c>
      <c r="BZ19" s="4">
        <f t="shared" si="33"/>
        <v>574</v>
      </c>
      <c r="CA19" s="1">
        <v>0.0</v>
      </c>
      <c r="CB19" s="1">
        <v>1.0</v>
      </c>
      <c r="CC19" s="4">
        <f t="shared" si="34"/>
        <v>0.34</v>
      </c>
      <c r="CD19" s="4">
        <f t="shared" si="35"/>
        <v>1830</v>
      </c>
      <c r="CE19" s="1">
        <v>1.0</v>
      </c>
      <c r="CF19" s="4">
        <f t="shared" si="36"/>
        <v>580</v>
      </c>
      <c r="CG19" s="1">
        <v>1.0</v>
      </c>
      <c r="CH19" s="1">
        <v>2.0</v>
      </c>
      <c r="CI19" s="4">
        <f t="shared" si="37"/>
        <v>2.13</v>
      </c>
      <c r="CJ19" s="4">
        <f t="shared" si="38"/>
        <v>582</v>
      </c>
      <c r="CK19" s="1">
        <v>1.0</v>
      </c>
      <c r="CL19" s="1">
        <v>80.0</v>
      </c>
      <c r="CM19" s="1">
        <v>0.0</v>
      </c>
      <c r="CN19" s="1">
        <v>1.0</v>
      </c>
      <c r="CO19" s="4">
        <f t="shared" si="39"/>
        <v>0.05</v>
      </c>
      <c r="CP19" s="4">
        <f t="shared" si="40"/>
        <v>579</v>
      </c>
      <c r="CQ19" s="1">
        <v>2.0</v>
      </c>
      <c r="CR19" s="4">
        <f t="shared" si="41"/>
        <v>470.5</v>
      </c>
      <c r="CS19" s="1">
        <v>2.0</v>
      </c>
      <c r="CT19" s="1">
        <v>0.0</v>
      </c>
      <c r="CU19" s="4">
        <f t="shared" si="42"/>
        <v>0</v>
      </c>
      <c r="CV19" s="1">
        <f t="shared" si="43"/>
        <v>577</v>
      </c>
      <c r="CW19" s="1">
        <v>2.0</v>
      </c>
      <c r="CX19" s="4">
        <f t="shared" si="44"/>
        <v>1330</v>
      </c>
      <c r="CY19" s="1">
        <v>2.0</v>
      </c>
      <c r="CZ19" s="1">
        <v>0.0</v>
      </c>
      <c r="DA19" s="4">
        <f t="shared" si="45"/>
        <v>0</v>
      </c>
      <c r="DB19" s="4">
        <f t="shared" ref="DB19:DE19" si="78">CV19</f>
        <v>577</v>
      </c>
      <c r="DC19" s="4">
        <f t="shared" si="78"/>
        <v>2</v>
      </c>
      <c r="DD19" s="4">
        <f t="shared" si="78"/>
        <v>1330</v>
      </c>
      <c r="DE19" s="4">
        <f t="shared" si="78"/>
        <v>2</v>
      </c>
      <c r="DF19" s="1">
        <v>0.0</v>
      </c>
      <c r="DG19" s="4">
        <f t="shared" si="47"/>
        <v>0</v>
      </c>
      <c r="DH19" s="1">
        <v>1000.0</v>
      </c>
      <c r="DI19" s="1">
        <v>2.0</v>
      </c>
      <c r="DJ19" s="4">
        <f t="shared" si="48"/>
        <v>597</v>
      </c>
      <c r="DK19" s="1">
        <v>2.0</v>
      </c>
      <c r="DL19" s="1">
        <v>0.0</v>
      </c>
      <c r="DM19" s="4">
        <f t="shared" si="49"/>
        <v>0</v>
      </c>
      <c r="DN19" s="4">
        <f t="shared" si="50"/>
        <v>3.84</v>
      </c>
      <c r="DO19" s="4">
        <f t="shared" si="51"/>
        <v>2.74</v>
      </c>
      <c r="DP19" s="4"/>
      <c r="DQ19" s="4"/>
      <c r="DR19" s="4"/>
      <c r="DS19" s="4"/>
      <c r="DT19" s="4"/>
      <c r="DU19" s="4"/>
      <c r="DV19" s="4"/>
    </row>
    <row r="20">
      <c r="A20" s="3" t="s">
        <v>269</v>
      </c>
      <c r="B20" s="1">
        <v>600.0</v>
      </c>
      <c r="C20" s="1">
        <v>580.0</v>
      </c>
      <c r="D20" s="1">
        <v>1930.0</v>
      </c>
      <c r="E20" s="4">
        <f t="shared" si="52"/>
        <v>15</v>
      </c>
      <c r="F20" s="4">
        <f t="shared" si="53"/>
        <v>18</v>
      </c>
      <c r="G20" s="4">
        <f t="shared" si="54"/>
        <v>6</v>
      </c>
      <c r="H20" s="4">
        <f t="shared" si="55"/>
        <v>100</v>
      </c>
      <c r="I20" s="4">
        <f t="shared" si="56"/>
        <v>100</v>
      </c>
      <c r="J20" s="4">
        <f t="shared" si="57"/>
        <v>13</v>
      </c>
      <c r="K20" s="4">
        <f t="shared" si="58"/>
        <v>20</v>
      </c>
      <c r="L20" s="4">
        <f t="shared" si="59"/>
        <v>6</v>
      </c>
      <c r="M20" s="4">
        <f t="shared" si="60"/>
        <v>2</v>
      </c>
      <c r="N20" s="4">
        <f t="shared" si="61"/>
        <v>10</v>
      </c>
      <c r="O20" s="4">
        <f t="shared" si="62"/>
        <v>8</v>
      </c>
      <c r="P20" s="4">
        <f t="shared" si="2"/>
        <v>600</v>
      </c>
      <c r="Q20" s="1">
        <v>0.0</v>
      </c>
      <c r="R20" s="1">
        <f t="shared" si="3"/>
        <v>100</v>
      </c>
      <c r="S20" s="1">
        <v>1.0</v>
      </c>
      <c r="T20" s="1">
        <v>1.0</v>
      </c>
      <c r="U20" s="4">
        <f t="shared" si="4"/>
        <v>0.06</v>
      </c>
      <c r="V20" s="4">
        <f t="shared" si="5"/>
        <v>462</v>
      </c>
      <c r="W20" s="1">
        <v>0.0</v>
      </c>
      <c r="X20" s="4">
        <f t="shared" si="6"/>
        <v>100</v>
      </c>
      <c r="Y20" s="1">
        <v>0.0</v>
      </c>
      <c r="Z20" s="1">
        <v>2.0</v>
      </c>
      <c r="AA20" s="4">
        <f t="shared" si="7"/>
        <v>0.1</v>
      </c>
      <c r="AB20" s="4">
        <f t="shared" si="8"/>
        <v>564</v>
      </c>
      <c r="AC20" s="1">
        <v>0.0</v>
      </c>
      <c r="AD20" s="4">
        <f t="shared" si="9"/>
        <v>100</v>
      </c>
      <c r="AE20" s="1">
        <v>0.0</v>
      </c>
      <c r="AF20" s="1">
        <v>1.0</v>
      </c>
      <c r="AG20" s="4">
        <f t="shared" si="10"/>
        <v>0.06</v>
      </c>
      <c r="AH20" s="1">
        <f t="shared" si="11"/>
        <v>582</v>
      </c>
      <c r="AI20" s="1">
        <v>1.0</v>
      </c>
      <c r="AJ20" s="1">
        <f t="shared" si="12"/>
        <v>574</v>
      </c>
      <c r="AK20" s="1">
        <v>0.0</v>
      </c>
      <c r="AL20" s="1">
        <v>2.0</v>
      </c>
      <c r="AM20" s="4">
        <f t="shared" si="13"/>
        <v>0.67</v>
      </c>
      <c r="AN20" s="1">
        <f t="shared" si="14"/>
        <v>1812</v>
      </c>
      <c r="AO20" s="1">
        <v>1.0</v>
      </c>
      <c r="AP20" s="1">
        <f t="shared" si="15"/>
        <v>574</v>
      </c>
      <c r="AQ20" s="1">
        <v>0.0</v>
      </c>
      <c r="AR20" s="1">
        <v>2.0</v>
      </c>
      <c r="AS20" s="4">
        <f t="shared" si="16"/>
        <v>2.09</v>
      </c>
      <c r="AT20" s="1">
        <f t="shared" si="17"/>
        <v>1842</v>
      </c>
      <c r="AU20" s="1">
        <v>0.0</v>
      </c>
      <c r="AV20" s="1">
        <f t="shared" si="18"/>
        <v>582</v>
      </c>
      <c r="AW20" s="1">
        <v>0.0</v>
      </c>
      <c r="AX20" s="1">
        <v>1.0</v>
      </c>
      <c r="AY20" s="4">
        <f t="shared" si="19"/>
        <v>1.08</v>
      </c>
      <c r="AZ20" s="4">
        <f t="shared" si="20"/>
        <v>552</v>
      </c>
      <c r="BA20" s="1">
        <v>1.0</v>
      </c>
      <c r="BB20" s="4">
        <f t="shared" si="21"/>
        <v>574</v>
      </c>
      <c r="BC20" s="1">
        <v>0.0</v>
      </c>
      <c r="BD20" s="1">
        <v>0.0</v>
      </c>
      <c r="BE20" s="4">
        <f t="shared" si="22"/>
        <v>0</v>
      </c>
      <c r="BF20" s="4">
        <f t="shared" si="23"/>
        <v>496</v>
      </c>
      <c r="BG20" s="1">
        <v>2.0</v>
      </c>
      <c r="BH20" s="4">
        <f t="shared" si="24"/>
        <v>446.5</v>
      </c>
      <c r="BI20" s="1">
        <v>0.0</v>
      </c>
      <c r="BJ20" s="1">
        <v>0.0</v>
      </c>
      <c r="BK20" s="4">
        <f t="shared" si="25"/>
        <v>0</v>
      </c>
      <c r="BL20" s="4">
        <f t="shared" si="26"/>
        <v>534</v>
      </c>
      <c r="BM20" s="1">
        <v>2.0</v>
      </c>
      <c r="BN20" s="4">
        <f t="shared" si="27"/>
        <v>446.5</v>
      </c>
      <c r="BO20" s="1">
        <v>2.0</v>
      </c>
      <c r="BP20" s="1">
        <v>0.0</v>
      </c>
      <c r="BQ20" s="4">
        <f t="shared" si="28"/>
        <v>0</v>
      </c>
      <c r="BR20" s="4">
        <f t="shared" si="29"/>
        <v>550</v>
      </c>
      <c r="BS20" s="1">
        <v>0.0</v>
      </c>
      <c r="BT20" s="4">
        <f t="shared" si="30"/>
        <v>512</v>
      </c>
      <c r="BU20" s="1">
        <v>0.0</v>
      </c>
      <c r="BV20" s="1">
        <v>0.0</v>
      </c>
      <c r="BW20" s="4">
        <f t="shared" si="31"/>
        <v>0</v>
      </c>
      <c r="BX20" s="4">
        <f t="shared" si="32"/>
        <v>582</v>
      </c>
      <c r="BY20" s="1">
        <v>1.0</v>
      </c>
      <c r="BZ20" s="4">
        <f t="shared" si="33"/>
        <v>574</v>
      </c>
      <c r="CA20" s="1">
        <v>0.0</v>
      </c>
      <c r="CB20" s="1">
        <v>1.0</v>
      </c>
      <c r="CC20" s="4">
        <f t="shared" si="34"/>
        <v>0.34</v>
      </c>
      <c r="CD20" s="4">
        <f t="shared" si="35"/>
        <v>1830</v>
      </c>
      <c r="CE20" s="1">
        <v>1.0</v>
      </c>
      <c r="CF20" s="4">
        <f t="shared" si="36"/>
        <v>580</v>
      </c>
      <c r="CG20" s="1">
        <v>1.0</v>
      </c>
      <c r="CH20" s="1">
        <v>2.0</v>
      </c>
      <c r="CI20" s="4">
        <f t="shared" si="37"/>
        <v>2.13</v>
      </c>
      <c r="CJ20" s="4">
        <f t="shared" si="38"/>
        <v>582</v>
      </c>
      <c r="CK20" s="1">
        <v>1.0</v>
      </c>
      <c r="CL20" s="1">
        <v>80.0</v>
      </c>
      <c r="CM20" s="1">
        <v>0.0</v>
      </c>
      <c r="CN20" s="1">
        <v>1.0</v>
      </c>
      <c r="CO20" s="4">
        <f t="shared" si="39"/>
        <v>0.05</v>
      </c>
      <c r="CP20" s="4">
        <f t="shared" si="40"/>
        <v>579</v>
      </c>
      <c r="CQ20" s="1">
        <v>2.0</v>
      </c>
      <c r="CR20" s="4">
        <f t="shared" si="41"/>
        <v>470.5</v>
      </c>
      <c r="CS20" s="1">
        <v>2.0</v>
      </c>
      <c r="CT20" s="1">
        <v>0.0</v>
      </c>
      <c r="CU20" s="4">
        <f t="shared" si="42"/>
        <v>0</v>
      </c>
      <c r="CV20" s="1">
        <f t="shared" si="43"/>
        <v>577</v>
      </c>
      <c r="CW20" s="1">
        <v>2.0</v>
      </c>
      <c r="CX20" s="4">
        <f t="shared" si="44"/>
        <v>1330</v>
      </c>
      <c r="CY20" s="1">
        <v>2.0</v>
      </c>
      <c r="CZ20" s="1">
        <v>0.0</v>
      </c>
      <c r="DA20" s="4">
        <f t="shared" si="45"/>
        <v>0</v>
      </c>
      <c r="DB20" s="4">
        <f t="shared" ref="DB20:DE20" si="79">CV20</f>
        <v>577</v>
      </c>
      <c r="DC20" s="4">
        <f t="shared" si="79"/>
        <v>2</v>
      </c>
      <c r="DD20" s="4">
        <f t="shared" si="79"/>
        <v>1330</v>
      </c>
      <c r="DE20" s="4">
        <f t="shared" si="79"/>
        <v>2</v>
      </c>
      <c r="DF20" s="1">
        <v>0.0</v>
      </c>
      <c r="DG20" s="4">
        <f t="shared" si="47"/>
        <v>0</v>
      </c>
      <c r="DH20" s="1">
        <v>1000.0</v>
      </c>
      <c r="DI20" s="1">
        <v>2.0</v>
      </c>
      <c r="DJ20" s="4">
        <f t="shared" si="48"/>
        <v>597</v>
      </c>
      <c r="DK20" s="1">
        <v>2.0</v>
      </c>
      <c r="DL20" s="1">
        <v>0.0</v>
      </c>
      <c r="DM20" s="4">
        <f t="shared" si="49"/>
        <v>0</v>
      </c>
      <c r="DN20" s="4">
        <f t="shared" si="50"/>
        <v>3.84</v>
      </c>
      <c r="DO20" s="4">
        <f t="shared" si="51"/>
        <v>2.74</v>
      </c>
      <c r="DP20" s="4"/>
      <c r="DQ20" s="4"/>
      <c r="DR20" s="4"/>
      <c r="DS20" s="4"/>
      <c r="DT20" s="4"/>
      <c r="DU20" s="4"/>
      <c r="DV20" s="4"/>
    </row>
    <row r="21">
      <c r="A21" s="3" t="s">
        <v>270</v>
      </c>
      <c r="B21" s="1">
        <v>600.0</v>
      </c>
      <c r="C21" s="1">
        <v>580.0</v>
      </c>
      <c r="D21" s="1">
        <v>1930.0</v>
      </c>
      <c r="E21" s="4">
        <f t="shared" si="52"/>
        <v>15</v>
      </c>
      <c r="F21" s="4">
        <f t="shared" si="53"/>
        <v>18</v>
      </c>
      <c r="G21" s="4">
        <f t="shared" si="54"/>
        <v>6</v>
      </c>
      <c r="H21" s="4">
        <f t="shared" si="55"/>
        <v>100</v>
      </c>
      <c r="I21" s="4">
        <f t="shared" si="56"/>
        <v>100</v>
      </c>
      <c r="J21" s="4">
        <f t="shared" si="57"/>
        <v>13</v>
      </c>
      <c r="K21" s="4">
        <f t="shared" si="58"/>
        <v>20</v>
      </c>
      <c r="L21" s="4">
        <f t="shared" si="59"/>
        <v>6</v>
      </c>
      <c r="M21" s="4">
        <f t="shared" si="60"/>
        <v>2</v>
      </c>
      <c r="N21" s="4">
        <f t="shared" si="61"/>
        <v>10</v>
      </c>
      <c r="O21" s="4">
        <f t="shared" si="62"/>
        <v>8</v>
      </c>
      <c r="P21" s="4">
        <f t="shared" si="2"/>
        <v>600</v>
      </c>
      <c r="Q21" s="1">
        <v>0.0</v>
      </c>
      <c r="R21" s="1">
        <f t="shared" si="3"/>
        <v>100</v>
      </c>
      <c r="S21" s="1">
        <v>1.0</v>
      </c>
      <c r="T21" s="1">
        <v>1.0</v>
      </c>
      <c r="U21" s="4">
        <f t="shared" si="4"/>
        <v>0.06</v>
      </c>
      <c r="V21" s="4">
        <f t="shared" si="5"/>
        <v>462</v>
      </c>
      <c r="W21" s="1">
        <v>0.0</v>
      </c>
      <c r="X21" s="4">
        <f t="shared" si="6"/>
        <v>100</v>
      </c>
      <c r="Y21" s="1">
        <v>0.0</v>
      </c>
      <c r="Z21" s="1">
        <v>2.0</v>
      </c>
      <c r="AA21" s="4">
        <f t="shared" si="7"/>
        <v>0.1</v>
      </c>
      <c r="AB21" s="4">
        <f t="shared" si="8"/>
        <v>564</v>
      </c>
      <c r="AC21" s="1">
        <v>0.0</v>
      </c>
      <c r="AD21" s="4">
        <f t="shared" si="9"/>
        <v>100</v>
      </c>
      <c r="AE21" s="1">
        <v>0.0</v>
      </c>
      <c r="AF21" s="1">
        <v>1.0</v>
      </c>
      <c r="AG21" s="4">
        <f t="shared" si="10"/>
        <v>0.06</v>
      </c>
      <c r="AH21" s="1">
        <f t="shared" si="11"/>
        <v>582</v>
      </c>
      <c r="AI21" s="1">
        <v>1.0</v>
      </c>
      <c r="AJ21" s="1">
        <f t="shared" si="12"/>
        <v>574</v>
      </c>
      <c r="AK21" s="1">
        <v>0.0</v>
      </c>
      <c r="AL21" s="1">
        <v>2.0</v>
      </c>
      <c r="AM21" s="4">
        <f t="shared" si="13"/>
        <v>0.67</v>
      </c>
      <c r="AN21" s="1">
        <f t="shared" si="14"/>
        <v>1812</v>
      </c>
      <c r="AO21" s="1">
        <v>1.0</v>
      </c>
      <c r="AP21" s="1">
        <f t="shared" si="15"/>
        <v>574</v>
      </c>
      <c r="AQ21" s="1">
        <v>0.0</v>
      </c>
      <c r="AR21" s="1">
        <v>2.0</v>
      </c>
      <c r="AS21" s="4">
        <f t="shared" si="16"/>
        <v>2.09</v>
      </c>
      <c r="AT21" s="1">
        <f t="shared" si="17"/>
        <v>1842</v>
      </c>
      <c r="AU21" s="1">
        <v>0.0</v>
      </c>
      <c r="AV21" s="1">
        <f t="shared" si="18"/>
        <v>582</v>
      </c>
      <c r="AW21" s="1">
        <v>0.0</v>
      </c>
      <c r="AX21" s="1">
        <v>1.0</v>
      </c>
      <c r="AY21" s="4">
        <f t="shared" si="19"/>
        <v>1.08</v>
      </c>
      <c r="AZ21" s="4">
        <f t="shared" si="20"/>
        <v>552</v>
      </c>
      <c r="BA21" s="1">
        <v>1.0</v>
      </c>
      <c r="BB21" s="4">
        <f t="shared" si="21"/>
        <v>574</v>
      </c>
      <c r="BC21" s="1">
        <v>0.0</v>
      </c>
      <c r="BD21" s="1">
        <v>0.0</v>
      </c>
      <c r="BE21" s="4">
        <f t="shared" si="22"/>
        <v>0</v>
      </c>
      <c r="BF21" s="4">
        <f t="shared" si="23"/>
        <v>496</v>
      </c>
      <c r="BG21" s="1">
        <v>2.0</v>
      </c>
      <c r="BH21" s="4">
        <f t="shared" si="24"/>
        <v>446.5</v>
      </c>
      <c r="BI21" s="1">
        <v>0.0</v>
      </c>
      <c r="BJ21" s="1">
        <v>0.0</v>
      </c>
      <c r="BK21" s="4">
        <f t="shared" si="25"/>
        <v>0</v>
      </c>
      <c r="BL21" s="4">
        <f t="shared" si="26"/>
        <v>534</v>
      </c>
      <c r="BM21" s="1">
        <v>2.0</v>
      </c>
      <c r="BN21" s="4">
        <f t="shared" si="27"/>
        <v>446.5</v>
      </c>
      <c r="BO21" s="1">
        <v>2.0</v>
      </c>
      <c r="BP21" s="1">
        <v>0.0</v>
      </c>
      <c r="BQ21" s="4">
        <f t="shared" si="28"/>
        <v>0</v>
      </c>
      <c r="BR21" s="4">
        <f t="shared" si="29"/>
        <v>550</v>
      </c>
      <c r="BS21" s="1">
        <v>0.0</v>
      </c>
      <c r="BT21" s="4">
        <f t="shared" si="30"/>
        <v>512</v>
      </c>
      <c r="BU21" s="1">
        <v>0.0</v>
      </c>
      <c r="BV21" s="1">
        <v>0.0</v>
      </c>
      <c r="BW21" s="4">
        <f t="shared" si="31"/>
        <v>0</v>
      </c>
      <c r="BX21" s="4">
        <f t="shared" si="32"/>
        <v>582</v>
      </c>
      <c r="BY21" s="1">
        <v>1.0</v>
      </c>
      <c r="BZ21" s="4">
        <f t="shared" si="33"/>
        <v>574</v>
      </c>
      <c r="CA21" s="1">
        <v>0.0</v>
      </c>
      <c r="CB21" s="1">
        <v>1.0</v>
      </c>
      <c r="CC21" s="4">
        <f t="shared" si="34"/>
        <v>0.34</v>
      </c>
      <c r="CD21" s="4">
        <f t="shared" si="35"/>
        <v>1830</v>
      </c>
      <c r="CE21" s="1">
        <v>1.0</v>
      </c>
      <c r="CF21" s="4">
        <f t="shared" si="36"/>
        <v>580</v>
      </c>
      <c r="CG21" s="1">
        <v>1.0</v>
      </c>
      <c r="CH21" s="1">
        <v>2.0</v>
      </c>
      <c r="CI21" s="4">
        <f t="shared" si="37"/>
        <v>2.13</v>
      </c>
      <c r="CJ21" s="4">
        <f t="shared" si="38"/>
        <v>582</v>
      </c>
      <c r="CK21" s="1">
        <v>1.0</v>
      </c>
      <c r="CL21" s="1">
        <v>80.0</v>
      </c>
      <c r="CM21" s="1">
        <v>0.0</v>
      </c>
      <c r="CN21" s="1">
        <v>1.0</v>
      </c>
      <c r="CO21" s="4">
        <f t="shared" si="39"/>
        <v>0.05</v>
      </c>
      <c r="CP21" s="4">
        <f t="shared" si="40"/>
        <v>579</v>
      </c>
      <c r="CQ21" s="1">
        <v>2.0</v>
      </c>
      <c r="CR21" s="4">
        <f t="shared" si="41"/>
        <v>470.5</v>
      </c>
      <c r="CS21" s="1">
        <v>2.0</v>
      </c>
      <c r="CT21" s="1">
        <v>0.0</v>
      </c>
      <c r="CU21" s="4">
        <f t="shared" si="42"/>
        <v>0</v>
      </c>
      <c r="CV21" s="1">
        <f t="shared" si="43"/>
        <v>577</v>
      </c>
      <c r="CW21" s="1">
        <v>2.0</v>
      </c>
      <c r="CX21" s="4">
        <f t="shared" si="44"/>
        <v>1330</v>
      </c>
      <c r="CY21" s="1">
        <v>2.0</v>
      </c>
      <c r="CZ21" s="1">
        <v>0.0</v>
      </c>
      <c r="DA21" s="4">
        <f t="shared" si="45"/>
        <v>0</v>
      </c>
      <c r="DB21" s="4">
        <f t="shared" ref="DB21:DE21" si="80">CV21</f>
        <v>577</v>
      </c>
      <c r="DC21" s="4">
        <f t="shared" si="80"/>
        <v>2</v>
      </c>
      <c r="DD21" s="4">
        <f t="shared" si="80"/>
        <v>1330</v>
      </c>
      <c r="DE21" s="4">
        <f t="shared" si="80"/>
        <v>2</v>
      </c>
      <c r="DF21" s="1">
        <v>0.0</v>
      </c>
      <c r="DG21" s="4">
        <f t="shared" si="47"/>
        <v>0</v>
      </c>
      <c r="DH21" s="1">
        <v>1000.0</v>
      </c>
      <c r="DI21" s="1">
        <v>2.0</v>
      </c>
      <c r="DJ21" s="4">
        <f t="shared" si="48"/>
        <v>597</v>
      </c>
      <c r="DK21" s="1">
        <v>2.0</v>
      </c>
      <c r="DL21" s="1">
        <v>0.0</v>
      </c>
      <c r="DM21" s="4">
        <f t="shared" si="49"/>
        <v>0</v>
      </c>
      <c r="DN21" s="4">
        <f t="shared" si="50"/>
        <v>3.84</v>
      </c>
      <c r="DO21" s="4">
        <f t="shared" si="51"/>
        <v>2.74</v>
      </c>
      <c r="DP21" s="4"/>
      <c r="DQ21" s="4"/>
      <c r="DR21" s="4"/>
      <c r="DS21" s="4"/>
      <c r="DT21" s="4"/>
      <c r="DU21" s="4"/>
      <c r="DV21" s="4"/>
    </row>
    <row r="22">
      <c r="A22" s="3" t="s">
        <v>271</v>
      </c>
      <c r="B22" s="1">
        <v>600.0</v>
      </c>
      <c r="C22" s="1">
        <v>580.0</v>
      </c>
      <c r="D22" s="1">
        <v>1930.0</v>
      </c>
      <c r="E22" s="4">
        <f t="shared" si="52"/>
        <v>15</v>
      </c>
      <c r="F22" s="4">
        <f t="shared" si="53"/>
        <v>18</v>
      </c>
      <c r="G22" s="4">
        <f t="shared" si="54"/>
        <v>6</v>
      </c>
      <c r="H22" s="4">
        <f t="shared" si="55"/>
        <v>100</v>
      </c>
      <c r="I22" s="4">
        <f t="shared" si="56"/>
        <v>100</v>
      </c>
      <c r="J22" s="4">
        <f t="shared" si="57"/>
        <v>13</v>
      </c>
      <c r="K22" s="4">
        <f t="shared" si="58"/>
        <v>20</v>
      </c>
      <c r="L22" s="4">
        <f t="shared" si="59"/>
        <v>6</v>
      </c>
      <c r="M22" s="4">
        <f t="shared" si="60"/>
        <v>2</v>
      </c>
      <c r="N22" s="4">
        <f t="shared" si="61"/>
        <v>10</v>
      </c>
      <c r="O22" s="4">
        <f t="shared" si="62"/>
        <v>8</v>
      </c>
      <c r="P22" s="4">
        <f t="shared" si="2"/>
        <v>600</v>
      </c>
      <c r="Q22" s="1">
        <v>0.0</v>
      </c>
      <c r="R22" s="1">
        <f t="shared" si="3"/>
        <v>100</v>
      </c>
      <c r="S22" s="1">
        <v>1.0</v>
      </c>
      <c r="T22" s="1">
        <v>1.0</v>
      </c>
      <c r="U22" s="4">
        <f t="shared" si="4"/>
        <v>0.06</v>
      </c>
      <c r="V22" s="4">
        <f t="shared" si="5"/>
        <v>462</v>
      </c>
      <c r="W22" s="1">
        <v>0.0</v>
      </c>
      <c r="X22" s="4">
        <f t="shared" si="6"/>
        <v>100</v>
      </c>
      <c r="Y22" s="1">
        <v>0.0</v>
      </c>
      <c r="Z22" s="1">
        <v>2.0</v>
      </c>
      <c r="AA22" s="4">
        <f t="shared" si="7"/>
        <v>0.1</v>
      </c>
      <c r="AB22" s="4">
        <f t="shared" si="8"/>
        <v>564</v>
      </c>
      <c r="AC22" s="1">
        <v>0.0</v>
      </c>
      <c r="AD22" s="4">
        <f t="shared" si="9"/>
        <v>100</v>
      </c>
      <c r="AE22" s="1">
        <v>0.0</v>
      </c>
      <c r="AF22" s="1">
        <v>1.0</v>
      </c>
      <c r="AG22" s="4">
        <f t="shared" si="10"/>
        <v>0.06</v>
      </c>
      <c r="AH22" s="1">
        <f t="shared" si="11"/>
        <v>582</v>
      </c>
      <c r="AI22" s="1">
        <v>1.0</v>
      </c>
      <c r="AJ22" s="1">
        <f t="shared" si="12"/>
        <v>574</v>
      </c>
      <c r="AK22" s="1">
        <v>0.0</v>
      </c>
      <c r="AL22" s="1">
        <v>2.0</v>
      </c>
      <c r="AM22" s="4">
        <f t="shared" si="13"/>
        <v>0.67</v>
      </c>
      <c r="AN22" s="1">
        <f t="shared" si="14"/>
        <v>1812</v>
      </c>
      <c r="AO22" s="1">
        <v>1.0</v>
      </c>
      <c r="AP22" s="1">
        <f t="shared" si="15"/>
        <v>574</v>
      </c>
      <c r="AQ22" s="1">
        <v>0.0</v>
      </c>
      <c r="AR22" s="1">
        <v>2.0</v>
      </c>
      <c r="AS22" s="4">
        <f t="shared" si="16"/>
        <v>2.09</v>
      </c>
      <c r="AT22" s="1">
        <f t="shared" si="17"/>
        <v>1842</v>
      </c>
      <c r="AU22" s="1">
        <v>0.0</v>
      </c>
      <c r="AV22" s="1">
        <f t="shared" si="18"/>
        <v>582</v>
      </c>
      <c r="AW22" s="1">
        <v>0.0</v>
      </c>
      <c r="AX22" s="1">
        <v>1.0</v>
      </c>
      <c r="AY22" s="4">
        <f t="shared" si="19"/>
        <v>1.08</v>
      </c>
      <c r="AZ22" s="4">
        <f t="shared" si="20"/>
        <v>552</v>
      </c>
      <c r="BA22" s="1">
        <v>1.0</v>
      </c>
      <c r="BB22" s="4">
        <f t="shared" si="21"/>
        <v>574</v>
      </c>
      <c r="BC22" s="1">
        <v>0.0</v>
      </c>
      <c r="BD22" s="1">
        <v>0.0</v>
      </c>
      <c r="BE22" s="4">
        <f t="shared" si="22"/>
        <v>0</v>
      </c>
      <c r="BF22" s="4">
        <f t="shared" si="23"/>
        <v>496</v>
      </c>
      <c r="BG22" s="1">
        <v>2.0</v>
      </c>
      <c r="BH22" s="4">
        <f t="shared" si="24"/>
        <v>446.5</v>
      </c>
      <c r="BI22" s="1">
        <v>0.0</v>
      </c>
      <c r="BJ22" s="1">
        <v>0.0</v>
      </c>
      <c r="BK22" s="4">
        <f t="shared" si="25"/>
        <v>0</v>
      </c>
      <c r="BL22" s="4">
        <f t="shared" si="26"/>
        <v>534</v>
      </c>
      <c r="BM22" s="1">
        <v>2.0</v>
      </c>
      <c r="BN22" s="4">
        <f t="shared" si="27"/>
        <v>446.5</v>
      </c>
      <c r="BO22" s="1">
        <v>2.0</v>
      </c>
      <c r="BP22" s="1">
        <v>0.0</v>
      </c>
      <c r="BQ22" s="4">
        <f t="shared" si="28"/>
        <v>0</v>
      </c>
      <c r="BR22" s="4">
        <f t="shared" si="29"/>
        <v>550</v>
      </c>
      <c r="BS22" s="1">
        <v>0.0</v>
      </c>
      <c r="BT22" s="4">
        <f t="shared" si="30"/>
        <v>512</v>
      </c>
      <c r="BU22" s="1">
        <v>0.0</v>
      </c>
      <c r="BV22" s="1">
        <v>0.0</v>
      </c>
      <c r="BW22" s="4">
        <f t="shared" si="31"/>
        <v>0</v>
      </c>
      <c r="BX22" s="4">
        <f t="shared" si="32"/>
        <v>582</v>
      </c>
      <c r="BY22" s="1">
        <v>1.0</v>
      </c>
      <c r="BZ22" s="4">
        <f t="shared" si="33"/>
        <v>574</v>
      </c>
      <c r="CA22" s="1">
        <v>0.0</v>
      </c>
      <c r="CB22" s="1">
        <v>1.0</v>
      </c>
      <c r="CC22" s="4">
        <f t="shared" si="34"/>
        <v>0.34</v>
      </c>
      <c r="CD22" s="4">
        <f t="shared" si="35"/>
        <v>1830</v>
      </c>
      <c r="CE22" s="1">
        <v>1.0</v>
      </c>
      <c r="CF22" s="4">
        <f t="shared" si="36"/>
        <v>580</v>
      </c>
      <c r="CG22" s="1">
        <v>1.0</v>
      </c>
      <c r="CH22" s="1">
        <v>2.0</v>
      </c>
      <c r="CI22" s="4">
        <f t="shared" si="37"/>
        <v>2.13</v>
      </c>
      <c r="CJ22" s="4">
        <f t="shared" si="38"/>
        <v>582</v>
      </c>
      <c r="CK22" s="1">
        <v>1.0</v>
      </c>
      <c r="CL22" s="1">
        <v>80.0</v>
      </c>
      <c r="CM22" s="1">
        <v>0.0</v>
      </c>
      <c r="CN22" s="1">
        <v>1.0</v>
      </c>
      <c r="CO22" s="4">
        <f t="shared" si="39"/>
        <v>0.05</v>
      </c>
      <c r="CP22" s="4">
        <f t="shared" si="40"/>
        <v>579</v>
      </c>
      <c r="CQ22" s="1">
        <v>2.0</v>
      </c>
      <c r="CR22" s="4">
        <f t="shared" si="41"/>
        <v>470.5</v>
      </c>
      <c r="CS22" s="1">
        <v>2.0</v>
      </c>
      <c r="CT22" s="1">
        <v>0.0</v>
      </c>
      <c r="CU22" s="4">
        <f t="shared" si="42"/>
        <v>0</v>
      </c>
      <c r="CV22" s="1">
        <f t="shared" si="43"/>
        <v>577</v>
      </c>
      <c r="CW22" s="1">
        <v>2.0</v>
      </c>
      <c r="CX22" s="4">
        <f t="shared" si="44"/>
        <v>1330</v>
      </c>
      <c r="CY22" s="1">
        <v>2.0</v>
      </c>
      <c r="CZ22" s="1">
        <v>0.0</v>
      </c>
      <c r="DA22" s="4">
        <f t="shared" si="45"/>
        <v>0</v>
      </c>
      <c r="DB22" s="4">
        <f t="shared" ref="DB22:DE22" si="81">CV22</f>
        <v>577</v>
      </c>
      <c r="DC22" s="4">
        <f t="shared" si="81"/>
        <v>2</v>
      </c>
      <c r="DD22" s="4">
        <f t="shared" si="81"/>
        <v>1330</v>
      </c>
      <c r="DE22" s="4">
        <f t="shared" si="81"/>
        <v>2</v>
      </c>
      <c r="DF22" s="1">
        <v>0.0</v>
      </c>
      <c r="DG22" s="4">
        <f t="shared" si="47"/>
        <v>0</v>
      </c>
      <c r="DH22" s="1">
        <v>1000.0</v>
      </c>
      <c r="DI22" s="1">
        <v>2.0</v>
      </c>
      <c r="DJ22" s="4">
        <f t="shared" si="48"/>
        <v>597</v>
      </c>
      <c r="DK22" s="1">
        <v>2.0</v>
      </c>
      <c r="DL22" s="1">
        <v>0.0</v>
      </c>
      <c r="DM22" s="4">
        <f t="shared" si="49"/>
        <v>0</v>
      </c>
      <c r="DN22" s="4">
        <f t="shared" si="50"/>
        <v>3.84</v>
      </c>
      <c r="DO22" s="4">
        <f t="shared" si="51"/>
        <v>2.74</v>
      </c>
      <c r="DP22" s="4"/>
      <c r="DQ22" s="4"/>
      <c r="DR22" s="4"/>
      <c r="DS22" s="4"/>
      <c r="DT22" s="4"/>
      <c r="DU22" s="4"/>
      <c r="DV22" s="4"/>
    </row>
    <row r="23">
      <c r="A23" s="3" t="s">
        <v>272</v>
      </c>
      <c r="B23" s="1">
        <v>600.0</v>
      </c>
      <c r="C23" s="1">
        <v>580.0</v>
      </c>
      <c r="D23" s="1">
        <v>850.0</v>
      </c>
      <c r="E23" s="4">
        <f t="shared" si="52"/>
        <v>15</v>
      </c>
      <c r="F23" s="4">
        <f t="shared" si="53"/>
        <v>18</v>
      </c>
      <c r="G23" s="4">
        <f t="shared" si="54"/>
        <v>6</v>
      </c>
      <c r="H23" s="4">
        <f t="shared" si="55"/>
        <v>100</v>
      </c>
      <c r="I23" s="4">
        <f t="shared" si="56"/>
        <v>100</v>
      </c>
      <c r="J23" s="4">
        <f t="shared" si="57"/>
        <v>13</v>
      </c>
      <c r="K23" s="4">
        <f t="shared" si="58"/>
        <v>20</v>
      </c>
      <c r="L23" s="4">
        <f t="shared" si="59"/>
        <v>6</v>
      </c>
      <c r="M23" s="4">
        <f t="shared" si="60"/>
        <v>2</v>
      </c>
      <c r="N23" s="4">
        <f t="shared" si="61"/>
        <v>10</v>
      </c>
      <c r="O23" s="4">
        <f t="shared" si="62"/>
        <v>8</v>
      </c>
      <c r="P23" s="4">
        <f t="shared" si="2"/>
        <v>600</v>
      </c>
      <c r="Q23" s="1">
        <v>0.0</v>
      </c>
      <c r="R23" s="1">
        <f t="shared" si="3"/>
        <v>100</v>
      </c>
      <c r="S23" s="1">
        <v>1.0</v>
      </c>
      <c r="T23" s="1">
        <v>1.0</v>
      </c>
      <c r="U23" s="4">
        <f t="shared" si="4"/>
        <v>0.06</v>
      </c>
      <c r="V23" s="4">
        <f t="shared" si="5"/>
        <v>462</v>
      </c>
      <c r="W23" s="1">
        <v>0.0</v>
      </c>
      <c r="X23" s="4">
        <f t="shared" si="6"/>
        <v>100</v>
      </c>
      <c r="Y23" s="1">
        <v>0.0</v>
      </c>
      <c r="Z23" s="1">
        <v>2.0</v>
      </c>
      <c r="AA23" s="4">
        <f t="shared" si="7"/>
        <v>0.1</v>
      </c>
      <c r="AB23" s="4">
        <f t="shared" si="8"/>
        <v>564</v>
      </c>
      <c r="AC23" s="1">
        <v>0.0</v>
      </c>
      <c r="AD23" s="4">
        <f t="shared" si="9"/>
        <v>100</v>
      </c>
      <c r="AE23" s="1">
        <v>0.0</v>
      </c>
      <c r="AF23" s="1">
        <v>1.0</v>
      </c>
      <c r="AG23" s="4">
        <f t="shared" si="10"/>
        <v>0.06</v>
      </c>
      <c r="AH23" s="1">
        <f t="shared" si="11"/>
        <v>582</v>
      </c>
      <c r="AI23" s="1">
        <v>1.0</v>
      </c>
      <c r="AJ23" s="1">
        <f t="shared" si="12"/>
        <v>574</v>
      </c>
      <c r="AK23" s="1">
        <v>0.0</v>
      </c>
      <c r="AL23" s="1">
        <v>2.0</v>
      </c>
      <c r="AM23" s="4">
        <f t="shared" si="13"/>
        <v>0.67</v>
      </c>
      <c r="AN23" s="1">
        <f t="shared" si="14"/>
        <v>732</v>
      </c>
      <c r="AO23" s="1">
        <v>1.0</v>
      </c>
      <c r="AP23" s="1">
        <f t="shared" si="15"/>
        <v>574</v>
      </c>
      <c r="AQ23" s="1">
        <v>0.0</v>
      </c>
      <c r="AR23" s="1">
        <v>2.0</v>
      </c>
      <c r="AS23" s="4">
        <f t="shared" si="16"/>
        <v>0.85</v>
      </c>
      <c r="AT23" s="1">
        <f t="shared" si="17"/>
        <v>762</v>
      </c>
      <c r="AU23" s="1">
        <v>0.0</v>
      </c>
      <c r="AV23" s="1">
        <f t="shared" si="18"/>
        <v>582</v>
      </c>
      <c r="AW23" s="1">
        <v>0.0</v>
      </c>
      <c r="AX23" s="1">
        <v>1.0</v>
      </c>
      <c r="AY23" s="4">
        <f t="shared" si="19"/>
        <v>0.45</v>
      </c>
      <c r="AZ23" s="4">
        <f t="shared" si="20"/>
        <v>552</v>
      </c>
      <c r="BA23" s="1">
        <v>1.0</v>
      </c>
      <c r="BB23" s="4">
        <f t="shared" si="21"/>
        <v>574</v>
      </c>
      <c r="BC23" s="1">
        <v>0.0</v>
      </c>
      <c r="BD23" s="1">
        <v>0.0</v>
      </c>
      <c r="BE23" s="4">
        <f t="shared" si="22"/>
        <v>0</v>
      </c>
      <c r="BF23" s="4">
        <f t="shared" si="23"/>
        <v>496</v>
      </c>
      <c r="BG23" s="1">
        <v>2.0</v>
      </c>
      <c r="BH23" s="4">
        <f t="shared" si="24"/>
        <v>176.5</v>
      </c>
      <c r="BI23" s="1">
        <v>0.0</v>
      </c>
      <c r="BJ23" s="1">
        <v>0.0</v>
      </c>
      <c r="BK23" s="4">
        <f t="shared" si="25"/>
        <v>0</v>
      </c>
      <c r="BL23" s="4">
        <f t="shared" si="26"/>
        <v>534</v>
      </c>
      <c r="BM23" s="1">
        <v>2.0</v>
      </c>
      <c r="BN23" s="4">
        <f t="shared" si="27"/>
        <v>176.5</v>
      </c>
      <c r="BO23" s="1">
        <v>2.0</v>
      </c>
      <c r="BP23" s="1">
        <v>0.0</v>
      </c>
      <c r="BQ23" s="4">
        <f t="shared" si="28"/>
        <v>0</v>
      </c>
      <c r="BR23" s="4">
        <f t="shared" si="29"/>
        <v>550</v>
      </c>
      <c r="BS23" s="1">
        <v>0.0</v>
      </c>
      <c r="BT23" s="4">
        <f t="shared" si="30"/>
        <v>512</v>
      </c>
      <c r="BU23" s="1">
        <v>0.0</v>
      </c>
      <c r="BV23" s="1">
        <v>0.0</v>
      </c>
      <c r="BW23" s="4">
        <f t="shared" si="31"/>
        <v>0</v>
      </c>
      <c r="BX23" s="4">
        <f t="shared" si="32"/>
        <v>582</v>
      </c>
      <c r="BY23" s="1">
        <v>1.0</v>
      </c>
      <c r="BZ23" s="4">
        <f t="shared" si="33"/>
        <v>574</v>
      </c>
      <c r="CA23" s="1">
        <v>0.0</v>
      </c>
      <c r="CB23" s="1">
        <v>1.0</v>
      </c>
      <c r="CC23" s="4">
        <f t="shared" si="34"/>
        <v>0.34</v>
      </c>
      <c r="CD23" s="4">
        <f t="shared" si="35"/>
        <v>750</v>
      </c>
      <c r="CE23" s="1">
        <v>1.0</v>
      </c>
      <c r="CF23" s="4">
        <f t="shared" si="36"/>
        <v>580</v>
      </c>
      <c r="CG23" s="1">
        <v>1.0</v>
      </c>
      <c r="CH23" s="1">
        <v>2.0</v>
      </c>
      <c r="CI23" s="4">
        <f t="shared" si="37"/>
        <v>0.87</v>
      </c>
      <c r="CJ23" s="4">
        <f t="shared" si="38"/>
        <v>582</v>
      </c>
      <c r="CK23" s="1">
        <v>1.0</v>
      </c>
      <c r="CL23" s="1">
        <v>80.0</v>
      </c>
      <c r="CM23" s="1">
        <v>0.0</v>
      </c>
      <c r="CN23" s="1">
        <v>1.0</v>
      </c>
      <c r="CO23" s="4">
        <f t="shared" si="39"/>
        <v>0.05</v>
      </c>
      <c r="CP23" s="4">
        <f t="shared" si="40"/>
        <v>579</v>
      </c>
      <c r="CQ23" s="1">
        <v>2.0</v>
      </c>
      <c r="CR23" s="4">
        <f t="shared" si="41"/>
        <v>200.5</v>
      </c>
      <c r="CS23" s="1">
        <v>2.0</v>
      </c>
      <c r="CT23" s="1">
        <v>0.0</v>
      </c>
      <c r="CU23" s="4">
        <f t="shared" si="42"/>
        <v>0</v>
      </c>
      <c r="CV23" s="1">
        <f t="shared" si="43"/>
        <v>577</v>
      </c>
      <c r="CW23" s="1">
        <v>2.0</v>
      </c>
      <c r="CX23" s="4">
        <f t="shared" si="44"/>
        <v>250</v>
      </c>
      <c r="CY23" s="1">
        <v>2.0</v>
      </c>
      <c r="CZ23" s="1">
        <v>0.0</v>
      </c>
      <c r="DA23" s="4">
        <f t="shared" si="45"/>
        <v>0</v>
      </c>
      <c r="DB23" s="4">
        <f t="shared" ref="DB23:DE23" si="82">CV23</f>
        <v>577</v>
      </c>
      <c r="DC23" s="4">
        <f t="shared" si="82"/>
        <v>2</v>
      </c>
      <c r="DD23" s="4">
        <f t="shared" si="82"/>
        <v>250</v>
      </c>
      <c r="DE23" s="4">
        <f t="shared" si="82"/>
        <v>2</v>
      </c>
      <c r="DF23" s="1">
        <v>0.0</v>
      </c>
      <c r="DG23" s="4">
        <f t="shared" si="47"/>
        <v>0</v>
      </c>
      <c r="DH23" s="1">
        <v>1000.0</v>
      </c>
      <c r="DI23" s="1">
        <v>2.0</v>
      </c>
      <c r="DJ23" s="4">
        <f t="shared" si="48"/>
        <v>597</v>
      </c>
      <c r="DK23" s="1">
        <v>2.0</v>
      </c>
      <c r="DL23" s="1">
        <v>0.0</v>
      </c>
      <c r="DM23" s="4">
        <f t="shared" si="49"/>
        <v>0</v>
      </c>
      <c r="DN23" s="4">
        <f t="shared" si="50"/>
        <v>1.97</v>
      </c>
      <c r="DO23" s="4">
        <f t="shared" si="51"/>
        <v>1.48</v>
      </c>
      <c r="DP23" s="4"/>
      <c r="DQ23" s="4"/>
      <c r="DR23" s="4"/>
      <c r="DS23" s="4"/>
      <c r="DT23" s="4"/>
      <c r="DU23" s="4"/>
      <c r="DV23" s="4"/>
    </row>
    <row r="24">
      <c r="A24" s="3" t="s">
        <v>274</v>
      </c>
      <c r="B24" s="1">
        <v>600.0</v>
      </c>
      <c r="C24" s="1">
        <v>580.0</v>
      </c>
      <c r="D24" s="1">
        <v>850.0</v>
      </c>
      <c r="E24" s="4">
        <f t="shared" si="52"/>
        <v>15</v>
      </c>
      <c r="F24" s="4">
        <f t="shared" si="53"/>
        <v>18</v>
      </c>
      <c r="G24" s="4">
        <f t="shared" si="54"/>
        <v>6</v>
      </c>
      <c r="H24" s="4">
        <f t="shared" si="55"/>
        <v>100</v>
      </c>
      <c r="I24" s="4">
        <f t="shared" si="56"/>
        <v>100</v>
      </c>
      <c r="J24" s="4">
        <f t="shared" si="57"/>
        <v>13</v>
      </c>
      <c r="K24" s="4">
        <f t="shared" si="58"/>
        <v>20</v>
      </c>
      <c r="L24" s="4">
        <f t="shared" si="59"/>
        <v>6</v>
      </c>
      <c r="M24" s="4">
        <f t="shared" si="60"/>
        <v>2</v>
      </c>
      <c r="N24" s="4">
        <f t="shared" si="61"/>
        <v>10</v>
      </c>
      <c r="O24" s="4">
        <f t="shared" si="62"/>
        <v>8</v>
      </c>
      <c r="P24" s="4">
        <f t="shared" si="2"/>
        <v>600</v>
      </c>
      <c r="Q24" s="1">
        <v>0.0</v>
      </c>
      <c r="R24" s="1">
        <f t="shared" si="3"/>
        <v>100</v>
      </c>
      <c r="S24" s="1">
        <v>1.0</v>
      </c>
      <c r="T24" s="1">
        <v>1.0</v>
      </c>
      <c r="U24" s="4">
        <f t="shared" si="4"/>
        <v>0.06</v>
      </c>
      <c r="V24" s="4">
        <f t="shared" si="5"/>
        <v>462</v>
      </c>
      <c r="W24" s="1">
        <v>0.0</v>
      </c>
      <c r="X24" s="4">
        <f t="shared" si="6"/>
        <v>100</v>
      </c>
      <c r="Y24" s="1">
        <v>0.0</v>
      </c>
      <c r="Z24" s="1">
        <v>2.0</v>
      </c>
      <c r="AA24" s="4">
        <f t="shared" si="7"/>
        <v>0.1</v>
      </c>
      <c r="AB24" s="4">
        <f t="shared" si="8"/>
        <v>564</v>
      </c>
      <c r="AC24" s="1">
        <v>0.0</v>
      </c>
      <c r="AD24" s="4">
        <f t="shared" si="9"/>
        <v>100</v>
      </c>
      <c r="AE24" s="1">
        <v>0.0</v>
      </c>
      <c r="AF24" s="1">
        <v>1.0</v>
      </c>
      <c r="AG24" s="4">
        <f t="shared" si="10"/>
        <v>0.06</v>
      </c>
      <c r="AH24" s="1">
        <f t="shared" si="11"/>
        <v>582</v>
      </c>
      <c r="AI24" s="1">
        <v>1.0</v>
      </c>
      <c r="AJ24" s="1">
        <f t="shared" si="12"/>
        <v>574</v>
      </c>
      <c r="AK24" s="1">
        <v>0.0</v>
      </c>
      <c r="AL24" s="1">
        <v>2.0</v>
      </c>
      <c r="AM24" s="4">
        <f t="shared" si="13"/>
        <v>0.67</v>
      </c>
      <c r="AN24" s="1">
        <f t="shared" si="14"/>
        <v>732</v>
      </c>
      <c r="AO24" s="1">
        <v>1.0</v>
      </c>
      <c r="AP24" s="1">
        <f t="shared" si="15"/>
        <v>574</v>
      </c>
      <c r="AQ24" s="1">
        <v>0.0</v>
      </c>
      <c r="AR24" s="1">
        <v>2.0</v>
      </c>
      <c r="AS24" s="4">
        <f t="shared" si="16"/>
        <v>0.85</v>
      </c>
      <c r="AT24" s="1">
        <f t="shared" si="17"/>
        <v>762</v>
      </c>
      <c r="AU24" s="1">
        <v>0.0</v>
      </c>
      <c r="AV24" s="1">
        <f t="shared" si="18"/>
        <v>582</v>
      </c>
      <c r="AW24" s="1">
        <v>0.0</v>
      </c>
      <c r="AX24" s="1">
        <v>1.0</v>
      </c>
      <c r="AY24" s="4">
        <f t="shared" si="19"/>
        <v>0.45</v>
      </c>
      <c r="AZ24" s="4">
        <f t="shared" si="20"/>
        <v>552</v>
      </c>
      <c r="BA24" s="1">
        <v>1.0</v>
      </c>
      <c r="BB24" s="4">
        <f t="shared" si="21"/>
        <v>574</v>
      </c>
      <c r="BC24" s="1">
        <v>0.0</v>
      </c>
      <c r="BD24" s="1">
        <v>0.0</v>
      </c>
      <c r="BE24" s="4">
        <f t="shared" si="22"/>
        <v>0</v>
      </c>
      <c r="BF24" s="4">
        <f t="shared" si="23"/>
        <v>496</v>
      </c>
      <c r="BG24" s="1">
        <v>2.0</v>
      </c>
      <c r="BH24" s="4">
        <f t="shared" si="24"/>
        <v>176.5</v>
      </c>
      <c r="BI24" s="1">
        <v>0.0</v>
      </c>
      <c r="BJ24" s="1">
        <v>0.0</v>
      </c>
      <c r="BK24" s="4">
        <f t="shared" si="25"/>
        <v>0</v>
      </c>
      <c r="BL24" s="4">
        <f t="shared" si="26"/>
        <v>534</v>
      </c>
      <c r="BM24" s="1">
        <v>2.0</v>
      </c>
      <c r="BN24" s="4">
        <f t="shared" si="27"/>
        <v>176.5</v>
      </c>
      <c r="BO24" s="1">
        <v>2.0</v>
      </c>
      <c r="BP24" s="1">
        <v>0.0</v>
      </c>
      <c r="BQ24" s="4">
        <f t="shared" si="28"/>
        <v>0</v>
      </c>
      <c r="BR24" s="4">
        <f t="shared" si="29"/>
        <v>550</v>
      </c>
      <c r="BS24" s="1">
        <v>0.0</v>
      </c>
      <c r="BT24" s="4">
        <f t="shared" si="30"/>
        <v>512</v>
      </c>
      <c r="BU24" s="1">
        <v>0.0</v>
      </c>
      <c r="BV24" s="1">
        <v>0.0</v>
      </c>
      <c r="BW24" s="4">
        <f t="shared" si="31"/>
        <v>0</v>
      </c>
      <c r="BX24" s="4">
        <f t="shared" si="32"/>
        <v>582</v>
      </c>
      <c r="BY24" s="1">
        <v>1.0</v>
      </c>
      <c r="BZ24" s="4">
        <f t="shared" si="33"/>
        <v>574</v>
      </c>
      <c r="CA24" s="1">
        <v>0.0</v>
      </c>
      <c r="CB24" s="1">
        <v>1.0</v>
      </c>
      <c r="CC24" s="4">
        <f t="shared" si="34"/>
        <v>0.34</v>
      </c>
      <c r="CD24" s="4">
        <f t="shared" si="35"/>
        <v>750</v>
      </c>
      <c r="CE24" s="1">
        <v>1.0</v>
      </c>
      <c r="CF24" s="4">
        <f t="shared" si="36"/>
        <v>580</v>
      </c>
      <c r="CG24" s="1">
        <v>1.0</v>
      </c>
      <c r="CH24" s="1">
        <v>2.0</v>
      </c>
      <c r="CI24" s="4">
        <f t="shared" si="37"/>
        <v>0.87</v>
      </c>
      <c r="CJ24" s="4">
        <f t="shared" si="38"/>
        <v>582</v>
      </c>
      <c r="CK24" s="1">
        <v>1.0</v>
      </c>
      <c r="CL24" s="1">
        <v>80.0</v>
      </c>
      <c r="CM24" s="1">
        <v>0.0</v>
      </c>
      <c r="CN24" s="1">
        <v>1.0</v>
      </c>
      <c r="CO24" s="4">
        <f t="shared" si="39"/>
        <v>0.05</v>
      </c>
      <c r="CP24" s="4">
        <f t="shared" si="40"/>
        <v>579</v>
      </c>
      <c r="CQ24" s="1">
        <v>2.0</v>
      </c>
      <c r="CR24" s="4">
        <f t="shared" si="41"/>
        <v>200.5</v>
      </c>
      <c r="CS24" s="1">
        <v>2.0</v>
      </c>
      <c r="CT24" s="1">
        <v>0.0</v>
      </c>
      <c r="CU24" s="4">
        <f t="shared" si="42"/>
        <v>0</v>
      </c>
      <c r="CV24" s="1">
        <f t="shared" si="43"/>
        <v>577</v>
      </c>
      <c r="CW24" s="1">
        <v>2.0</v>
      </c>
      <c r="CX24" s="4">
        <f t="shared" si="44"/>
        <v>250</v>
      </c>
      <c r="CY24" s="1">
        <v>2.0</v>
      </c>
      <c r="CZ24" s="1">
        <v>0.0</v>
      </c>
      <c r="DA24" s="4">
        <f t="shared" si="45"/>
        <v>0</v>
      </c>
      <c r="DB24" s="4">
        <f t="shared" ref="DB24:DE24" si="83">CV24</f>
        <v>577</v>
      </c>
      <c r="DC24" s="4">
        <f t="shared" si="83"/>
        <v>2</v>
      </c>
      <c r="DD24" s="4">
        <f t="shared" si="83"/>
        <v>250</v>
      </c>
      <c r="DE24" s="4">
        <f t="shared" si="83"/>
        <v>2</v>
      </c>
      <c r="DF24" s="1">
        <v>0.0</v>
      </c>
      <c r="DG24" s="4">
        <f t="shared" si="47"/>
        <v>0</v>
      </c>
      <c r="DH24" s="1">
        <v>1000.0</v>
      </c>
      <c r="DI24" s="1">
        <v>2.0</v>
      </c>
      <c r="DJ24" s="4">
        <f t="shared" si="48"/>
        <v>597</v>
      </c>
      <c r="DK24" s="1">
        <v>2.0</v>
      </c>
      <c r="DL24" s="1">
        <v>0.0</v>
      </c>
      <c r="DM24" s="4">
        <f t="shared" si="49"/>
        <v>0</v>
      </c>
      <c r="DN24" s="4">
        <f t="shared" si="50"/>
        <v>1.97</v>
      </c>
      <c r="DO24" s="4">
        <f t="shared" si="51"/>
        <v>1.48</v>
      </c>
      <c r="DP24" s="4"/>
      <c r="DQ24" s="4"/>
      <c r="DR24" s="4"/>
      <c r="DS24" s="4"/>
      <c r="DT24" s="4"/>
      <c r="DU24" s="4"/>
      <c r="DV24" s="4"/>
    </row>
    <row r="25">
      <c r="A25" s="3" t="s">
        <v>275</v>
      </c>
      <c r="B25" s="1">
        <v>600.0</v>
      </c>
      <c r="C25" s="1">
        <v>580.0</v>
      </c>
      <c r="D25" s="1">
        <v>850.0</v>
      </c>
      <c r="E25" s="4">
        <f t="shared" si="52"/>
        <v>15</v>
      </c>
      <c r="F25" s="4">
        <f t="shared" si="53"/>
        <v>18</v>
      </c>
      <c r="G25" s="4">
        <f t="shared" si="54"/>
        <v>6</v>
      </c>
      <c r="H25" s="4">
        <f t="shared" si="55"/>
        <v>100</v>
      </c>
      <c r="I25" s="4">
        <f t="shared" si="56"/>
        <v>100</v>
      </c>
      <c r="J25" s="4">
        <f t="shared" si="57"/>
        <v>13</v>
      </c>
      <c r="K25" s="4">
        <f t="shared" si="58"/>
        <v>20</v>
      </c>
      <c r="L25" s="4">
        <f t="shared" si="59"/>
        <v>6</v>
      </c>
      <c r="M25" s="4">
        <f t="shared" si="60"/>
        <v>2</v>
      </c>
      <c r="N25" s="4">
        <f t="shared" si="61"/>
        <v>10</v>
      </c>
      <c r="O25" s="4">
        <f t="shared" si="62"/>
        <v>8</v>
      </c>
      <c r="P25" s="4">
        <f t="shared" si="2"/>
        <v>600</v>
      </c>
      <c r="Q25" s="1">
        <v>0.0</v>
      </c>
      <c r="R25" s="1">
        <f t="shared" si="3"/>
        <v>100</v>
      </c>
      <c r="S25" s="1">
        <v>1.0</v>
      </c>
      <c r="T25" s="1">
        <v>1.0</v>
      </c>
      <c r="U25" s="4">
        <f t="shared" si="4"/>
        <v>0.06</v>
      </c>
      <c r="V25" s="4">
        <f t="shared" si="5"/>
        <v>462</v>
      </c>
      <c r="W25" s="1">
        <v>0.0</v>
      </c>
      <c r="X25" s="4">
        <f t="shared" si="6"/>
        <v>100</v>
      </c>
      <c r="Y25" s="1">
        <v>0.0</v>
      </c>
      <c r="Z25" s="1">
        <v>2.0</v>
      </c>
      <c r="AA25" s="4">
        <f t="shared" si="7"/>
        <v>0.1</v>
      </c>
      <c r="AB25" s="4">
        <f t="shared" si="8"/>
        <v>564</v>
      </c>
      <c r="AC25" s="1">
        <v>0.0</v>
      </c>
      <c r="AD25" s="4">
        <f t="shared" si="9"/>
        <v>100</v>
      </c>
      <c r="AE25" s="1">
        <v>0.0</v>
      </c>
      <c r="AF25" s="1">
        <v>1.0</v>
      </c>
      <c r="AG25" s="4">
        <f t="shared" si="10"/>
        <v>0.06</v>
      </c>
      <c r="AH25" s="1">
        <f t="shared" si="11"/>
        <v>582</v>
      </c>
      <c r="AI25" s="1">
        <v>1.0</v>
      </c>
      <c r="AJ25" s="1">
        <f t="shared" si="12"/>
        <v>574</v>
      </c>
      <c r="AK25" s="1">
        <v>0.0</v>
      </c>
      <c r="AL25" s="1">
        <v>2.0</v>
      </c>
      <c r="AM25" s="4">
        <f t="shared" si="13"/>
        <v>0.67</v>
      </c>
      <c r="AN25" s="1">
        <f t="shared" si="14"/>
        <v>732</v>
      </c>
      <c r="AO25" s="1">
        <v>1.0</v>
      </c>
      <c r="AP25" s="1">
        <f t="shared" si="15"/>
        <v>574</v>
      </c>
      <c r="AQ25" s="1">
        <v>0.0</v>
      </c>
      <c r="AR25" s="1">
        <v>2.0</v>
      </c>
      <c r="AS25" s="4">
        <f t="shared" si="16"/>
        <v>0.85</v>
      </c>
      <c r="AT25" s="1">
        <f t="shared" si="17"/>
        <v>762</v>
      </c>
      <c r="AU25" s="1">
        <v>0.0</v>
      </c>
      <c r="AV25" s="1">
        <f t="shared" si="18"/>
        <v>582</v>
      </c>
      <c r="AW25" s="1">
        <v>0.0</v>
      </c>
      <c r="AX25" s="1">
        <v>1.0</v>
      </c>
      <c r="AY25" s="4">
        <f t="shared" si="19"/>
        <v>0.45</v>
      </c>
      <c r="AZ25" s="4">
        <f t="shared" si="20"/>
        <v>552</v>
      </c>
      <c r="BA25" s="1">
        <v>1.0</v>
      </c>
      <c r="BB25" s="4">
        <f t="shared" si="21"/>
        <v>574</v>
      </c>
      <c r="BC25" s="1">
        <v>0.0</v>
      </c>
      <c r="BD25" s="1">
        <v>0.0</v>
      </c>
      <c r="BE25" s="4">
        <f t="shared" si="22"/>
        <v>0</v>
      </c>
      <c r="BF25" s="4">
        <f t="shared" si="23"/>
        <v>496</v>
      </c>
      <c r="BG25" s="1">
        <v>2.0</v>
      </c>
      <c r="BH25" s="4">
        <f t="shared" si="24"/>
        <v>176.5</v>
      </c>
      <c r="BI25" s="1">
        <v>0.0</v>
      </c>
      <c r="BJ25" s="1">
        <v>0.0</v>
      </c>
      <c r="BK25" s="4">
        <f t="shared" si="25"/>
        <v>0</v>
      </c>
      <c r="BL25" s="4">
        <f t="shared" si="26"/>
        <v>534</v>
      </c>
      <c r="BM25" s="1">
        <v>2.0</v>
      </c>
      <c r="BN25" s="4">
        <f t="shared" si="27"/>
        <v>176.5</v>
      </c>
      <c r="BO25" s="1">
        <v>2.0</v>
      </c>
      <c r="BP25" s="1">
        <v>0.0</v>
      </c>
      <c r="BQ25" s="4">
        <f t="shared" si="28"/>
        <v>0</v>
      </c>
      <c r="BR25" s="4">
        <f t="shared" si="29"/>
        <v>550</v>
      </c>
      <c r="BS25" s="1">
        <v>0.0</v>
      </c>
      <c r="BT25" s="4">
        <f t="shared" si="30"/>
        <v>512</v>
      </c>
      <c r="BU25" s="1">
        <v>0.0</v>
      </c>
      <c r="BV25" s="1">
        <v>0.0</v>
      </c>
      <c r="BW25" s="4">
        <f t="shared" si="31"/>
        <v>0</v>
      </c>
      <c r="BX25" s="4">
        <f t="shared" si="32"/>
        <v>582</v>
      </c>
      <c r="BY25" s="1">
        <v>1.0</v>
      </c>
      <c r="BZ25" s="4">
        <f t="shared" si="33"/>
        <v>574</v>
      </c>
      <c r="CA25" s="1">
        <v>0.0</v>
      </c>
      <c r="CB25" s="1">
        <v>1.0</v>
      </c>
      <c r="CC25" s="4">
        <f t="shared" si="34"/>
        <v>0.34</v>
      </c>
      <c r="CD25" s="4">
        <f t="shared" si="35"/>
        <v>750</v>
      </c>
      <c r="CE25" s="1">
        <v>1.0</v>
      </c>
      <c r="CF25" s="4">
        <f t="shared" si="36"/>
        <v>580</v>
      </c>
      <c r="CG25" s="1">
        <v>1.0</v>
      </c>
      <c r="CH25" s="1">
        <v>2.0</v>
      </c>
      <c r="CI25" s="4">
        <f t="shared" si="37"/>
        <v>0.87</v>
      </c>
      <c r="CJ25" s="4">
        <f t="shared" si="38"/>
        <v>582</v>
      </c>
      <c r="CK25" s="1">
        <v>1.0</v>
      </c>
      <c r="CL25" s="1">
        <v>80.0</v>
      </c>
      <c r="CM25" s="1">
        <v>0.0</v>
      </c>
      <c r="CN25" s="1">
        <v>1.0</v>
      </c>
      <c r="CO25" s="4">
        <f t="shared" si="39"/>
        <v>0.05</v>
      </c>
      <c r="CP25" s="4">
        <f t="shared" si="40"/>
        <v>579</v>
      </c>
      <c r="CQ25" s="1">
        <v>2.0</v>
      </c>
      <c r="CR25" s="4">
        <f t="shared" si="41"/>
        <v>200.5</v>
      </c>
      <c r="CS25" s="1">
        <v>2.0</v>
      </c>
      <c r="CT25" s="1">
        <v>0.0</v>
      </c>
      <c r="CU25" s="4">
        <f t="shared" si="42"/>
        <v>0</v>
      </c>
      <c r="CV25" s="1">
        <f t="shared" si="43"/>
        <v>577</v>
      </c>
      <c r="CW25" s="1">
        <v>2.0</v>
      </c>
      <c r="CX25" s="4">
        <f t="shared" si="44"/>
        <v>250</v>
      </c>
      <c r="CY25" s="1">
        <v>2.0</v>
      </c>
      <c r="CZ25" s="1">
        <v>0.0</v>
      </c>
      <c r="DA25" s="4">
        <f t="shared" si="45"/>
        <v>0</v>
      </c>
      <c r="DB25" s="4">
        <f t="shared" ref="DB25:DE25" si="84">CV25</f>
        <v>577</v>
      </c>
      <c r="DC25" s="4">
        <f t="shared" si="84"/>
        <v>2</v>
      </c>
      <c r="DD25" s="4">
        <f t="shared" si="84"/>
        <v>250</v>
      </c>
      <c r="DE25" s="4">
        <f t="shared" si="84"/>
        <v>2</v>
      </c>
      <c r="DF25" s="1">
        <v>0.0</v>
      </c>
      <c r="DG25" s="4">
        <f t="shared" si="47"/>
        <v>0</v>
      </c>
      <c r="DH25" s="1">
        <v>1000.0</v>
      </c>
      <c r="DI25" s="1">
        <v>2.0</v>
      </c>
      <c r="DJ25" s="4">
        <f t="shared" si="48"/>
        <v>597</v>
      </c>
      <c r="DK25" s="1">
        <v>2.0</v>
      </c>
      <c r="DL25" s="1">
        <v>0.0</v>
      </c>
      <c r="DM25" s="4">
        <f t="shared" si="49"/>
        <v>0</v>
      </c>
      <c r="DN25" s="4">
        <f t="shared" si="50"/>
        <v>1.97</v>
      </c>
      <c r="DO25" s="4">
        <f t="shared" si="51"/>
        <v>1.48</v>
      </c>
      <c r="DP25" s="4"/>
      <c r="DQ25" s="4"/>
      <c r="DR25" s="4"/>
      <c r="DS25" s="4"/>
      <c r="DT25" s="4"/>
      <c r="DU25" s="4"/>
      <c r="DV25" s="4"/>
    </row>
    <row r="26">
      <c r="A26" s="3" t="s">
        <v>276</v>
      </c>
      <c r="B26" s="1">
        <v>600.0</v>
      </c>
      <c r="C26" s="1">
        <v>580.0</v>
      </c>
      <c r="D26" s="1">
        <v>850.0</v>
      </c>
      <c r="E26" s="4">
        <f t="shared" si="52"/>
        <v>15</v>
      </c>
      <c r="F26" s="4">
        <f t="shared" si="53"/>
        <v>18</v>
      </c>
      <c r="G26" s="4">
        <f t="shared" si="54"/>
        <v>6</v>
      </c>
      <c r="H26" s="4">
        <f t="shared" si="55"/>
        <v>100</v>
      </c>
      <c r="I26" s="4">
        <f t="shared" si="56"/>
        <v>100</v>
      </c>
      <c r="J26" s="4">
        <f t="shared" si="57"/>
        <v>13</v>
      </c>
      <c r="K26" s="4">
        <f t="shared" si="58"/>
        <v>20</v>
      </c>
      <c r="L26" s="4">
        <f t="shared" si="59"/>
        <v>6</v>
      </c>
      <c r="M26" s="4">
        <f t="shared" si="60"/>
        <v>2</v>
      </c>
      <c r="N26" s="4">
        <f t="shared" si="61"/>
        <v>10</v>
      </c>
      <c r="O26" s="4">
        <f t="shared" si="62"/>
        <v>8</v>
      </c>
      <c r="P26" s="4">
        <f t="shared" si="2"/>
        <v>600</v>
      </c>
      <c r="Q26" s="1">
        <v>0.0</v>
      </c>
      <c r="R26" s="1">
        <f t="shared" si="3"/>
        <v>100</v>
      </c>
      <c r="S26" s="1">
        <v>1.0</v>
      </c>
      <c r="T26" s="1">
        <v>1.0</v>
      </c>
      <c r="U26" s="4">
        <f t="shared" si="4"/>
        <v>0.06</v>
      </c>
      <c r="V26" s="4">
        <f t="shared" si="5"/>
        <v>462</v>
      </c>
      <c r="W26" s="1">
        <v>0.0</v>
      </c>
      <c r="X26" s="4">
        <f t="shared" si="6"/>
        <v>100</v>
      </c>
      <c r="Y26" s="1">
        <v>0.0</v>
      </c>
      <c r="Z26" s="1">
        <v>2.0</v>
      </c>
      <c r="AA26" s="4">
        <f t="shared" si="7"/>
        <v>0.1</v>
      </c>
      <c r="AB26" s="4">
        <f t="shared" si="8"/>
        <v>564</v>
      </c>
      <c r="AC26" s="1">
        <v>0.0</v>
      </c>
      <c r="AD26" s="4">
        <f t="shared" si="9"/>
        <v>100</v>
      </c>
      <c r="AE26" s="1">
        <v>0.0</v>
      </c>
      <c r="AF26" s="1">
        <v>1.0</v>
      </c>
      <c r="AG26" s="4">
        <f t="shared" si="10"/>
        <v>0.06</v>
      </c>
      <c r="AH26" s="1">
        <f t="shared" si="11"/>
        <v>582</v>
      </c>
      <c r="AI26" s="1">
        <v>1.0</v>
      </c>
      <c r="AJ26" s="1">
        <f t="shared" si="12"/>
        <v>574</v>
      </c>
      <c r="AK26" s="1">
        <v>0.0</v>
      </c>
      <c r="AL26" s="1">
        <v>2.0</v>
      </c>
      <c r="AM26" s="4">
        <f t="shared" si="13"/>
        <v>0.67</v>
      </c>
      <c r="AN26" s="1">
        <f t="shared" si="14"/>
        <v>732</v>
      </c>
      <c r="AO26" s="1">
        <v>1.0</v>
      </c>
      <c r="AP26" s="1">
        <f t="shared" si="15"/>
        <v>574</v>
      </c>
      <c r="AQ26" s="1">
        <v>0.0</v>
      </c>
      <c r="AR26" s="1">
        <v>2.0</v>
      </c>
      <c r="AS26" s="4">
        <f t="shared" si="16"/>
        <v>0.85</v>
      </c>
      <c r="AT26" s="1">
        <f t="shared" si="17"/>
        <v>762</v>
      </c>
      <c r="AU26" s="1">
        <v>0.0</v>
      </c>
      <c r="AV26" s="1">
        <f t="shared" si="18"/>
        <v>582</v>
      </c>
      <c r="AW26" s="1">
        <v>0.0</v>
      </c>
      <c r="AX26" s="1">
        <v>1.0</v>
      </c>
      <c r="AY26" s="4">
        <f t="shared" si="19"/>
        <v>0.45</v>
      </c>
      <c r="AZ26" s="4">
        <f t="shared" si="20"/>
        <v>552</v>
      </c>
      <c r="BA26" s="1">
        <v>1.0</v>
      </c>
      <c r="BB26" s="4">
        <f t="shared" si="21"/>
        <v>574</v>
      </c>
      <c r="BC26" s="1">
        <v>0.0</v>
      </c>
      <c r="BD26" s="1">
        <v>0.0</v>
      </c>
      <c r="BE26" s="4">
        <f t="shared" si="22"/>
        <v>0</v>
      </c>
      <c r="BF26" s="4">
        <f t="shared" si="23"/>
        <v>496</v>
      </c>
      <c r="BG26" s="1">
        <v>2.0</v>
      </c>
      <c r="BH26" s="4">
        <f t="shared" si="24"/>
        <v>176.5</v>
      </c>
      <c r="BI26" s="1">
        <v>0.0</v>
      </c>
      <c r="BJ26" s="1">
        <v>0.0</v>
      </c>
      <c r="BK26" s="4">
        <f t="shared" si="25"/>
        <v>0</v>
      </c>
      <c r="BL26" s="4">
        <f t="shared" si="26"/>
        <v>534</v>
      </c>
      <c r="BM26" s="1">
        <v>2.0</v>
      </c>
      <c r="BN26" s="4">
        <f t="shared" si="27"/>
        <v>176.5</v>
      </c>
      <c r="BO26" s="1">
        <v>2.0</v>
      </c>
      <c r="BP26" s="1">
        <v>0.0</v>
      </c>
      <c r="BQ26" s="4">
        <f t="shared" si="28"/>
        <v>0</v>
      </c>
      <c r="BR26" s="4">
        <f t="shared" si="29"/>
        <v>550</v>
      </c>
      <c r="BS26" s="1">
        <v>0.0</v>
      </c>
      <c r="BT26" s="4">
        <f t="shared" si="30"/>
        <v>512</v>
      </c>
      <c r="BU26" s="1">
        <v>0.0</v>
      </c>
      <c r="BV26" s="1">
        <v>0.0</v>
      </c>
      <c r="BW26" s="4">
        <f t="shared" si="31"/>
        <v>0</v>
      </c>
      <c r="BX26" s="4">
        <f t="shared" si="32"/>
        <v>582</v>
      </c>
      <c r="BY26" s="1">
        <v>1.0</v>
      </c>
      <c r="BZ26" s="4">
        <f t="shared" si="33"/>
        <v>574</v>
      </c>
      <c r="CA26" s="1">
        <v>0.0</v>
      </c>
      <c r="CB26" s="1">
        <v>1.0</v>
      </c>
      <c r="CC26" s="4">
        <f t="shared" si="34"/>
        <v>0.34</v>
      </c>
      <c r="CD26" s="4">
        <f t="shared" si="35"/>
        <v>750</v>
      </c>
      <c r="CE26" s="1">
        <v>1.0</v>
      </c>
      <c r="CF26" s="4">
        <f t="shared" si="36"/>
        <v>580</v>
      </c>
      <c r="CG26" s="1">
        <v>1.0</v>
      </c>
      <c r="CH26" s="1">
        <v>2.0</v>
      </c>
      <c r="CI26" s="4">
        <f t="shared" si="37"/>
        <v>0.87</v>
      </c>
      <c r="CJ26" s="4">
        <f t="shared" si="38"/>
        <v>582</v>
      </c>
      <c r="CK26" s="1">
        <v>1.0</v>
      </c>
      <c r="CL26" s="1">
        <v>80.0</v>
      </c>
      <c r="CM26" s="1">
        <v>0.0</v>
      </c>
      <c r="CN26" s="1">
        <v>1.0</v>
      </c>
      <c r="CO26" s="4">
        <f t="shared" si="39"/>
        <v>0.05</v>
      </c>
      <c r="CP26" s="4">
        <f t="shared" si="40"/>
        <v>579</v>
      </c>
      <c r="CQ26" s="1">
        <v>2.0</v>
      </c>
      <c r="CR26" s="4">
        <f t="shared" si="41"/>
        <v>200.5</v>
      </c>
      <c r="CS26" s="1">
        <v>2.0</v>
      </c>
      <c r="CT26" s="1">
        <v>0.0</v>
      </c>
      <c r="CU26" s="4">
        <f t="shared" si="42"/>
        <v>0</v>
      </c>
      <c r="CV26" s="1">
        <f t="shared" si="43"/>
        <v>577</v>
      </c>
      <c r="CW26" s="1">
        <v>2.0</v>
      </c>
      <c r="CX26" s="4">
        <f t="shared" si="44"/>
        <v>250</v>
      </c>
      <c r="CY26" s="1">
        <v>2.0</v>
      </c>
      <c r="CZ26" s="1">
        <v>0.0</v>
      </c>
      <c r="DA26" s="4">
        <f t="shared" si="45"/>
        <v>0</v>
      </c>
      <c r="DB26" s="4">
        <f t="shared" ref="DB26:DE26" si="85">CV26</f>
        <v>577</v>
      </c>
      <c r="DC26" s="4">
        <f t="shared" si="85"/>
        <v>2</v>
      </c>
      <c r="DD26" s="4">
        <f t="shared" si="85"/>
        <v>250</v>
      </c>
      <c r="DE26" s="4">
        <f t="shared" si="85"/>
        <v>2</v>
      </c>
      <c r="DF26" s="1">
        <v>0.0</v>
      </c>
      <c r="DG26" s="4">
        <f t="shared" si="47"/>
        <v>0</v>
      </c>
      <c r="DH26" s="1">
        <v>1000.0</v>
      </c>
      <c r="DI26" s="1">
        <v>2.0</v>
      </c>
      <c r="DJ26" s="4">
        <f t="shared" si="48"/>
        <v>597</v>
      </c>
      <c r="DK26" s="1">
        <v>2.0</v>
      </c>
      <c r="DL26" s="1">
        <v>0.0</v>
      </c>
      <c r="DM26" s="4">
        <f t="shared" si="49"/>
        <v>0</v>
      </c>
      <c r="DN26" s="4">
        <f t="shared" si="50"/>
        <v>1.97</v>
      </c>
      <c r="DO26" s="4">
        <f t="shared" si="51"/>
        <v>1.48</v>
      </c>
      <c r="DP26" s="4"/>
      <c r="DQ26" s="4"/>
      <c r="DR26" s="4"/>
      <c r="DS26" s="4"/>
      <c r="DT26" s="4"/>
      <c r="DU26" s="4"/>
      <c r="DV26" s="4"/>
    </row>
    <row r="27">
      <c r="A27" s="3" t="s">
        <v>277</v>
      </c>
      <c r="B27" s="1">
        <v>600.0</v>
      </c>
      <c r="C27" s="1">
        <v>580.0</v>
      </c>
      <c r="D27" s="1">
        <v>850.0</v>
      </c>
      <c r="E27" s="4">
        <f t="shared" si="52"/>
        <v>15</v>
      </c>
      <c r="F27" s="4">
        <f t="shared" si="53"/>
        <v>18</v>
      </c>
      <c r="G27" s="4">
        <f t="shared" si="54"/>
        <v>6</v>
      </c>
      <c r="H27" s="4">
        <f t="shared" si="55"/>
        <v>100</v>
      </c>
      <c r="I27" s="4">
        <f t="shared" si="56"/>
        <v>100</v>
      </c>
      <c r="J27" s="4">
        <f t="shared" si="57"/>
        <v>13</v>
      </c>
      <c r="K27" s="4">
        <f t="shared" si="58"/>
        <v>20</v>
      </c>
      <c r="L27" s="4">
        <f t="shared" si="59"/>
        <v>6</v>
      </c>
      <c r="M27" s="4">
        <f t="shared" si="60"/>
        <v>2</v>
      </c>
      <c r="N27" s="4">
        <f t="shared" si="61"/>
        <v>10</v>
      </c>
      <c r="O27" s="4">
        <f t="shared" si="62"/>
        <v>8</v>
      </c>
      <c r="P27" s="4">
        <f t="shared" si="2"/>
        <v>600</v>
      </c>
      <c r="Q27" s="1">
        <v>0.0</v>
      </c>
      <c r="R27" s="1">
        <f t="shared" si="3"/>
        <v>100</v>
      </c>
      <c r="S27" s="1">
        <v>1.0</v>
      </c>
      <c r="T27" s="1">
        <v>1.0</v>
      </c>
      <c r="U27" s="4">
        <f t="shared" si="4"/>
        <v>0.06</v>
      </c>
      <c r="V27" s="4">
        <f t="shared" si="5"/>
        <v>462</v>
      </c>
      <c r="W27" s="1">
        <v>0.0</v>
      </c>
      <c r="X27" s="4">
        <f t="shared" si="6"/>
        <v>100</v>
      </c>
      <c r="Y27" s="1">
        <v>0.0</v>
      </c>
      <c r="Z27" s="1">
        <v>2.0</v>
      </c>
      <c r="AA27" s="4">
        <f t="shared" si="7"/>
        <v>0.1</v>
      </c>
      <c r="AB27" s="4">
        <f t="shared" si="8"/>
        <v>564</v>
      </c>
      <c r="AC27" s="1">
        <v>0.0</v>
      </c>
      <c r="AD27" s="4">
        <f t="shared" si="9"/>
        <v>100</v>
      </c>
      <c r="AE27" s="1">
        <v>0.0</v>
      </c>
      <c r="AF27" s="1">
        <v>1.0</v>
      </c>
      <c r="AG27" s="4">
        <f t="shared" si="10"/>
        <v>0.06</v>
      </c>
      <c r="AH27" s="1">
        <f t="shared" si="11"/>
        <v>582</v>
      </c>
      <c r="AI27" s="1">
        <v>1.0</v>
      </c>
      <c r="AJ27" s="1">
        <f t="shared" si="12"/>
        <v>574</v>
      </c>
      <c r="AK27" s="1">
        <v>0.0</v>
      </c>
      <c r="AL27" s="1">
        <v>2.0</v>
      </c>
      <c r="AM27" s="4">
        <f t="shared" si="13"/>
        <v>0.67</v>
      </c>
      <c r="AN27" s="1">
        <f t="shared" si="14"/>
        <v>732</v>
      </c>
      <c r="AO27" s="1">
        <v>1.0</v>
      </c>
      <c r="AP27" s="1">
        <f t="shared" si="15"/>
        <v>574</v>
      </c>
      <c r="AQ27" s="1">
        <v>0.0</v>
      </c>
      <c r="AR27" s="1">
        <v>2.0</v>
      </c>
      <c r="AS27" s="4">
        <f t="shared" si="16"/>
        <v>0.85</v>
      </c>
      <c r="AT27" s="1">
        <f t="shared" si="17"/>
        <v>762</v>
      </c>
      <c r="AU27" s="1">
        <v>0.0</v>
      </c>
      <c r="AV27" s="1">
        <f t="shared" si="18"/>
        <v>582</v>
      </c>
      <c r="AW27" s="1">
        <v>0.0</v>
      </c>
      <c r="AX27" s="1">
        <v>1.0</v>
      </c>
      <c r="AY27" s="4">
        <f t="shared" si="19"/>
        <v>0.45</v>
      </c>
      <c r="AZ27" s="4">
        <f t="shared" si="20"/>
        <v>552</v>
      </c>
      <c r="BA27" s="1">
        <v>1.0</v>
      </c>
      <c r="BB27" s="4">
        <f t="shared" si="21"/>
        <v>574</v>
      </c>
      <c r="BC27" s="1">
        <v>0.0</v>
      </c>
      <c r="BD27" s="1">
        <v>0.0</v>
      </c>
      <c r="BE27" s="4">
        <f t="shared" si="22"/>
        <v>0</v>
      </c>
      <c r="BF27" s="4">
        <f t="shared" si="23"/>
        <v>496</v>
      </c>
      <c r="BG27" s="1">
        <v>2.0</v>
      </c>
      <c r="BH27" s="4">
        <f t="shared" si="24"/>
        <v>176.5</v>
      </c>
      <c r="BI27" s="1">
        <v>0.0</v>
      </c>
      <c r="BJ27" s="1">
        <v>0.0</v>
      </c>
      <c r="BK27" s="4">
        <f t="shared" si="25"/>
        <v>0</v>
      </c>
      <c r="BL27" s="4">
        <f t="shared" si="26"/>
        <v>534</v>
      </c>
      <c r="BM27" s="1">
        <v>2.0</v>
      </c>
      <c r="BN27" s="4">
        <f t="shared" si="27"/>
        <v>176.5</v>
      </c>
      <c r="BO27" s="1">
        <v>2.0</v>
      </c>
      <c r="BP27" s="1">
        <v>0.0</v>
      </c>
      <c r="BQ27" s="4">
        <f t="shared" si="28"/>
        <v>0</v>
      </c>
      <c r="BR27" s="4">
        <f t="shared" si="29"/>
        <v>550</v>
      </c>
      <c r="BS27" s="1">
        <v>0.0</v>
      </c>
      <c r="BT27" s="4">
        <f t="shared" si="30"/>
        <v>512</v>
      </c>
      <c r="BU27" s="1">
        <v>0.0</v>
      </c>
      <c r="BV27" s="1">
        <v>0.0</v>
      </c>
      <c r="BW27" s="4">
        <f t="shared" si="31"/>
        <v>0</v>
      </c>
      <c r="BX27" s="4">
        <f t="shared" si="32"/>
        <v>582</v>
      </c>
      <c r="BY27" s="1">
        <v>1.0</v>
      </c>
      <c r="BZ27" s="4">
        <f t="shared" si="33"/>
        <v>574</v>
      </c>
      <c r="CA27" s="1">
        <v>0.0</v>
      </c>
      <c r="CB27" s="1">
        <v>1.0</v>
      </c>
      <c r="CC27" s="4">
        <f t="shared" si="34"/>
        <v>0.34</v>
      </c>
      <c r="CD27" s="4">
        <f t="shared" si="35"/>
        <v>750</v>
      </c>
      <c r="CE27" s="1">
        <v>1.0</v>
      </c>
      <c r="CF27" s="4">
        <f t="shared" si="36"/>
        <v>580</v>
      </c>
      <c r="CG27" s="1">
        <v>1.0</v>
      </c>
      <c r="CH27" s="1">
        <v>2.0</v>
      </c>
      <c r="CI27" s="4">
        <f t="shared" si="37"/>
        <v>0.87</v>
      </c>
      <c r="CJ27" s="4">
        <f t="shared" si="38"/>
        <v>582</v>
      </c>
      <c r="CK27" s="1">
        <v>1.0</v>
      </c>
      <c r="CL27" s="1">
        <v>80.0</v>
      </c>
      <c r="CM27" s="1">
        <v>0.0</v>
      </c>
      <c r="CN27" s="1">
        <v>1.0</v>
      </c>
      <c r="CO27" s="4">
        <f t="shared" si="39"/>
        <v>0.05</v>
      </c>
      <c r="CP27" s="4">
        <f t="shared" si="40"/>
        <v>579</v>
      </c>
      <c r="CQ27" s="1">
        <v>2.0</v>
      </c>
      <c r="CR27" s="4">
        <f t="shared" si="41"/>
        <v>200.5</v>
      </c>
      <c r="CS27" s="1">
        <v>2.0</v>
      </c>
      <c r="CT27" s="1">
        <v>0.0</v>
      </c>
      <c r="CU27" s="4">
        <f t="shared" si="42"/>
        <v>0</v>
      </c>
      <c r="CV27" s="1">
        <f t="shared" si="43"/>
        <v>577</v>
      </c>
      <c r="CW27" s="1">
        <v>2.0</v>
      </c>
      <c r="CX27" s="4">
        <f t="shared" si="44"/>
        <v>250</v>
      </c>
      <c r="CY27" s="1">
        <v>2.0</v>
      </c>
      <c r="CZ27" s="1">
        <v>0.0</v>
      </c>
      <c r="DA27" s="4">
        <f t="shared" si="45"/>
        <v>0</v>
      </c>
      <c r="DB27" s="4">
        <f t="shared" ref="DB27:DE27" si="86">CV27</f>
        <v>577</v>
      </c>
      <c r="DC27" s="4">
        <f t="shared" si="86"/>
        <v>2</v>
      </c>
      <c r="DD27" s="4">
        <f t="shared" si="86"/>
        <v>250</v>
      </c>
      <c r="DE27" s="4">
        <f t="shared" si="86"/>
        <v>2</v>
      </c>
      <c r="DF27" s="1">
        <v>0.0</v>
      </c>
      <c r="DG27" s="4">
        <f t="shared" si="47"/>
        <v>0</v>
      </c>
      <c r="DH27" s="1">
        <v>1000.0</v>
      </c>
      <c r="DI27" s="1">
        <v>2.0</v>
      </c>
      <c r="DJ27" s="4">
        <f t="shared" si="48"/>
        <v>597</v>
      </c>
      <c r="DK27" s="1">
        <v>2.0</v>
      </c>
      <c r="DL27" s="1">
        <v>0.0</v>
      </c>
      <c r="DM27" s="4">
        <f t="shared" si="49"/>
        <v>0</v>
      </c>
      <c r="DN27" s="4">
        <f t="shared" si="50"/>
        <v>1.97</v>
      </c>
      <c r="DO27" s="4">
        <f t="shared" si="51"/>
        <v>1.48</v>
      </c>
      <c r="DP27" s="4"/>
      <c r="DQ27" s="4"/>
      <c r="DR27" s="4"/>
      <c r="DS27" s="4"/>
      <c r="DT27" s="4"/>
      <c r="DU27" s="4"/>
      <c r="DV27" s="4"/>
    </row>
    <row r="28">
      <c r="A28" s="3" t="s">
        <v>278</v>
      </c>
      <c r="B28" s="1">
        <v>450.0</v>
      </c>
      <c r="C28" s="1">
        <v>580.0</v>
      </c>
      <c r="D28" s="1">
        <v>850.0</v>
      </c>
      <c r="E28" s="4">
        <f t="shared" si="52"/>
        <v>15</v>
      </c>
      <c r="F28" s="4">
        <f t="shared" si="53"/>
        <v>18</v>
      </c>
      <c r="G28" s="4">
        <f t="shared" si="54"/>
        <v>6</v>
      </c>
      <c r="H28" s="4">
        <f t="shared" si="55"/>
        <v>100</v>
      </c>
      <c r="I28" s="4">
        <f t="shared" si="56"/>
        <v>100</v>
      </c>
      <c r="J28" s="4">
        <f t="shared" si="57"/>
        <v>13</v>
      </c>
      <c r="K28" s="4">
        <f t="shared" si="58"/>
        <v>20</v>
      </c>
      <c r="L28" s="4">
        <f t="shared" si="59"/>
        <v>6</v>
      </c>
      <c r="M28" s="4">
        <f t="shared" si="60"/>
        <v>2</v>
      </c>
      <c r="N28" s="4">
        <f t="shared" si="61"/>
        <v>10</v>
      </c>
      <c r="O28" s="4">
        <f t="shared" si="62"/>
        <v>8</v>
      </c>
      <c r="P28" s="4">
        <f t="shared" si="2"/>
        <v>450</v>
      </c>
      <c r="Q28" s="1">
        <v>0.0</v>
      </c>
      <c r="R28" s="1">
        <f t="shared" si="3"/>
        <v>100</v>
      </c>
      <c r="S28" s="1">
        <v>1.0</v>
      </c>
      <c r="T28" s="1">
        <v>1.0</v>
      </c>
      <c r="U28" s="4">
        <f t="shared" si="4"/>
        <v>0.05</v>
      </c>
      <c r="V28" s="4">
        <f t="shared" si="5"/>
        <v>462</v>
      </c>
      <c r="W28" s="1">
        <v>0.0</v>
      </c>
      <c r="X28" s="4">
        <f t="shared" si="6"/>
        <v>100</v>
      </c>
      <c r="Y28" s="1">
        <v>0.0</v>
      </c>
      <c r="Z28" s="1">
        <v>2.0</v>
      </c>
      <c r="AA28" s="4">
        <f t="shared" si="7"/>
        <v>0.1</v>
      </c>
      <c r="AB28" s="4">
        <f t="shared" si="8"/>
        <v>414</v>
      </c>
      <c r="AC28" s="1">
        <v>0.0</v>
      </c>
      <c r="AD28" s="4">
        <f t="shared" si="9"/>
        <v>100</v>
      </c>
      <c r="AE28" s="1">
        <v>0.0</v>
      </c>
      <c r="AF28" s="1">
        <v>1.0</v>
      </c>
      <c r="AG28" s="4">
        <f t="shared" si="10"/>
        <v>0.05</v>
      </c>
      <c r="AH28" s="1">
        <f t="shared" si="11"/>
        <v>432</v>
      </c>
      <c r="AI28" s="1">
        <v>1.0</v>
      </c>
      <c r="AJ28" s="1">
        <f t="shared" si="12"/>
        <v>574</v>
      </c>
      <c r="AK28" s="1">
        <v>0.0</v>
      </c>
      <c r="AL28" s="1">
        <v>2.0</v>
      </c>
      <c r="AM28" s="4">
        <f t="shared" si="13"/>
        <v>0.5</v>
      </c>
      <c r="AN28" s="1">
        <f t="shared" si="14"/>
        <v>732</v>
      </c>
      <c r="AO28" s="1">
        <v>1.0</v>
      </c>
      <c r="AP28" s="1">
        <f t="shared" si="15"/>
        <v>574</v>
      </c>
      <c r="AQ28" s="1">
        <v>0.0</v>
      </c>
      <c r="AR28" s="1">
        <v>2.0</v>
      </c>
      <c r="AS28" s="4">
        <f t="shared" si="16"/>
        <v>0.85</v>
      </c>
      <c r="AT28" s="1">
        <f t="shared" si="17"/>
        <v>762</v>
      </c>
      <c r="AU28" s="1">
        <v>0.0</v>
      </c>
      <c r="AV28" s="1">
        <f t="shared" si="18"/>
        <v>432</v>
      </c>
      <c r="AW28" s="1">
        <v>0.0</v>
      </c>
      <c r="AX28" s="1">
        <v>1.0</v>
      </c>
      <c r="AY28" s="4">
        <f t="shared" si="19"/>
        <v>0.33</v>
      </c>
      <c r="AZ28" s="4">
        <f t="shared" si="20"/>
        <v>402</v>
      </c>
      <c r="BA28" s="1">
        <v>1.0</v>
      </c>
      <c r="BB28" s="4">
        <f t="shared" si="21"/>
        <v>574</v>
      </c>
      <c r="BC28" s="1">
        <v>0.0</v>
      </c>
      <c r="BD28" s="1">
        <v>0.0</v>
      </c>
      <c r="BE28" s="4">
        <f t="shared" si="22"/>
        <v>0</v>
      </c>
      <c r="BF28" s="4">
        <f t="shared" si="23"/>
        <v>346</v>
      </c>
      <c r="BG28" s="1">
        <v>2.0</v>
      </c>
      <c r="BH28" s="4">
        <f t="shared" si="24"/>
        <v>176.5</v>
      </c>
      <c r="BI28" s="1">
        <v>0.0</v>
      </c>
      <c r="BJ28" s="1">
        <v>0.0</v>
      </c>
      <c r="BK28" s="4">
        <f t="shared" si="25"/>
        <v>0</v>
      </c>
      <c r="BL28" s="4">
        <f t="shared" si="26"/>
        <v>534</v>
      </c>
      <c r="BM28" s="1">
        <v>2.0</v>
      </c>
      <c r="BN28" s="4">
        <f t="shared" si="27"/>
        <v>176.5</v>
      </c>
      <c r="BO28" s="1">
        <v>2.0</v>
      </c>
      <c r="BP28" s="1">
        <v>0.0</v>
      </c>
      <c r="BQ28" s="4">
        <f t="shared" si="28"/>
        <v>0</v>
      </c>
      <c r="BR28" s="4">
        <f t="shared" si="29"/>
        <v>550</v>
      </c>
      <c r="BS28" s="1">
        <v>0.0</v>
      </c>
      <c r="BT28" s="4">
        <f t="shared" si="30"/>
        <v>362</v>
      </c>
      <c r="BU28" s="1">
        <v>0.0</v>
      </c>
      <c r="BV28" s="1">
        <v>0.0</v>
      </c>
      <c r="BW28" s="4">
        <f t="shared" si="31"/>
        <v>0</v>
      </c>
      <c r="BX28" s="4">
        <f t="shared" si="32"/>
        <v>432</v>
      </c>
      <c r="BY28" s="1">
        <v>1.0</v>
      </c>
      <c r="BZ28" s="4">
        <f t="shared" si="33"/>
        <v>574</v>
      </c>
      <c r="CA28" s="1">
        <v>0.0</v>
      </c>
      <c r="CB28" s="1">
        <v>1.0</v>
      </c>
      <c r="CC28" s="4">
        <f t="shared" si="34"/>
        <v>0.25</v>
      </c>
      <c r="CD28" s="4">
        <f t="shared" si="35"/>
        <v>750</v>
      </c>
      <c r="CE28" s="1">
        <v>1.0</v>
      </c>
      <c r="CF28" s="4">
        <f t="shared" si="36"/>
        <v>580</v>
      </c>
      <c r="CG28" s="1">
        <v>1.0</v>
      </c>
      <c r="CH28" s="1">
        <v>2.0</v>
      </c>
      <c r="CI28" s="4">
        <f t="shared" si="37"/>
        <v>0.87</v>
      </c>
      <c r="CJ28" s="4">
        <f t="shared" si="38"/>
        <v>432</v>
      </c>
      <c r="CK28" s="1">
        <v>1.0</v>
      </c>
      <c r="CL28" s="1">
        <v>80.0</v>
      </c>
      <c r="CM28" s="1">
        <v>0.0</v>
      </c>
      <c r="CN28" s="1">
        <v>1.0</v>
      </c>
      <c r="CO28" s="4">
        <f t="shared" si="39"/>
        <v>0.04</v>
      </c>
      <c r="CP28" s="4">
        <f t="shared" si="40"/>
        <v>429</v>
      </c>
      <c r="CQ28" s="1">
        <v>2.0</v>
      </c>
      <c r="CR28" s="4">
        <f t="shared" si="41"/>
        <v>200.5</v>
      </c>
      <c r="CS28" s="1">
        <v>2.0</v>
      </c>
      <c r="CT28" s="1">
        <v>0.0</v>
      </c>
      <c r="CU28" s="4">
        <f t="shared" si="42"/>
        <v>0</v>
      </c>
      <c r="CV28" s="1">
        <f t="shared" si="43"/>
        <v>577</v>
      </c>
      <c r="CW28" s="1">
        <v>2.0</v>
      </c>
      <c r="CX28" s="4">
        <f t="shared" si="44"/>
        <v>250</v>
      </c>
      <c r="CY28" s="1">
        <v>2.0</v>
      </c>
      <c r="CZ28" s="1">
        <v>0.0</v>
      </c>
      <c r="DA28" s="4">
        <f t="shared" si="45"/>
        <v>0</v>
      </c>
      <c r="DB28" s="4">
        <f t="shared" ref="DB28:DE28" si="87">CV28</f>
        <v>577</v>
      </c>
      <c r="DC28" s="4">
        <f t="shared" si="87"/>
        <v>2</v>
      </c>
      <c r="DD28" s="4">
        <f t="shared" si="87"/>
        <v>250</v>
      </c>
      <c r="DE28" s="4">
        <f t="shared" si="87"/>
        <v>2</v>
      </c>
      <c r="DF28" s="1">
        <v>0.0</v>
      </c>
      <c r="DG28" s="4">
        <f t="shared" si="47"/>
        <v>0</v>
      </c>
      <c r="DH28" s="1">
        <v>1000.0</v>
      </c>
      <c r="DI28" s="1">
        <v>2.0</v>
      </c>
      <c r="DJ28" s="4">
        <f t="shared" si="48"/>
        <v>447</v>
      </c>
      <c r="DK28" s="1">
        <v>2.0</v>
      </c>
      <c r="DL28" s="1">
        <v>0.0</v>
      </c>
      <c r="DM28" s="4">
        <f t="shared" si="49"/>
        <v>0</v>
      </c>
      <c r="DN28" s="4">
        <f t="shared" si="50"/>
        <v>1.68</v>
      </c>
      <c r="DO28" s="4">
        <f t="shared" si="51"/>
        <v>1.36</v>
      </c>
      <c r="DP28" s="4"/>
      <c r="DQ28" s="4"/>
      <c r="DR28" s="4"/>
      <c r="DS28" s="4"/>
      <c r="DT28" s="4"/>
      <c r="DU28" s="4"/>
      <c r="DV28" s="4"/>
    </row>
    <row r="29">
      <c r="A29" s="3" t="s">
        <v>280</v>
      </c>
      <c r="B29" s="1">
        <v>450.0</v>
      </c>
      <c r="C29" s="1">
        <v>580.0</v>
      </c>
      <c r="D29" s="1">
        <v>850.0</v>
      </c>
      <c r="E29" s="4">
        <f t="shared" si="52"/>
        <v>15</v>
      </c>
      <c r="F29" s="4">
        <f t="shared" si="53"/>
        <v>18</v>
      </c>
      <c r="G29" s="4">
        <f t="shared" si="54"/>
        <v>6</v>
      </c>
      <c r="H29" s="4">
        <f t="shared" si="55"/>
        <v>100</v>
      </c>
      <c r="I29" s="4">
        <f t="shared" si="56"/>
        <v>100</v>
      </c>
      <c r="J29" s="4">
        <f t="shared" si="57"/>
        <v>13</v>
      </c>
      <c r="K29" s="4">
        <f t="shared" si="58"/>
        <v>20</v>
      </c>
      <c r="L29" s="4">
        <f t="shared" si="59"/>
        <v>6</v>
      </c>
      <c r="M29" s="4">
        <f t="shared" si="60"/>
        <v>2</v>
      </c>
      <c r="N29" s="4">
        <f t="shared" si="61"/>
        <v>10</v>
      </c>
      <c r="O29" s="4">
        <f t="shared" si="62"/>
        <v>8</v>
      </c>
      <c r="P29" s="4">
        <f t="shared" si="2"/>
        <v>450</v>
      </c>
      <c r="Q29" s="1">
        <v>0.0</v>
      </c>
      <c r="R29" s="1">
        <f t="shared" si="3"/>
        <v>100</v>
      </c>
      <c r="S29" s="1">
        <v>1.0</v>
      </c>
      <c r="T29" s="1">
        <v>1.0</v>
      </c>
      <c r="U29" s="4">
        <f t="shared" si="4"/>
        <v>0.05</v>
      </c>
      <c r="V29" s="4">
        <f t="shared" si="5"/>
        <v>462</v>
      </c>
      <c r="W29" s="1">
        <v>0.0</v>
      </c>
      <c r="X29" s="4">
        <f t="shared" si="6"/>
        <v>100</v>
      </c>
      <c r="Y29" s="1">
        <v>0.0</v>
      </c>
      <c r="Z29" s="1">
        <v>2.0</v>
      </c>
      <c r="AA29" s="4">
        <f t="shared" si="7"/>
        <v>0.1</v>
      </c>
      <c r="AB29" s="4">
        <f t="shared" si="8"/>
        <v>414</v>
      </c>
      <c r="AC29" s="1">
        <v>0.0</v>
      </c>
      <c r="AD29" s="4">
        <f t="shared" si="9"/>
        <v>100</v>
      </c>
      <c r="AE29" s="1">
        <v>0.0</v>
      </c>
      <c r="AF29" s="1">
        <v>1.0</v>
      </c>
      <c r="AG29" s="4">
        <f t="shared" si="10"/>
        <v>0.05</v>
      </c>
      <c r="AH29" s="1">
        <f t="shared" si="11"/>
        <v>432</v>
      </c>
      <c r="AI29" s="1">
        <v>1.0</v>
      </c>
      <c r="AJ29" s="1">
        <f t="shared" si="12"/>
        <v>574</v>
      </c>
      <c r="AK29" s="1">
        <v>0.0</v>
      </c>
      <c r="AL29" s="1">
        <v>2.0</v>
      </c>
      <c r="AM29" s="4">
        <f t="shared" si="13"/>
        <v>0.5</v>
      </c>
      <c r="AN29" s="1">
        <f t="shared" si="14"/>
        <v>732</v>
      </c>
      <c r="AO29" s="1">
        <v>1.0</v>
      </c>
      <c r="AP29" s="1">
        <f t="shared" si="15"/>
        <v>574</v>
      </c>
      <c r="AQ29" s="1">
        <v>0.0</v>
      </c>
      <c r="AR29" s="1">
        <v>2.0</v>
      </c>
      <c r="AS29" s="4">
        <f t="shared" si="16"/>
        <v>0.85</v>
      </c>
      <c r="AT29" s="1">
        <f t="shared" si="17"/>
        <v>762</v>
      </c>
      <c r="AU29" s="1">
        <v>0.0</v>
      </c>
      <c r="AV29" s="1">
        <f t="shared" si="18"/>
        <v>432</v>
      </c>
      <c r="AW29" s="1">
        <v>0.0</v>
      </c>
      <c r="AX29" s="1">
        <v>1.0</v>
      </c>
      <c r="AY29" s="4">
        <f t="shared" si="19"/>
        <v>0.33</v>
      </c>
      <c r="AZ29" s="4">
        <f t="shared" si="20"/>
        <v>402</v>
      </c>
      <c r="BA29" s="1">
        <v>1.0</v>
      </c>
      <c r="BB29" s="4">
        <f t="shared" si="21"/>
        <v>574</v>
      </c>
      <c r="BC29" s="1">
        <v>0.0</v>
      </c>
      <c r="BD29" s="1">
        <v>0.0</v>
      </c>
      <c r="BE29" s="4">
        <f t="shared" si="22"/>
        <v>0</v>
      </c>
      <c r="BF29" s="4">
        <f t="shared" si="23"/>
        <v>346</v>
      </c>
      <c r="BG29" s="1">
        <v>2.0</v>
      </c>
      <c r="BH29" s="4">
        <f t="shared" si="24"/>
        <v>176.5</v>
      </c>
      <c r="BI29" s="1">
        <v>0.0</v>
      </c>
      <c r="BJ29" s="1">
        <v>0.0</v>
      </c>
      <c r="BK29" s="4">
        <f t="shared" si="25"/>
        <v>0</v>
      </c>
      <c r="BL29" s="4">
        <f t="shared" si="26"/>
        <v>534</v>
      </c>
      <c r="BM29" s="1">
        <v>2.0</v>
      </c>
      <c r="BN29" s="4">
        <f t="shared" si="27"/>
        <v>176.5</v>
      </c>
      <c r="BO29" s="1">
        <v>2.0</v>
      </c>
      <c r="BP29" s="1">
        <v>0.0</v>
      </c>
      <c r="BQ29" s="4">
        <f t="shared" si="28"/>
        <v>0</v>
      </c>
      <c r="BR29" s="4">
        <f t="shared" si="29"/>
        <v>550</v>
      </c>
      <c r="BS29" s="1">
        <v>0.0</v>
      </c>
      <c r="BT29" s="4">
        <f t="shared" si="30"/>
        <v>362</v>
      </c>
      <c r="BU29" s="1">
        <v>0.0</v>
      </c>
      <c r="BV29" s="1">
        <v>0.0</v>
      </c>
      <c r="BW29" s="4">
        <f t="shared" si="31"/>
        <v>0</v>
      </c>
      <c r="BX29" s="4">
        <f t="shared" si="32"/>
        <v>432</v>
      </c>
      <c r="BY29" s="1">
        <v>1.0</v>
      </c>
      <c r="BZ29" s="4">
        <f t="shared" si="33"/>
        <v>574</v>
      </c>
      <c r="CA29" s="1">
        <v>0.0</v>
      </c>
      <c r="CB29" s="1">
        <v>1.0</v>
      </c>
      <c r="CC29" s="4">
        <f t="shared" si="34"/>
        <v>0.25</v>
      </c>
      <c r="CD29" s="4">
        <f t="shared" si="35"/>
        <v>750</v>
      </c>
      <c r="CE29" s="1">
        <v>1.0</v>
      </c>
      <c r="CF29" s="4">
        <f t="shared" si="36"/>
        <v>580</v>
      </c>
      <c r="CG29" s="1">
        <v>1.0</v>
      </c>
      <c r="CH29" s="1">
        <v>2.0</v>
      </c>
      <c r="CI29" s="4">
        <f t="shared" si="37"/>
        <v>0.87</v>
      </c>
      <c r="CJ29" s="4">
        <f t="shared" si="38"/>
        <v>432</v>
      </c>
      <c r="CK29" s="1">
        <v>1.0</v>
      </c>
      <c r="CL29" s="1">
        <v>80.0</v>
      </c>
      <c r="CM29" s="1">
        <v>0.0</v>
      </c>
      <c r="CN29" s="1">
        <v>1.0</v>
      </c>
      <c r="CO29" s="4">
        <f t="shared" si="39"/>
        <v>0.04</v>
      </c>
      <c r="CP29" s="4">
        <f t="shared" si="40"/>
        <v>429</v>
      </c>
      <c r="CQ29" s="1">
        <v>2.0</v>
      </c>
      <c r="CR29" s="4">
        <f t="shared" si="41"/>
        <v>200.5</v>
      </c>
      <c r="CS29" s="1">
        <v>2.0</v>
      </c>
      <c r="CT29" s="1">
        <v>0.0</v>
      </c>
      <c r="CU29" s="4">
        <f t="shared" si="42"/>
        <v>0</v>
      </c>
      <c r="CV29" s="1">
        <f t="shared" si="43"/>
        <v>577</v>
      </c>
      <c r="CW29" s="1">
        <v>2.0</v>
      </c>
      <c r="CX29" s="4">
        <f t="shared" si="44"/>
        <v>250</v>
      </c>
      <c r="CY29" s="1">
        <v>2.0</v>
      </c>
      <c r="CZ29" s="1">
        <v>0.0</v>
      </c>
      <c r="DA29" s="4">
        <f t="shared" si="45"/>
        <v>0</v>
      </c>
      <c r="DB29" s="4">
        <f t="shared" ref="DB29:DE29" si="88">CV29</f>
        <v>577</v>
      </c>
      <c r="DC29" s="4">
        <f t="shared" si="88"/>
        <v>2</v>
      </c>
      <c r="DD29" s="4">
        <f t="shared" si="88"/>
        <v>250</v>
      </c>
      <c r="DE29" s="4">
        <f t="shared" si="88"/>
        <v>2</v>
      </c>
      <c r="DF29" s="1">
        <v>0.0</v>
      </c>
      <c r="DG29" s="4">
        <f t="shared" si="47"/>
        <v>0</v>
      </c>
      <c r="DH29" s="1">
        <v>1000.0</v>
      </c>
      <c r="DI29" s="1">
        <v>2.0</v>
      </c>
      <c r="DJ29" s="4">
        <f t="shared" si="48"/>
        <v>447</v>
      </c>
      <c r="DK29" s="1">
        <v>2.0</v>
      </c>
      <c r="DL29" s="1">
        <v>0.0</v>
      </c>
      <c r="DM29" s="4">
        <f t="shared" si="49"/>
        <v>0</v>
      </c>
      <c r="DN29" s="4">
        <f t="shared" si="50"/>
        <v>1.68</v>
      </c>
      <c r="DO29" s="4">
        <f t="shared" si="51"/>
        <v>1.36</v>
      </c>
      <c r="DP29" s="4"/>
      <c r="DQ29" s="4"/>
      <c r="DR29" s="4"/>
      <c r="DS29" s="4"/>
      <c r="DT29" s="4"/>
      <c r="DU29" s="4"/>
      <c r="DV29" s="4"/>
    </row>
    <row r="30">
      <c r="A30" s="3" t="s">
        <v>281</v>
      </c>
      <c r="B30" s="1">
        <v>450.0</v>
      </c>
      <c r="C30" s="1">
        <v>580.0</v>
      </c>
      <c r="D30" s="1">
        <v>850.0</v>
      </c>
      <c r="E30" s="4">
        <f t="shared" si="52"/>
        <v>15</v>
      </c>
      <c r="F30" s="4">
        <f t="shared" si="53"/>
        <v>18</v>
      </c>
      <c r="G30" s="4">
        <f t="shared" si="54"/>
        <v>6</v>
      </c>
      <c r="H30" s="4">
        <f t="shared" si="55"/>
        <v>100</v>
      </c>
      <c r="I30" s="4">
        <f t="shared" si="56"/>
        <v>100</v>
      </c>
      <c r="J30" s="4">
        <f t="shared" si="57"/>
        <v>13</v>
      </c>
      <c r="K30" s="4">
        <f t="shared" si="58"/>
        <v>20</v>
      </c>
      <c r="L30" s="4">
        <f t="shared" si="59"/>
        <v>6</v>
      </c>
      <c r="M30" s="4">
        <f t="shared" si="60"/>
        <v>2</v>
      </c>
      <c r="N30" s="4">
        <f t="shared" si="61"/>
        <v>10</v>
      </c>
      <c r="O30" s="4">
        <f t="shared" si="62"/>
        <v>8</v>
      </c>
      <c r="P30" s="4">
        <f t="shared" si="2"/>
        <v>450</v>
      </c>
      <c r="Q30" s="1">
        <v>0.0</v>
      </c>
      <c r="R30" s="1">
        <f t="shared" si="3"/>
        <v>100</v>
      </c>
      <c r="S30" s="1">
        <v>1.0</v>
      </c>
      <c r="T30" s="1">
        <v>1.0</v>
      </c>
      <c r="U30" s="4">
        <f t="shared" si="4"/>
        <v>0.05</v>
      </c>
      <c r="V30" s="4">
        <f t="shared" si="5"/>
        <v>462</v>
      </c>
      <c r="W30" s="1">
        <v>0.0</v>
      </c>
      <c r="X30" s="4">
        <f t="shared" si="6"/>
        <v>100</v>
      </c>
      <c r="Y30" s="1">
        <v>0.0</v>
      </c>
      <c r="Z30" s="1">
        <v>2.0</v>
      </c>
      <c r="AA30" s="4">
        <f t="shared" si="7"/>
        <v>0.1</v>
      </c>
      <c r="AB30" s="4">
        <f t="shared" si="8"/>
        <v>414</v>
      </c>
      <c r="AC30" s="1">
        <v>0.0</v>
      </c>
      <c r="AD30" s="4">
        <f t="shared" si="9"/>
        <v>100</v>
      </c>
      <c r="AE30" s="1">
        <v>0.0</v>
      </c>
      <c r="AF30" s="1">
        <v>1.0</v>
      </c>
      <c r="AG30" s="4">
        <f t="shared" si="10"/>
        <v>0.05</v>
      </c>
      <c r="AH30" s="1">
        <f t="shared" si="11"/>
        <v>432</v>
      </c>
      <c r="AI30" s="1">
        <v>1.0</v>
      </c>
      <c r="AJ30" s="1">
        <f t="shared" si="12"/>
        <v>574</v>
      </c>
      <c r="AK30" s="1">
        <v>0.0</v>
      </c>
      <c r="AL30" s="1">
        <v>2.0</v>
      </c>
      <c r="AM30" s="4">
        <f t="shared" si="13"/>
        <v>0.5</v>
      </c>
      <c r="AN30" s="1">
        <f t="shared" si="14"/>
        <v>732</v>
      </c>
      <c r="AO30" s="1">
        <v>1.0</v>
      </c>
      <c r="AP30" s="1">
        <f t="shared" si="15"/>
        <v>574</v>
      </c>
      <c r="AQ30" s="1">
        <v>0.0</v>
      </c>
      <c r="AR30" s="1">
        <v>2.0</v>
      </c>
      <c r="AS30" s="4">
        <f t="shared" si="16"/>
        <v>0.85</v>
      </c>
      <c r="AT30" s="1">
        <f t="shared" si="17"/>
        <v>762</v>
      </c>
      <c r="AU30" s="1">
        <v>0.0</v>
      </c>
      <c r="AV30" s="1">
        <f t="shared" si="18"/>
        <v>432</v>
      </c>
      <c r="AW30" s="1">
        <v>0.0</v>
      </c>
      <c r="AX30" s="1">
        <v>1.0</v>
      </c>
      <c r="AY30" s="4">
        <f t="shared" si="19"/>
        <v>0.33</v>
      </c>
      <c r="AZ30" s="4">
        <f t="shared" si="20"/>
        <v>402</v>
      </c>
      <c r="BA30" s="1">
        <v>1.0</v>
      </c>
      <c r="BB30" s="4">
        <f t="shared" si="21"/>
        <v>574</v>
      </c>
      <c r="BC30" s="1">
        <v>0.0</v>
      </c>
      <c r="BD30" s="1">
        <v>0.0</v>
      </c>
      <c r="BE30" s="4">
        <f t="shared" si="22"/>
        <v>0</v>
      </c>
      <c r="BF30" s="4">
        <f t="shared" si="23"/>
        <v>346</v>
      </c>
      <c r="BG30" s="1">
        <v>2.0</v>
      </c>
      <c r="BH30" s="4">
        <f t="shared" si="24"/>
        <v>176.5</v>
      </c>
      <c r="BI30" s="1">
        <v>0.0</v>
      </c>
      <c r="BJ30" s="1">
        <v>0.0</v>
      </c>
      <c r="BK30" s="4">
        <f t="shared" si="25"/>
        <v>0</v>
      </c>
      <c r="BL30" s="4">
        <f t="shared" si="26"/>
        <v>534</v>
      </c>
      <c r="BM30" s="1">
        <v>2.0</v>
      </c>
      <c r="BN30" s="4">
        <f t="shared" si="27"/>
        <v>176.5</v>
      </c>
      <c r="BO30" s="1">
        <v>2.0</v>
      </c>
      <c r="BP30" s="1">
        <v>0.0</v>
      </c>
      <c r="BQ30" s="4">
        <f t="shared" si="28"/>
        <v>0</v>
      </c>
      <c r="BR30" s="4">
        <f t="shared" si="29"/>
        <v>550</v>
      </c>
      <c r="BS30" s="1">
        <v>0.0</v>
      </c>
      <c r="BT30" s="4">
        <f t="shared" si="30"/>
        <v>362</v>
      </c>
      <c r="BU30" s="1">
        <v>0.0</v>
      </c>
      <c r="BV30" s="1">
        <v>0.0</v>
      </c>
      <c r="BW30" s="4">
        <f t="shared" si="31"/>
        <v>0</v>
      </c>
      <c r="BX30" s="4">
        <f t="shared" si="32"/>
        <v>432</v>
      </c>
      <c r="BY30" s="1">
        <v>1.0</v>
      </c>
      <c r="BZ30" s="4">
        <f t="shared" si="33"/>
        <v>574</v>
      </c>
      <c r="CA30" s="1">
        <v>0.0</v>
      </c>
      <c r="CB30" s="1">
        <v>1.0</v>
      </c>
      <c r="CC30" s="4">
        <f t="shared" si="34"/>
        <v>0.25</v>
      </c>
      <c r="CD30" s="4">
        <f t="shared" si="35"/>
        <v>750</v>
      </c>
      <c r="CE30" s="1">
        <v>1.0</v>
      </c>
      <c r="CF30" s="4">
        <f t="shared" si="36"/>
        <v>580</v>
      </c>
      <c r="CG30" s="1">
        <v>1.0</v>
      </c>
      <c r="CH30" s="1">
        <v>2.0</v>
      </c>
      <c r="CI30" s="4">
        <f t="shared" si="37"/>
        <v>0.87</v>
      </c>
      <c r="CJ30" s="4">
        <f t="shared" si="38"/>
        <v>432</v>
      </c>
      <c r="CK30" s="1">
        <v>1.0</v>
      </c>
      <c r="CL30" s="1">
        <v>80.0</v>
      </c>
      <c r="CM30" s="1">
        <v>0.0</v>
      </c>
      <c r="CN30" s="1">
        <v>1.0</v>
      </c>
      <c r="CO30" s="4">
        <f t="shared" si="39"/>
        <v>0.04</v>
      </c>
      <c r="CP30" s="4">
        <f t="shared" si="40"/>
        <v>429</v>
      </c>
      <c r="CQ30" s="1">
        <v>2.0</v>
      </c>
      <c r="CR30" s="4">
        <f t="shared" si="41"/>
        <v>200.5</v>
      </c>
      <c r="CS30" s="1">
        <v>2.0</v>
      </c>
      <c r="CT30" s="1">
        <v>0.0</v>
      </c>
      <c r="CU30" s="4">
        <f t="shared" si="42"/>
        <v>0</v>
      </c>
      <c r="CV30" s="1">
        <f t="shared" si="43"/>
        <v>577</v>
      </c>
      <c r="CW30" s="1">
        <v>2.0</v>
      </c>
      <c r="CX30" s="4">
        <f t="shared" si="44"/>
        <v>250</v>
      </c>
      <c r="CY30" s="1">
        <v>2.0</v>
      </c>
      <c r="CZ30" s="1">
        <v>0.0</v>
      </c>
      <c r="DA30" s="4">
        <f t="shared" si="45"/>
        <v>0</v>
      </c>
      <c r="DB30" s="4">
        <f t="shared" ref="DB30:DE30" si="89">CV30</f>
        <v>577</v>
      </c>
      <c r="DC30" s="4">
        <f t="shared" si="89"/>
        <v>2</v>
      </c>
      <c r="DD30" s="4">
        <f t="shared" si="89"/>
        <v>250</v>
      </c>
      <c r="DE30" s="4">
        <f t="shared" si="89"/>
        <v>2</v>
      </c>
      <c r="DF30" s="1">
        <v>0.0</v>
      </c>
      <c r="DG30" s="4">
        <f t="shared" si="47"/>
        <v>0</v>
      </c>
      <c r="DH30" s="1">
        <v>1000.0</v>
      </c>
      <c r="DI30" s="1">
        <v>2.0</v>
      </c>
      <c r="DJ30" s="4">
        <f t="shared" si="48"/>
        <v>447</v>
      </c>
      <c r="DK30" s="1">
        <v>2.0</v>
      </c>
      <c r="DL30" s="1">
        <v>0.0</v>
      </c>
      <c r="DM30" s="4">
        <f t="shared" si="49"/>
        <v>0</v>
      </c>
      <c r="DN30" s="4">
        <f t="shared" si="50"/>
        <v>1.68</v>
      </c>
      <c r="DO30" s="4">
        <f t="shared" si="51"/>
        <v>1.36</v>
      </c>
      <c r="DP30" s="4"/>
      <c r="DQ30" s="4"/>
      <c r="DR30" s="4"/>
      <c r="DS30" s="4"/>
      <c r="DT30" s="4"/>
      <c r="DU30" s="4"/>
      <c r="DV30" s="4"/>
    </row>
    <row r="31">
      <c r="A31" s="3" t="s">
        <v>282</v>
      </c>
      <c r="B31" s="1">
        <v>450.0</v>
      </c>
      <c r="C31" s="1">
        <v>580.0</v>
      </c>
      <c r="D31" s="1">
        <v>850.0</v>
      </c>
      <c r="E31" s="4">
        <f t="shared" si="52"/>
        <v>15</v>
      </c>
      <c r="F31" s="4">
        <f t="shared" si="53"/>
        <v>18</v>
      </c>
      <c r="G31" s="4">
        <f t="shared" si="54"/>
        <v>6</v>
      </c>
      <c r="H31" s="4">
        <f t="shared" si="55"/>
        <v>100</v>
      </c>
      <c r="I31" s="4">
        <f t="shared" si="56"/>
        <v>100</v>
      </c>
      <c r="J31" s="4">
        <f t="shared" si="57"/>
        <v>13</v>
      </c>
      <c r="K31" s="4">
        <f t="shared" si="58"/>
        <v>20</v>
      </c>
      <c r="L31" s="4">
        <f t="shared" si="59"/>
        <v>6</v>
      </c>
      <c r="M31" s="4">
        <f t="shared" si="60"/>
        <v>2</v>
      </c>
      <c r="N31" s="4">
        <f t="shared" si="61"/>
        <v>10</v>
      </c>
      <c r="O31" s="4">
        <f t="shared" si="62"/>
        <v>8</v>
      </c>
      <c r="P31" s="4">
        <f t="shared" si="2"/>
        <v>450</v>
      </c>
      <c r="Q31" s="1">
        <v>0.0</v>
      </c>
      <c r="R31" s="1">
        <f t="shared" si="3"/>
        <v>100</v>
      </c>
      <c r="S31" s="1">
        <v>1.0</v>
      </c>
      <c r="T31" s="1">
        <v>1.0</v>
      </c>
      <c r="U31" s="4">
        <f t="shared" si="4"/>
        <v>0.05</v>
      </c>
      <c r="V31" s="4">
        <f t="shared" si="5"/>
        <v>462</v>
      </c>
      <c r="W31" s="1">
        <v>0.0</v>
      </c>
      <c r="X31" s="4">
        <f t="shared" si="6"/>
        <v>100</v>
      </c>
      <c r="Y31" s="1">
        <v>0.0</v>
      </c>
      <c r="Z31" s="1">
        <v>2.0</v>
      </c>
      <c r="AA31" s="4">
        <f t="shared" si="7"/>
        <v>0.1</v>
      </c>
      <c r="AB31" s="4">
        <f t="shared" si="8"/>
        <v>414</v>
      </c>
      <c r="AC31" s="1">
        <v>0.0</v>
      </c>
      <c r="AD31" s="4">
        <f t="shared" si="9"/>
        <v>100</v>
      </c>
      <c r="AE31" s="1">
        <v>0.0</v>
      </c>
      <c r="AF31" s="1">
        <v>1.0</v>
      </c>
      <c r="AG31" s="4">
        <f t="shared" si="10"/>
        <v>0.05</v>
      </c>
      <c r="AH31" s="1">
        <f t="shared" si="11"/>
        <v>432</v>
      </c>
      <c r="AI31" s="1">
        <v>1.0</v>
      </c>
      <c r="AJ31" s="1">
        <f t="shared" si="12"/>
        <v>574</v>
      </c>
      <c r="AK31" s="1">
        <v>0.0</v>
      </c>
      <c r="AL31" s="1">
        <v>2.0</v>
      </c>
      <c r="AM31" s="4">
        <f t="shared" si="13"/>
        <v>0.5</v>
      </c>
      <c r="AN31" s="1">
        <f t="shared" si="14"/>
        <v>732</v>
      </c>
      <c r="AO31" s="1">
        <v>1.0</v>
      </c>
      <c r="AP31" s="1">
        <f t="shared" si="15"/>
        <v>574</v>
      </c>
      <c r="AQ31" s="1">
        <v>0.0</v>
      </c>
      <c r="AR31" s="1">
        <v>2.0</v>
      </c>
      <c r="AS31" s="4">
        <f t="shared" si="16"/>
        <v>0.85</v>
      </c>
      <c r="AT31" s="1">
        <f t="shared" si="17"/>
        <v>762</v>
      </c>
      <c r="AU31" s="1">
        <v>0.0</v>
      </c>
      <c r="AV31" s="1">
        <f t="shared" si="18"/>
        <v>432</v>
      </c>
      <c r="AW31" s="1">
        <v>0.0</v>
      </c>
      <c r="AX31" s="1">
        <v>1.0</v>
      </c>
      <c r="AY31" s="4">
        <f t="shared" si="19"/>
        <v>0.33</v>
      </c>
      <c r="AZ31" s="4">
        <f t="shared" si="20"/>
        <v>402</v>
      </c>
      <c r="BA31" s="1">
        <v>1.0</v>
      </c>
      <c r="BB31" s="4">
        <f t="shared" si="21"/>
        <v>574</v>
      </c>
      <c r="BC31" s="1">
        <v>0.0</v>
      </c>
      <c r="BD31" s="1">
        <v>0.0</v>
      </c>
      <c r="BE31" s="4">
        <f t="shared" si="22"/>
        <v>0</v>
      </c>
      <c r="BF31" s="4">
        <f t="shared" si="23"/>
        <v>346</v>
      </c>
      <c r="BG31" s="1">
        <v>2.0</v>
      </c>
      <c r="BH31" s="4">
        <f t="shared" si="24"/>
        <v>176.5</v>
      </c>
      <c r="BI31" s="1">
        <v>0.0</v>
      </c>
      <c r="BJ31" s="1">
        <v>0.0</v>
      </c>
      <c r="BK31" s="4">
        <f t="shared" si="25"/>
        <v>0</v>
      </c>
      <c r="BL31" s="4">
        <f t="shared" si="26"/>
        <v>534</v>
      </c>
      <c r="BM31" s="1">
        <v>2.0</v>
      </c>
      <c r="BN31" s="4">
        <f t="shared" si="27"/>
        <v>176.5</v>
      </c>
      <c r="BO31" s="1">
        <v>2.0</v>
      </c>
      <c r="BP31" s="1">
        <v>0.0</v>
      </c>
      <c r="BQ31" s="4">
        <f t="shared" si="28"/>
        <v>0</v>
      </c>
      <c r="BR31" s="4">
        <f t="shared" si="29"/>
        <v>550</v>
      </c>
      <c r="BS31" s="1">
        <v>0.0</v>
      </c>
      <c r="BT31" s="4">
        <f t="shared" si="30"/>
        <v>362</v>
      </c>
      <c r="BU31" s="1">
        <v>0.0</v>
      </c>
      <c r="BV31" s="1">
        <v>0.0</v>
      </c>
      <c r="BW31" s="4">
        <f t="shared" si="31"/>
        <v>0</v>
      </c>
      <c r="BX31" s="4">
        <f t="shared" si="32"/>
        <v>432</v>
      </c>
      <c r="BY31" s="1">
        <v>1.0</v>
      </c>
      <c r="BZ31" s="4">
        <f t="shared" si="33"/>
        <v>574</v>
      </c>
      <c r="CA31" s="1">
        <v>0.0</v>
      </c>
      <c r="CB31" s="1">
        <v>1.0</v>
      </c>
      <c r="CC31" s="4">
        <f t="shared" si="34"/>
        <v>0.25</v>
      </c>
      <c r="CD31" s="4">
        <f t="shared" si="35"/>
        <v>750</v>
      </c>
      <c r="CE31" s="1">
        <v>1.0</v>
      </c>
      <c r="CF31" s="4">
        <f t="shared" si="36"/>
        <v>580</v>
      </c>
      <c r="CG31" s="1">
        <v>1.0</v>
      </c>
      <c r="CH31" s="1">
        <v>2.0</v>
      </c>
      <c r="CI31" s="4">
        <f t="shared" si="37"/>
        <v>0.87</v>
      </c>
      <c r="CJ31" s="4">
        <f t="shared" si="38"/>
        <v>432</v>
      </c>
      <c r="CK31" s="1">
        <v>1.0</v>
      </c>
      <c r="CL31" s="1">
        <v>80.0</v>
      </c>
      <c r="CM31" s="1">
        <v>0.0</v>
      </c>
      <c r="CN31" s="1">
        <v>1.0</v>
      </c>
      <c r="CO31" s="4">
        <f t="shared" si="39"/>
        <v>0.04</v>
      </c>
      <c r="CP31" s="4">
        <f t="shared" si="40"/>
        <v>429</v>
      </c>
      <c r="CQ31" s="1">
        <v>2.0</v>
      </c>
      <c r="CR31" s="4">
        <f t="shared" si="41"/>
        <v>200.5</v>
      </c>
      <c r="CS31" s="1">
        <v>2.0</v>
      </c>
      <c r="CT31" s="1">
        <v>0.0</v>
      </c>
      <c r="CU31" s="4">
        <f t="shared" si="42"/>
        <v>0</v>
      </c>
      <c r="CV31" s="1">
        <f t="shared" si="43"/>
        <v>577</v>
      </c>
      <c r="CW31" s="1">
        <v>2.0</v>
      </c>
      <c r="CX31" s="4">
        <f t="shared" si="44"/>
        <v>250</v>
      </c>
      <c r="CY31" s="1">
        <v>2.0</v>
      </c>
      <c r="CZ31" s="1">
        <v>0.0</v>
      </c>
      <c r="DA31" s="4">
        <f t="shared" si="45"/>
        <v>0</v>
      </c>
      <c r="DB31" s="4">
        <f t="shared" ref="DB31:DE31" si="90">CV31</f>
        <v>577</v>
      </c>
      <c r="DC31" s="4">
        <f t="shared" si="90"/>
        <v>2</v>
      </c>
      <c r="DD31" s="4">
        <f t="shared" si="90"/>
        <v>250</v>
      </c>
      <c r="DE31" s="4">
        <f t="shared" si="90"/>
        <v>2</v>
      </c>
      <c r="DF31" s="1">
        <v>0.0</v>
      </c>
      <c r="DG31" s="4">
        <f t="shared" si="47"/>
        <v>0</v>
      </c>
      <c r="DH31" s="1">
        <v>1000.0</v>
      </c>
      <c r="DI31" s="1">
        <v>2.0</v>
      </c>
      <c r="DJ31" s="4">
        <f t="shared" si="48"/>
        <v>447</v>
      </c>
      <c r="DK31" s="1">
        <v>2.0</v>
      </c>
      <c r="DL31" s="1">
        <v>0.0</v>
      </c>
      <c r="DM31" s="4">
        <f t="shared" si="49"/>
        <v>0</v>
      </c>
      <c r="DN31" s="4">
        <f t="shared" si="50"/>
        <v>1.68</v>
      </c>
      <c r="DO31" s="4">
        <f t="shared" si="51"/>
        <v>1.36</v>
      </c>
      <c r="DP31" s="4"/>
      <c r="DQ31" s="4"/>
      <c r="DR31" s="4"/>
      <c r="DS31" s="4"/>
      <c r="DT31" s="4"/>
      <c r="DU31" s="4"/>
      <c r="DV31" s="4"/>
    </row>
    <row r="32">
      <c r="A32" s="3" t="s">
        <v>283</v>
      </c>
      <c r="B32" s="1">
        <v>450.0</v>
      </c>
      <c r="C32" s="1">
        <v>580.0</v>
      </c>
      <c r="D32" s="1">
        <v>850.0</v>
      </c>
      <c r="E32" s="4">
        <f t="shared" si="52"/>
        <v>15</v>
      </c>
      <c r="F32" s="4">
        <f t="shared" si="53"/>
        <v>18</v>
      </c>
      <c r="G32" s="4">
        <f t="shared" si="54"/>
        <v>6</v>
      </c>
      <c r="H32" s="4">
        <f t="shared" si="55"/>
        <v>100</v>
      </c>
      <c r="I32" s="4">
        <f t="shared" si="56"/>
        <v>100</v>
      </c>
      <c r="J32" s="4">
        <f t="shared" si="57"/>
        <v>13</v>
      </c>
      <c r="K32" s="4">
        <f t="shared" si="58"/>
        <v>20</v>
      </c>
      <c r="L32" s="4">
        <f t="shared" si="59"/>
        <v>6</v>
      </c>
      <c r="M32" s="4">
        <f t="shared" si="60"/>
        <v>2</v>
      </c>
      <c r="N32" s="4">
        <f t="shared" si="61"/>
        <v>10</v>
      </c>
      <c r="O32" s="4">
        <f t="shared" si="62"/>
        <v>8</v>
      </c>
      <c r="P32" s="4">
        <f t="shared" si="2"/>
        <v>450</v>
      </c>
      <c r="Q32" s="1">
        <v>0.0</v>
      </c>
      <c r="R32" s="1">
        <f t="shared" si="3"/>
        <v>100</v>
      </c>
      <c r="S32" s="1">
        <v>1.0</v>
      </c>
      <c r="T32" s="1">
        <v>1.0</v>
      </c>
      <c r="U32" s="4">
        <f t="shared" si="4"/>
        <v>0.05</v>
      </c>
      <c r="V32" s="4">
        <f t="shared" si="5"/>
        <v>462</v>
      </c>
      <c r="W32" s="1">
        <v>0.0</v>
      </c>
      <c r="X32" s="4">
        <f t="shared" si="6"/>
        <v>100</v>
      </c>
      <c r="Y32" s="1">
        <v>0.0</v>
      </c>
      <c r="Z32" s="1">
        <v>2.0</v>
      </c>
      <c r="AA32" s="4">
        <f t="shared" si="7"/>
        <v>0.1</v>
      </c>
      <c r="AB32" s="4">
        <f t="shared" si="8"/>
        <v>414</v>
      </c>
      <c r="AC32" s="1">
        <v>0.0</v>
      </c>
      <c r="AD32" s="4">
        <f t="shared" si="9"/>
        <v>100</v>
      </c>
      <c r="AE32" s="1">
        <v>0.0</v>
      </c>
      <c r="AF32" s="1">
        <v>1.0</v>
      </c>
      <c r="AG32" s="4">
        <f t="shared" si="10"/>
        <v>0.05</v>
      </c>
      <c r="AH32" s="1">
        <f t="shared" si="11"/>
        <v>432</v>
      </c>
      <c r="AI32" s="1">
        <v>1.0</v>
      </c>
      <c r="AJ32" s="1">
        <f t="shared" si="12"/>
        <v>574</v>
      </c>
      <c r="AK32" s="1">
        <v>0.0</v>
      </c>
      <c r="AL32" s="1">
        <v>2.0</v>
      </c>
      <c r="AM32" s="4">
        <f t="shared" si="13"/>
        <v>0.5</v>
      </c>
      <c r="AN32" s="1">
        <f t="shared" si="14"/>
        <v>732</v>
      </c>
      <c r="AO32" s="1">
        <v>1.0</v>
      </c>
      <c r="AP32" s="1">
        <f t="shared" si="15"/>
        <v>574</v>
      </c>
      <c r="AQ32" s="1">
        <v>0.0</v>
      </c>
      <c r="AR32" s="1">
        <v>2.0</v>
      </c>
      <c r="AS32" s="4">
        <f t="shared" si="16"/>
        <v>0.85</v>
      </c>
      <c r="AT32" s="1">
        <f t="shared" si="17"/>
        <v>762</v>
      </c>
      <c r="AU32" s="1">
        <v>0.0</v>
      </c>
      <c r="AV32" s="1">
        <f t="shared" si="18"/>
        <v>432</v>
      </c>
      <c r="AW32" s="1">
        <v>0.0</v>
      </c>
      <c r="AX32" s="1">
        <v>1.0</v>
      </c>
      <c r="AY32" s="4">
        <f t="shared" si="19"/>
        <v>0.33</v>
      </c>
      <c r="AZ32" s="4">
        <f t="shared" si="20"/>
        <v>402</v>
      </c>
      <c r="BA32" s="1">
        <v>1.0</v>
      </c>
      <c r="BB32" s="4">
        <f t="shared" si="21"/>
        <v>574</v>
      </c>
      <c r="BC32" s="1">
        <v>0.0</v>
      </c>
      <c r="BD32" s="1">
        <v>0.0</v>
      </c>
      <c r="BE32" s="4">
        <f t="shared" si="22"/>
        <v>0</v>
      </c>
      <c r="BF32" s="4">
        <f t="shared" si="23"/>
        <v>346</v>
      </c>
      <c r="BG32" s="1">
        <v>2.0</v>
      </c>
      <c r="BH32" s="4">
        <f t="shared" si="24"/>
        <v>176.5</v>
      </c>
      <c r="BI32" s="1">
        <v>0.0</v>
      </c>
      <c r="BJ32" s="1">
        <v>0.0</v>
      </c>
      <c r="BK32" s="4">
        <f t="shared" si="25"/>
        <v>0</v>
      </c>
      <c r="BL32" s="4">
        <f t="shared" si="26"/>
        <v>534</v>
      </c>
      <c r="BM32" s="1">
        <v>2.0</v>
      </c>
      <c r="BN32" s="4">
        <f t="shared" si="27"/>
        <v>176.5</v>
      </c>
      <c r="BO32" s="1">
        <v>2.0</v>
      </c>
      <c r="BP32" s="1">
        <v>0.0</v>
      </c>
      <c r="BQ32" s="4">
        <f t="shared" si="28"/>
        <v>0</v>
      </c>
      <c r="BR32" s="4">
        <f t="shared" si="29"/>
        <v>550</v>
      </c>
      <c r="BS32" s="1">
        <v>0.0</v>
      </c>
      <c r="BT32" s="4">
        <f t="shared" si="30"/>
        <v>362</v>
      </c>
      <c r="BU32" s="1">
        <v>0.0</v>
      </c>
      <c r="BV32" s="1">
        <v>0.0</v>
      </c>
      <c r="BW32" s="4">
        <f t="shared" si="31"/>
        <v>0</v>
      </c>
      <c r="BX32" s="4">
        <f t="shared" si="32"/>
        <v>432</v>
      </c>
      <c r="BY32" s="1">
        <v>1.0</v>
      </c>
      <c r="BZ32" s="4">
        <f t="shared" si="33"/>
        <v>574</v>
      </c>
      <c r="CA32" s="1">
        <v>0.0</v>
      </c>
      <c r="CB32" s="1">
        <v>1.0</v>
      </c>
      <c r="CC32" s="4">
        <f t="shared" si="34"/>
        <v>0.25</v>
      </c>
      <c r="CD32" s="4">
        <f t="shared" si="35"/>
        <v>750</v>
      </c>
      <c r="CE32" s="1">
        <v>1.0</v>
      </c>
      <c r="CF32" s="4">
        <f t="shared" si="36"/>
        <v>580</v>
      </c>
      <c r="CG32" s="1">
        <v>1.0</v>
      </c>
      <c r="CH32" s="1">
        <v>2.0</v>
      </c>
      <c r="CI32" s="4">
        <f t="shared" si="37"/>
        <v>0.87</v>
      </c>
      <c r="CJ32" s="4">
        <f t="shared" si="38"/>
        <v>432</v>
      </c>
      <c r="CK32" s="1">
        <v>1.0</v>
      </c>
      <c r="CL32" s="1">
        <v>80.0</v>
      </c>
      <c r="CM32" s="1">
        <v>0.0</v>
      </c>
      <c r="CN32" s="1">
        <v>1.0</v>
      </c>
      <c r="CO32" s="4">
        <f t="shared" si="39"/>
        <v>0.04</v>
      </c>
      <c r="CP32" s="4">
        <f t="shared" si="40"/>
        <v>429</v>
      </c>
      <c r="CQ32" s="1">
        <v>2.0</v>
      </c>
      <c r="CR32" s="4">
        <f t="shared" si="41"/>
        <v>200.5</v>
      </c>
      <c r="CS32" s="1">
        <v>2.0</v>
      </c>
      <c r="CT32" s="1">
        <v>0.0</v>
      </c>
      <c r="CU32" s="4">
        <f t="shared" si="42"/>
        <v>0</v>
      </c>
      <c r="CV32" s="1">
        <f t="shared" si="43"/>
        <v>577</v>
      </c>
      <c r="CW32" s="1">
        <v>2.0</v>
      </c>
      <c r="CX32" s="4">
        <f t="shared" si="44"/>
        <v>250</v>
      </c>
      <c r="CY32" s="1">
        <v>2.0</v>
      </c>
      <c r="CZ32" s="1">
        <v>0.0</v>
      </c>
      <c r="DA32" s="4">
        <f t="shared" si="45"/>
        <v>0</v>
      </c>
      <c r="DB32" s="4">
        <f t="shared" ref="DB32:DE32" si="91">CV32</f>
        <v>577</v>
      </c>
      <c r="DC32" s="4">
        <f t="shared" si="91"/>
        <v>2</v>
      </c>
      <c r="DD32" s="4">
        <f t="shared" si="91"/>
        <v>250</v>
      </c>
      <c r="DE32" s="4">
        <f t="shared" si="91"/>
        <v>2</v>
      </c>
      <c r="DF32" s="1">
        <v>0.0</v>
      </c>
      <c r="DG32" s="4">
        <f t="shared" si="47"/>
        <v>0</v>
      </c>
      <c r="DH32" s="1">
        <v>1000.0</v>
      </c>
      <c r="DI32" s="1">
        <v>2.0</v>
      </c>
      <c r="DJ32" s="4">
        <f t="shared" si="48"/>
        <v>447</v>
      </c>
      <c r="DK32" s="1">
        <v>2.0</v>
      </c>
      <c r="DL32" s="1">
        <v>0.0</v>
      </c>
      <c r="DM32" s="4">
        <f t="shared" si="49"/>
        <v>0</v>
      </c>
      <c r="DN32" s="4">
        <f t="shared" si="50"/>
        <v>1.68</v>
      </c>
      <c r="DO32" s="4">
        <f t="shared" si="51"/>
        <v>1.36</v>
      </c>
      <c r="DP32" s="4"/>
      <c r="DQ32" s="4"/>
      <c r="DR32" s="4"/>
      <c r="DS32" s="4"/>
      <c r="DT32" s="4"/>
      <c r="DU32" s="4"/>
      <c r="DV32" s="4"/>
    </row>
    <row r="33">
      <c r="A33" s="3" t="s">
        <v>284</v>
      </c>
      <c r="B33" s="1">
        <v>600.0</v>
      </c>
      <c r="C33" s="1">
        <v>580.0</v>
      </c>
      <c r="D33" s="1">
        <v>1930.0</v>
      </c>
      <c r="E33" s="4">
        <f t="shared" si="52"/>
        <v>15</v>
      </c>
      <c r="F33" s="4">
        <f t="shared" si="53"/>
        <v>18</v>
      </c>
      <c r="G33" s="4">
        <f t="shared" si="54"/>
        <v>6</v>
      </c>
      <c r="H33" s="4">
        <f t="shared" si="55"/>
        <v>100</v>
      </c>
      <c r="I33" s="4">
        <f t="shared" si="56"/>
        <v>100</v>
      </c>
      <c r="J33" s="4">
        <f t="shared" si="57"/>
        <v>13</v>
      </c>
      <c r="K33" s="4">
        <f t="shared" si="58"/>
        <v>20</v>
      </c>
      <c r="L33" s="4">
        <f t="shared" si="59"/>
        <v>6</v>
      </c>
      <c r="M33" s="4">
        <f t="shared" si="60"/>
        <v>2</v>
      </c>
      <c r="N33" s="4">
        <f t="shared" si="61"/>
        <v>10</v>
      </c>
      <c r="O33" s="4">
        <f t="shared" si="62"/>
        <v>8</v>
      </c>
      <c r="P33" s="4">
        <f t="shared" si="2"/>
        <v>600</v>
      </c>
      <c r="Q33" s="1">
        <v>0.0</v>
      </c>
      <c r="R33" s="1">
        <f t="shared" si="3"/>
        <v>100</v>
      </c>
      <c r="S33" s="1">
        <v>1.0</v>
      </c>
      <c r="T33" s="1">
        <v>1.0</v>
      </c>
      <c r="U33" s="4">
        <f t="shared" si="4"/>
        <v>0.06</v>
      </c>
      <c r="V33" s="4">
        <f t="shared" si="5"/>
        <v>462</v>
      </c>
      <c r="W33" s="1">
        <v>0.0</v>
      </c>
      <c r="X33" s="4">
        <f t="shared" si="6"/>
        <v>100</v>
      </c>
      <c r="Y33" s="1">
        <v>0.0</v>
      </c>
      <c r="Z33" s="1">
        <v>2.0</v>
      </c>
      <c r="AA33" s="4">
        <f t="shared" si="7"/>
        <v>0.1</v>
      </c>
      <c r="AB33" s="4">
        <f t="shared" si="8"/>
        <v>564</v>
      </c>
      <c r="AC33" s="1">
        <v>0.0</v>
      </c>
      <c r="AD33" s="4">
        <f t="shared" si="9"/>
        <v>100</v>
      </c>
      <c r="AE33" s="1">
        <v>0.0</v>
      </c>
      <c r="AF33" s="1">
        <v>1.0</v>
      </c>
      <c r="AG33" s="4">
        <f t="shared" si="10"/>
        <v>0.06</v>
      </c>
      <c r="AH33" s="1">
        <f t="shared" si="11"/>
        <v>582</v>
      </c>
      <c r="AI33" s="1">
        <v>1.0</v>
      </c>
      <c r="AJ33" s="1">
        <f t="shared" si="12"/>
        <v>574</v>
      </c>
      <c r="AK33" s="1">
        <v>0.0</v>
      </c>
      <c r="AL33" s="1">
        <v>2.0</v>
      </c>
      <c r="AM33" s="4">
        <f t="shared" si="13"/>
        <v>0.67</v>
      </c>
      <c r="AN33" s="1">
        <f t="shared" si="14"/>
        <v>1812</v>
      </c>
      <c r="AO33" s="1">
        <v>1.0</v>
      </c>
      <c r="AP33" s="1">
        <f t="shared" si="15"/>
        <v>574</v>
      </c>
      <c r="AQ33" s="1">
        <v>0.0</v>
      </c>
      <c r="AR33" s="1">
        <v>2.0</v>
      </c>
      <c r="AS33" s="4">
        <f t="shared" si="16"/>
        <v>2.09</v>
      </c>
      <c r="AT33" s="1">
        <f t="shared" si="17"/>
        <v>1842</v>
      </c>
      <c r="AU33" s="1">
        <v>0.0</v>
      </c>
      <c r="AV33" s="1">
        <f t="shared" si="18"/>
        <v>582</v>
      </c>
      <c r="AW33" s="1">
        <v>0.0</v>
      </c>
      <c r="AX33" s="1">
        <v>1.0</v>
      </c>
      <c r="AY33" s="4">
        <f t="shared" si="19"/>
        <v>1.08</v>
      </c>
      <c r="AZ33" s="4">
        <f t="shared" si="20"/>
        <v>552</v>
      </c>
      <c r="BA33" s="1">
        <v>1.0</v>
      </c>
      <c r="BB33" s="4">
        <f t="shared" si="21"/>
        <v>574</v>
      </c>
      <c r="BC33" s="1">
        <v>0.0</v>
      </c>
      <c r="BD33" s="1">
        <v>0.0</v>
      </c>
      <c r="BE33" s="4">
        <f t="shared" si="22"/>
        <v>0</v>
      </c>
      <c r="BF33" s="4">
        <f t="shared" si="23"/>
        <v>496</v>
      </c>
      <c r="BG33" s="1">
        <v>2.0</v>
      </c>
      <c r="BH33" s="4">
        <f t="shared" si="24"/>
        <v>446.5</v>
      </c>
      <c r="BI33" s="1">
        <v>0.0</v>
      </c>
      <c r="BJ33" s="1">
        <v>0.0</v>
      </c>
      <c r="BK33" s="4">
        <f t="shared" si="25"/>
        <v>0</v>
      </c>
      <c r="BL33" s="4">
        <f t="shared" si="26"/>
        <v>534</v>
      </c>
      <c r="BM33" s="1">
        <v>2.0</v>
      </c>
      <c r="BN33" s="4">
        <f t="shared" si="27"/>
        <v>446.5</v>
      </c>
      <c r="BO33" s="1">
        <v>2.0</v>
      </c>
      <c r="BP33" s="1">
        <v>0.0</v>
      </c>
      <c r="BQ33" s="4">
        <f t="shared" si="28"/>
        <v>0</v>
      </c>
      <c r="BR33" s="4">
        <f t="shared" si="29"/>
        <v>550</v>
      </c>
      <c r="BS33" s="1">
        <v>0.0</v>
      </c>
      <c r="BT33" s="4">
        <f t="shared" si="30"/>
        <v>512</v>
      </c>
      <c r="BU33" s="1">
        <v>0.0</v>
      </c>
      <c r="BV33" s="1">
        <v>0.0</v>
      </c>
      <c r="BW33" s="4">
        <f t="shared" si="31"/>
        <v>0</v>
      </c>
      <c r="BX33" s="4">
        <f t="shared" si="32"/>
        <v>582</v>
      </c>
      <c r="BY33" s="1">
        <v>1.0</v>
      </c>
      <c r="BZ33" s="4">
        <f t="shared" si="33"/>
        <v>574</v>
      </c>
      <c r="CA33" s="1">
        <v>0.0</v>
      </c>
      <c r="CB33" s="1">
        <v>1.0</v>
      </c>
      <c r="CC33" s="4">
        <f t="shared" si="34"/>
        <v>0.34</v>
      </c>
      <c r="CD33" s="4">
        <f t="shared" si="35"/>
        <v>1830</v>
      </c>
      <c r="CE33" s="1">
        <v>1.0</v>
      </c>
      <c r="CF33" s="4">
        <f t="shared" si="36"/>
        <v>580</v>
      </c>
      <c r="CG33" s="1">
        <v>1.0</v>
      </c>
      <c r="CH33" s="1">
        <v>2.0</v>
      </c>
      <c r="CI33" s="4">
        <f t="shared" si="37"/>
        <v>2.13</v>
      </c>
      <c r="CJ33" s="4">
        <f t="shared" si="38"/>
        <v>582</v>
      </c>
      <c r="CK33" s="1">
        <v>1.0</v>
      </c>
      <c r="CL33" s="1">
        <v>80.0</v>
      </c>
      <c r="CM33" s="1">
        <v>0.0</v>
      </c>
      <c r="CN33" s="1">
        <v>1.0</v>
      </c>
      <c r="CO33" s="4">
        <f t="shared" si="39"/>
        <v>0.05</v>
      </c>
      <c r="CP33" s="4">
        <f t="shared" si="40"/>
        <v>579</v>
      </c>
      <c r="CQ33" s="1">
        <v>2.0</v>
      </c>
      <c r="CR33" s="4">
        <f t="shared" si="41"/>
        <v>470.5</v>
      </c>
      <c r="CS33" s="1">
        <v>2.0</v>
      </c>
      <c r="CT33" s="1">
        <v>0.0</v>
      </c>
      <c r="CU33" s="4">
        <f t="shared" si="42"/>
        <v>0</v>
      </c>
      <c r="CV33" s="1">
        <f t="shared" si="43"/>
        <v>577</v>
      </c>
      <c r="CW33" s="1">
        <v>2.0</v>
      </c>
      <c r="CX33" s="4">
        <f t="shared" si="44"/>
        <v>1330</v>
      </c>
      <c r="CY33" s="1">
        <v>2.0</v>
      </c>
      <c r="CZ33" s="1">
        <v>0.0</v>
      </c>
      <c r="DA33" s="4">
        <f t="shared" si="45"/>
        <v>0</v>
      </c>
      <c r="DB33" s="4">
        <f t="shared" ref="DB33:DE33" si="92">CV33</f>
        <v>577</v>
      </c>
      <c r="DC33" s="4">
        <f t="shared" si="92"/>
        <v>2</v>
      </c>
      <c r="DD33" s="4">
        <f t="shared" si="92"/>
        <v>1330</v>
      </c>
      <c r="DE33" s="4">
        <f t="shared" si="92"/>
        <v>2</v>
      </c>
      <c r="DF33" s="1">
        <v>0.0</v>
      </c>
      <c r="DG33" s="4">
        <f t="shared" si="47"/>
        <v>0</v>
      </c>
      <c r="DH33" s="1">
        <v>1000.0</v>
      </c>
      <c r="DI33" s="1">
        <v>2.0</v>
      </c>
      <c r="DJ33" s="4">
        <f t="shared" si="48"/>
        <v>597</v>
      </c>
      <c r="DK33" s="1">
        <v>2.0</v>
      </c>
      <c r="DL33" s="1">
        <v>0.0</v>
      </c>
      <c r="DM33" s="4">
        <f t="shared" si="49"/>
        <v>0</v>
      </c>
      <c r="DN33" s="4">
        <f t="shared" si="50"/>
        <v>3.84</v>
      </c>
      <c r="DO33" s="4">
        <f t="shared" si="51"/>
        <v>2.74</v>
      </c>
      <c r="DP33" s="4"/>
      <c r="DQ33" s="4"/>
      <c r="DR33" s="4"/>
      <c r="DS33" s="4"/>
      <c r="DT33" s="4"/>
      <c r="DU33" s="4"/>
      <c r="DV33" s="4"/>
    </row>
    <row r="34">
      <c r="A34" s="3" t="s">
        <v>286</v>
      </c>
      <c r="B34" s="1">
        <v>600.0</v>
      </c>
      <c r="C34" s="1">
        <v>580.0</v>
      </c>
      <c r="D34" s="1">
        <v>1930.0</v>
      </c>
      <c r="E34" s="4">
        <f t="shared" si="52"/>
        <v>15</v>
      </c>
      <c r="F34" s="4">
        <f t="shared" si="53"/>
        <v>18</v>
      </c>
      <c r="G34" s="4">
        <f t="shared" si="54"/>
        <v>6</v>
      </c>
      <c r="H34" s="4">
        <f t="shared" si="55"/>
        <v>100</v>
      </c>
      <c r="I34" s="4">
        <f t="shared" si="56"/>
        <v>100</v>
      </c>
      <c r="J34" s="4">
        <f t="shared" si="57"/>
        <v>13</v>
      </c>
      <c r="K34" s="4">
        <f t="shared" si="58"/>
        <v>20</v>
      </c>
      <c r="L34" s="4">
        <f t="shared" si="59"/>
        <v>6</v>
      </c>
      <c r="M34" s="4">
        <f t="shared" si="60"/>
        <v>2</v>
      </c>
      <c r="N34" s="4">
        <f t="shared" si="61"/>
        <v>10</v>
      </c>
      <c r="O34" s="4">
        <f t="shared" si="62"/>
        <v>8</v>
      </c>
      <c r="P34" s="4">
        <f t="shared" si="2"/>
        <v>600</v>
      </c>
      <c r="Q34" s="1">
        <v>0.0</v>
      </c>
      <c r="R34" s="1">
        <f t="shared" si="3"/>
        <v>100</v>
      </c>
      <c r="S34" s="1">
        <v>1.0</v>
      </c>
      <c r="T34" s="1">
        <v>1.0</v>
      </c>
      <c r="U34" s="4">
        <f t="shared" si="4"/>
        <v>0.06</v>
      </c>
      <c r="V34" s="4">
        <f t="shared" si="5"/>
        <v>462</v>
      </c>
      <c r="W34" s="1">
        <v>0.0</v>
      </c>
      <c r="X34" s="4">
        <f t="shared" si="6"/>
        <v>100</v>
      </c>
      <c r="Y34" s="1">
        <v>0.0</v>
      </c>
      <c r="Z34" s="1">
        <v>2.0</v>
      </c>
      <c r="AA34" s="4">
        <f t="shared" si="7"/>
        <v>0.1</v>
      </c>
      <c r="AB34" s="4">
        <f t="shared" si="8"/>
        <v>564</v>
      </c>
      <c r="AC34" s="1">
        <v>0.0</v>
      </c>
      <c r="AD34" s="4">
        <f t="shared" si="9"/>
        <v>100</v>
      </c>
      <c r="AE34" s="1">
        <v>0.0</v>
      </c>
      <c r="AF34" s="1">
        <v>1.0</v>
      </c>
      <c r="AG34" s="4">
        <f t="shared" si="10"/>
        <v>0.06</v>
      </c>
      <c r="AH34" s="1">
        <f t="shared" si="11"/>
        <v>582</v>
      </c>
      <c r="AI34" s="1">
        <v>1.0</v>
      </c>
      <c r="AJ34" s="1">
        <f t="shared" si="12"/>
        <v>574</v>
      </c>
      <c r="AK34" s="1">
        <v>0.0</v>
      </c>
      <c r="AL34" s="1">
        <v>2.0</v>
      </c>
      <c r="AM34" s="4">
        <f t="shared" si="13"/>
        <v>0.67</v>
      </c>
      <c r="AN34" s="1">
        <f t="shared" si="14"/>
        <v>1812</v>
      </c>
      <c r="AO34" s="1">
        <v>1.0</v>
      </c>
      <c r="AP34" s="1">
        <f t="shared" si="15"/>
        <v>574</v>
      </c>
      <c r="AQ34" s="1">
        <v>0.0</v>
      </c>
      <c r="AR34" s="1">
        <v>2.0</v>
      </c>
      <c r="AS34" s="4">
        <f t="shared" si="16"/>
        <v>2.09</v>
      </c>
      <c r="AT34" s="1">
        <f t="shared" si="17"/>
        <v>1842</v>
      </c>
      <c r="AU34" s="1">
        <v>0.0</v>
      </c>
      <c r="AV34" s="1">
        <f t="shared" si="18"/>
        <v>582</v>
      </c>
      <c r="AW34" s="1">
        <v>0.0</v>
      </c>
      <c r="AX34" s="1">
        <v>1.0</v>
      </c>
      <c r="AY34" s="4">
        <f t="shared" si="19"/>
        <v>1.08</v>
      </c>
      <c r="AZ34" s="4">
        <f t="shared" si="20"/>
        <v>552</v>
      </c>
      <c r="BA34" s="1">
        <v>1.0</v>
      </c>
      <c r="BB34" s="4">
        <f t="shared" si="21"/>
        <v>574</v>
      </c>
      <c r="BC34" s="1">
        <v>0.0</v>
      </c>
      <c r="BD34" s="1">
        <v>0.0</v>
      </c>
      <c r="BE34" s="4">
        <f t="shared" si="22"/>
        <v>0</v>
      </c>
      <c r="BF34" s="4">
        <f t="shared" si="23"/>
        <v>496</v>
      </c>
      <c r="BG34" s="1">
        <v>2.0</v>
      </c>
      <c r="BH34" s="4">
        <f t="shared" si="24"/>
        <v>446.5</v>
      </c>
      <c r="BI34" s="1">
        <v>0.0</v>
      </c>
      <c r="BJ34" s="1">
        <v>0.0</v>
      </c>
      <c r="BK34" s="4">
        <f t="shared" si="25"/>
        <v>0</v>
      </c>
      <c r="BL34" s="4">
        <f t="shared" si="26"/>
        <v>534</v>
      </c>
      <c r="BM34" s="1">
        <v>2.0</v>
      </c>
      <c r="BN34" s="4">
        <f t="shared" si="27"/>
        <v>446.5</v>
      </c>
      <c r="BO34" s="1">
        <v>2.0</v>
      </c>
      <c r="BP34" s="1">
        <v>0.0</v>
      </c>
      <c r="BQ34" s="4">
        <f t="shared" si="28"/>
        <v>0</v>
      </c>
      <c r="BR34" s="4">
        <f t="shared" si="29"/>
        <v>550</v>
      </c>
      <c r="BS34" s="1">
        <v>0.0</v>
      </c>
      <c r="BT34" s="4">
        <f t="shared" si="30"/>
        <v>512</v>
      </c>
      <c r="BU34" s="1">
        <v>0.0</v>
      </c>
      <c r="BV34" s="1">
        <v>0.0</v>
      </c>
      <c r="BW34" s="4">
        <f t="shared" si="31"/>
        <v>0</v>
      </c>
      <c r="BX34" s="4">
        <f t="shared" si="32"/>
        <v>582</v>
      </c>
      <c r="BY34" s="1">
        <v>1.0</v>
      </c>
      <c r="BZ34" s="4">
        <f t="shared" si="33"/>
        <v>574</v>
      </c>
      <c r="CA34" s="1">
        <v>0.0</v>
      </c>
      <c r="CB34" s="1">
        <v>1.0</v>
      </c>
      <c r="CC34" s="4">
        <f t="shared" si="34"/>
        <v>0.34</v>
      </c>
      <c r="CD34" s="4">
        <f t="shared" si="35"/>
        <v>1830</v>
      </c>
      <c r="CE34" s="1">
        <v>1.0</v>
      </c>
      <c r="CF34" s="4">
        <f t="shared" si="36"/>
        <v>580</v>
      </c>
      <c r="CG34" s="1">
        <v>1.0</v>
      </c>
      <c r="CH34" s="1">
        <v>2.0</v>
      </c>
      <c r="CI34" s="4">
        <f t="shared" si="37"/>
        <v>2.13</v>
      </c>
      <c r="CJ34" s="4">
        <f t="shared" si="38"/>
        <v>582</v>
      </c>
      <c r="CK34" s="1">
        <v>1.0</v>
      </c>
      <c r="CL34" s="1">
        <v>80.0</v>
      </c>
      <c r="CM34" s="1">
        <v>0.0</v>
      </c>
      <c r="CN34" s="1">
        <v>1.0</v>
      </c>
      <c r="CO34" s="4">
        <f t="shared" si="39"/>
        <v>0.05</v>
      </c>
      <c r="CP34" s="4">
        <f t="shared" si="40"/>
        <v>579</v>
      </c>
      <c r="CQ34" s="1">
        <v>2.0</v>
      </c>
      <c r="CR34" s="4">
        <f t="shared" si="41"/>
        <v>470.5</v>
      </c>
      <c r="CS34" s="1">
        <v>2.0</v>
      </c>
      <c r="CT34" s="1">
        <v>0.0</v>
      </c>
      <c r="CU34" s="4">
        <f t="shared" si="42"/>
        <v>0</v>
      </c>
      <c r="CV34" s="1">
        <f t="shared" si="43"/>
        <v>577</v>
      </c>
      <c r="CW34" s="1">
        <v>2.0</v>
      </c>
      <c r="CX34" s="4">
        <f t="shared" si="44"/>
        <v>1330</v>
      </c>
      <c r="CY34" s="1">
        <v>2.0</v>
      </c>
      <c r="CZ34" s="1">
        <v>0.0</v>
      </c>
      <c r="DA34" s="4">
        <f t="shared" si="45"/>
        <v>0</v>
      </c>
      <c r="DB34" s="4">
        <f t="shared" ref="DB34:DE34" si="93">CV34</f>
        <v>577</v>
      </c>
      <c r="DC34" s="4">
        <f t="shared" si="93"/>
        <v>2</v>
      </c>
      <c r="DD34" s="4">
        <f t="shared" si="93"/>
        <v>1330</v>
      </c>
      <c r="DE34" s="4">
        <f t="shared" si="93"/>
        <v>2</v>
      </c>
      <c r="DF34" s="1">
        <v>0.0</v>
      </c>
      <c r="DG34" s="4">
        <f t="shared" si="47"/>
        <v>0</v>
      </c>
      <c r="DH34" s="1">
        <v>1000.0</v>
      </c>
      <c r="DI34" s="1">
        <v>2.0</v>
      </c>
      <c r="DJ34" s="4">
        <f t="shared" si="48"/>
        <v>597</v>
      </c>
      <c r="DK34" s="1">
        <v>2.0</v>
      </c>
      <c r="DL34" s="1">
        <v>0.0</v>
      </c>
      <c r="DM34" s="4">
        <f t="shared" si="49"/>
        <v>0</v>
      </c>
      <c r="DN34" s="4">
        <f t="shared" si="50"/>
        <v>3.84</v>
      </c>
      <c r="DO34" s="4">
        <f t="shared" si="51"/>
        <v>2.74</v>
      </c>
      <c r="DP34" s="4"/>
      <c r="DQ34" s="4"/>
      <c r="DR34" s="4"/>
      <c r="DS34" s="4"/>
      <c r="DT34" s="4"/>
      <c r="DU34" s="4"/>
      <c r="DV34" s="4"/>
    </row>
    <row r="35">
      <c r="A35" s="3" t="s">
        <v>287</v>
      </c>
      <c r="B35" s="1">
        <v>600.0</v>
      </c>
      <c r="C35" s="1">
        <v>580.0</v>
      </c>
      <c r="D35" s="1">
        <v>1930.0</v>
      </c>
      <c r="E35" s="4">
        <f t="shared" si="52"/>
        <v>15</v>
      </c>
      <c r="F35" s="4">
        <f t="shared" si="53"/>
        <v>18</v>
      </c>
      <c r="G35" s="4">
        <f t="shared" si="54"/>
        <v>6</v>
      </c>
      <c r="H35" s="4">
        <f t="shared" si="55"/>
        <v>100</v>
      </c>
      <c r="I35" s="4">
        <f t="shared" si="56"/>
        <v>100</v>
      </c>
      <c r="J35" s="4">
        <f t="shared" si="57"/>
        <v>13</v>
      </c>
      <c r="K35" s="4">
        <f t="shared" si="58"/>
        <v>20</v>
      </c>
      <c r="L35" s="4">
        <f t="shared" si="59"/>
        <v>6</v>
      </c>
      <c r="M35" s="4">
        <f t="shared" si="60"/>
        <v>2</v>
      </c>
      <c r="N35" s="4">
        <f t="shared" si="61"/>
        <v>10</v>
      </c>
      <c r="O35" s="4">
        <f t="shared" si="62"/>
        <v>8</v>
      </c>
      <c r="P35" s="4">
        <f t="shared" si="2"/>
        <v>600</v>
      </c>
      <c r="Q35" s="1">
        <v>0.0</v>
      </c>
      <c r="R35" s="1">
        <f t="shared" si="3"/>
        <v>100</v>
      </c>
      <c r="S35" s="1">
        <v>1.0</v>
      </c>
      <c r="T35" s="1">
        <v>1.0</v>
      </c>
      <c r="U35" s="4">
        <f t="shared" si="4"/>
        <v>0.06</v>
      </c>
      <c r="V35" s="4">
        <f t="shared" si="5"/>
        <v>462</v>
      </c>
      <c r="W35" s="1">
        <v>0.0</v>
      </c>
      <c r="X35" s="4">
        <f t="shared" si="6"/>
        <v>100</v>
      </c>
      <c r="Y35" s="1">
        <v>0.0</v>
      </c>
      <c r="Z35" s="1">
        <v>2.0</v>
      </c>
      <c r="AA35" s="4">
        <f t="shared" si="7"/>
        <v>0.1</v>
      </c>
      <c r="AB35" s="4">
        <f t="shared" si="8"/>
        <v>564</v>
      </c>
      <c r="AC35" s="1">
        <v>0.0</v>
      </c>
      <c r="AD35" s="4">
        <f t="shared" si="9"/>
        <v>100</v>
      </c>
      <c r="AE35" s="1">
        <v>0.0</v>
      </c>
      <c r="AF35" s="1">
        <v>1.0</v>
      </c>
      <c r="AG35" s="4">
        <f t="shared" si="10"/>
        <v>0.06</v>
      </c>
      <c r="AH35" s="1">
        <f t="shared" si="11"/>
        <v>582</v>
      </c>
      <c r="AI35" s="1">
        <v>1.0</v>
      </c>
      <c r="AJ35" s="1">
        <f t="shared" si="12"/>
        <v>574</v>
      </c>
      <c r="AK35" s="1">
        <v>0.0</v>
      </c>
      <c r="AL35" s="1">
        <v>2.0</v>
      </c>
      <c r="AM35" s="4">
        <f t="shared" si="13"/>
        <v>0.67</v>
      </c>
      <c r="AN35" s="1">
        <f t="shared" si="14"/>
        <v>1812</v>
      </c>
      <c r="AO35" s="1">
        <v>1.0</v>
      </c>
      <c r="AP35" s="1">
        <f t="shared" si="15"/>
        <v>574</v>
      </c>
      <c r="AQ35" s="1">
        <v>0.0</v>
      </c>
      <c r="AR35" s="1">
        <v>2.0</v>
      </c>
      <c r="AS35" s="4">
        <f t="shared" si="16"/>
        <v>2.09</v>
      </c>
      <c r="AT35" s="1">
        <f t="shared" si="17"/>
        <v>1842</v>
      </c>
      <c r="AU35" s="1">
        <v>0.0</v>
      </c>
      <c r="AV35" s="1">
        <f t="shared" si="18"/>
        <v>582</v>
      </c>
      <c r="AW35" s="1">
        <v>0.0</v>
      </c>
      <c r="AX35" s="1">
        <v>1.0</v>
      </c>
      <c r="AY35" s="4">
        <f t="shared" si="19"/>
        <v>1.08</v>
      </c>
      <c r="AZ35" s="4">
        <f t="shared" si="20"/>
        <v>552</v>
      </c>
      <c r="BA35" s="1">
        <v>1.0</v>
      </c>
      <c r="BB35" s="4">
        <f t="shared" si="21"/>
        <v>574</v>
      </c>
      <c r="BC35" s="1">
        <v>0.0</v>
      </c>
      <c r="BD35" s="1">
        <v>0.0</v>
      </c>
      <c r="BE35" s="4">
        <f t="shared" si="22"/>
        <v>0</v>
      </c>
      <c r="BF35" s="4">
        <f t="shared" si="23"/>
        <v>496</v>
      </c>
      <c r="BG35" s="1">
        <v>2.0</v>
      </c>
      <c r="BH35" s="4">
        <f t="shared" si="24"/>
        <v>446.5</v>
      </c>
      <c r="BI35" s="1">
        <v>0.0</v>
      </c>
      <c r="BJ35" s="1">
        <v>0.0</v>
      </c>
      <c r="BK35" s="4">
        <f t="shared" si="25"/>
        <v>0</v>
      </c>
      <c r="BL35" s="4">
        <f t="shared" si="26"/>
        <v>534</v>
      </c>
      <c r="BM35" s="1">
        <v>2.0</v>
      </c>
      <c r="BN35" s="4">
        <f t="shared" si="27"/>
        <v>446.5</v>
      </c>
      <c r="BO35" s="1">
        <v>2.0</v>
      </c>
      <c r="BP35" s="1">
        <v>0.0</v>
      </c>
      <c r="BQ35" s="4">
        <f t="shared" si="28"/>
        <v>0</v>
      </c>
      <c r="BR35" s="4">
        <f t="shared" si="29"/>
        <v>550</v>
      </c>
      <c r="BS35" s="1">
        <v>0.0</v>
      </c>
      <c r="BT35" s="4">
        <f t="shared" si="30"/>
        <v>512</v>
      </c>
      <c r="BU35" s="1">
        <v>0.0</v>
      </c>
      <c r="BV35" s="1">
        <v>0.0</v>
      </c>
      <c r="BW35" s="4">
        <f t="shared" si="31"/>
        <v>0</v>
      </c>
      <c r="BX35" s="4">
        <f t="shared" si="32"/>
        <v>582</v>
      </c>
      <c r="BY35" s="1">
        <v>1.0</v>
      </c>
      <c r="BZ35" s="4">
        <f t="shared" si="33"/>
        <v>574</v>
      </c>
      <c r="CA35" s="1">
        <v>0.0</v>
      </c>
      <c r="CB35" s="1">
        <v>1.0</v>
      </c>
      <c r="CC35" s="4">
        <f t="shared" si="34"/>
        <v>0.34</v>
      </c>
      <c r="CD35" s="4">
        <f t="shared" si="35"/>
        <v>1830</v>
      </c>
      <c r="CE35" s="1">
        <v>1.0</v>
      </c>
      <c r="CF35" s="4">
        <f t="shared" si="36"/>
        <v>580</v>
      </c>
      <c r="CG35" s="1">
        <v>1.0</v>
      </c>
      <c r="CH35" s="1">
        <v>2.0</v>
      </c>
      <c r="CI35" s="4">
        <f t="shared" si="37"/>
        <v>2.13</v>
      </c>
      <c r="CJ35" s="4">
        <f t="shared" si="38"/>
        <v>582</v>
      </c>
      <c r="CK35" s="1">
        <v>1.0</v>
      </c>
      <c r="CL35" s="1">
        <v>80.0</v>
      </c>
      <c r="CM35" s="1">
        <v>0.0</v>
      </c>
      <c r="CN35" s="1">
        <v>1.0</v>
      </c>
      <c r="CO35" s="4">
        <f t="shared" si="39"/>
        <v>0.05</v>
      </c>
      <c r="CP35" s="4">
        <f t="shared" si="40"/>
        <v>579</v>
      </c>
      <c r="CQ35" s="1">
        <v>2.0</v>
      </c>
      <c r="CR35" s="4">
        <f t="shared" si="41"/>
        <v>470.5</v>
      </c>
      <c r="CS35" s="1">
        <v>2.0</v>
      </c>
      <c r="CT35" s="1">
        <v>0.0</v>
      </c>
      <c r="CU35" s="4">
        <f t="shared" si="42"/>
        <v>0</v>
      </c>
      <c r="CV35" s="1">
        <f t="shared" si="43"/>
        <v>577</v>
      </c>
      <c r="CW35" s="1">
        <v>2.0</v>
      </c>
      <c r="CX35" s="4">
        <f t="shared" si="44"/>
        <v>1330</v>
      </c>
      <c r="CY35" s="1">
        <v>2.0</v>
      </c>
      <c r="CZ35" s="1">
        <v>0.0</v>
      </c>
      <c r="DA35" s="4">
        <f t="shared" si="45"/>
        <v>0</v>
      </c>
      <c r="DB35" s="4">
        <f t="shared" ref="DB35:DE35" si="94">CV35</f>
        <v>577</v>
      </c>
      <c r="DC35" s="4">
        <f t="shared" si="94"/>
        <v>2</v>
      </c>
      <c r="DD35" s="4">
        <f t="shared" si="94"/>
        <v>1330</v>
      </c>
      <c r="DE35" s="4">
        <f t="shared" si="94"/>
        <v>2</v>
      </c>
      <c r="DF35" s="1">
        <v>0.0</v>
      </c>
      <c r="DG35" s="4">
        <f t="shared" si="47"/>
        <v>0</v>
      </c>
      <c r="DH35" s="1">
        <v>1000.0</v>
      </c>
      <c r="DI35" s="1">
        <v>2.0</v>
      </c>
      <c r="DJ35" s="4">
        <f t="shared" si="48"/>
        <v>597</v>
      </c>
      <c r="DK35" s="1">
        <v>2.0</v>
      </c>
      <c r="DL35" s="1">
        <v>0.0</v>
      </c>
      <c r="DM35" s="4">
        <f t="shared" si="49"/>
        <v>0</v>
      </c>
      <c r="DN35" s="4">
        <f t="shared" si="50"/>
        <v>3.84</v>
      </c>
      <c r="DO35" s="4">
        <f t="shared" si="51"/>
        <v>2.74</v>
      </c>
      <c r="DP35" s="4"/>
      <c r="DQ35" s="4"/>
      <c r="DR35" s="4"/>
      <c r="DS35" s="4"/>
      <c r="DT35" s="4"/>
      <c r="DU35" s="4"/>
      <c r="DV35" s="4"/>
    </row>
    <row r="36">
      <c r="A36" s="3" t="s">
        <v>288</v>
      </c>
      <c r="B36" s="1">
        <v>600.0</v>
      </c>
      <c r="C36" s="1">
        <v>580.0</v>
      </c>
      <c r="D36" s="1">
        <v>1930.0</v>
      </c>
      <c r="E36" s="4">
        <f t="shared" si="52"/>
        <v>15</v>
      </c>
      <c r="F36" s="4">
        <f t="shared" si="53"/>
        <v>18</v>
      </c>
      <c r="G36" s="4">
        <f t="shared" si="54"/>
        <v>6</v>
      </c>
      <c r="H36" s="4">
        <f t="shared" si="55"/>
        <v>100</v>
      </c>
      <c r="I36" s="4">
        <f t="shared" si="56"/>
        <v>100</v>
      </c>
      <c r="J36" s="4">
        <f t="shared" si="57"/>
        <v>13</v>
      </c>
      <c r="K36" s="4">
        <f t="shared" si="58"/>
        <v>20</v>
      </c>
      <c r="L36" s="4">
        <f t="shared" si="59"/>
        <v>6</v>
      </c>
      <c r="M36" s="4">
        <f t="shared" si="60"/>
        <v>2</v>
      </c>
      <c r="N36" s="4">
        <f t="shared" si="61"/>
        <v>10</v>
      </c>
      <c r="O36" s="4">
        <f t="shared" si="62"/>
        <v>8</v>
      </c>
      <c r="P36" s="4">
        <f t="shared" si="2"/>
        <v>600</v>
      </c>
      <c r="Q36" s="1">
        <v>0.0</v>
      </c>
      <c r="R36" s="1">
        <f t="shared" si="3"/>
        <v>100</v>
      </c>
      <c r="S36" s="1">
        <v>1.0</v>
      </c>
      <c r="T36" s="1">
        <v>1.0</v>
      </c>
      <c r="U36" s="4">
        <f t="shared" si="4"/>
        <v>0.06</v>
      </c>
      <c r="V36" s="4">
        <f t="shared" si="5"/>
        <v>462</v>
      </c>
      <c r="W36" s="1">
        <v>0.0</v>
      </c>
      <c r="X36" s="4">
        <f t="shared" si="6"/>
        <v>100</v>
      </c>
      <c r="Y36" s="1">
        <v>0.0</v>
      </c>
      <c r="Z36" s="1">
        <v>2.0</v>
      </c>
      <c r="AA36" s="4">
        <f t="shared" si="7"/>
        <v>0.1</v>
      </c>
      <c r="AB36" s="4">
        <f t="shared" si="8"/>
        <v>564</v>
      </c>
      <c r="AC36" s="1">
        <v>0.0</v>
      </c>
      <c r="AD36" s="4">
        <f t="shared" si="9"/>
        <v>100</v>
      </c>
      <c r="AE36" s="1">
        <v>0.0</v>
      </c>
      <c r="AF36" s="1">
        <v>1.0</v>
      </c>
      <c r="AG36" s="4">
        <f t="shared" si="10"/>
        <v>0.06</v>
      </c>
      <c r="AH36" s="1">
        <f t="shared" si="11"/>
        <v>582</v>
      </c>
      <c r="AI36" s="1">
        <v>1.0</v>
      </c>
      <c r="AJ36" s="1">
        <f t="shared" si="12"/>
        <v>574</v>
      </c>
      <c r="AK36" s="1">
        <v>0.0</v>
      </c>
      <c r="AL36" s="1">
        <v>2.0</v>
      </c>
      <c r="AM36" s="4">
        <f t="shared" si="13"/>
        <v>0.67</v>
      </c>
      <c r="AN36" s="1">
        <f t="shared" si="14"/>
        <v>1812</v>
      </c>
      <c r="AO36" s="1">
        <v>1.0</v>
      </c>
      <c r="AP36" s="1">
        <f t="shared" si="15"/>
        <v>574</v>
      </c>
      <c r="AQ36" s="1">
        <v>0.0</v>
      </c>
      <c r="AR36" s="1">
        <v>2.0</v>
      </c>
      <c r="AS36" s="4">
        <f t="shared" si="16"/>
        <v>2.09</v>
      </c>
      <c r="AT36" s="1">
        <f t="shared" si="17"/>
        <v>1842</v>
      </c>
      <c r="AU36" s="1">
        <v>0.0</v>
      </c>
      <c r="AV36" s="1">
        <f t="shared" si="18"/>
        <v>582</v>
      </c>
      <c r="AW36" s="1">
        <v>0.0</v>
      </c>
      <c r="AX36" s="1">
        <v>1.0</v>
      </c>
      <c r="AY36" s="4">
        <f t="shared" si="19"/>
        <v>1.08</v>
      </c>
      <c r="AZ36" s="4">
        <f t="shared" si="20"/>
        <v>552</v>
      </c>
      <c r="BA36" s="1">
        <v>1.0</v>
      </c>
      <c r="BB36" s="4">
        <f t="shared" si="21"/>
        <v>574</v>
      </c>
      <c r="BC36" s="1">
        <v>0.0</v>
      </c>
      <c r="BD36" s="1">
        <v>0.0</v>
      </c>
      <c r="BE36" s="4">
        <f t="shared" si="22"/>
        <v>0</v>
      </c>
      <c r="BF36" s="4">
        <f t="shared" si="23"/>
        <v>496</v>
      </c>
      <c r="BG36" s="1">
        <v>2.0</v>
      </c>
      <c r="BH36" s="4">
        <f t="shared" si="24"/>
        <v>446.5</v>
      </c>
      <c r="BI36" s="1">
        <v>0.0</v>
      </c>
      <c r="BJ36" s="1">
        <v>0.0</v>
      </c>
      <c r="BK36" s="4">
        <f t="shared" si="25"/>
        <v>0</v>
      </c>
      <c r="BL36" s="4">
        <f t="shared" si="26"/>
        <v>534</v>
      </c>
      <c r="BM36" s="1">
        <v>2.0</v>
      </c>
      <c r="BN36" s="4">
        <f t="shared" si="27"/>
        <v>446.5</v>
      </c>
      <c r="BO36" s="1">
        <v>2.0</v>
      </c>
      <c r="BP36" s="1">
        <v>0.0</v>
      </c>
      <c r="BQ36" s="4">
        <f t="shared" si="28"/>
        <v>0</v>
      </c>
      <c r="BR36" s="4">
        <f t="shared" si="29"/>
        <v>550</v>
      </c>
      <c r="BS36" s="1">
        <v>0.0</v>
      </c>
      <c r="BT36" s="4">
        <f t="shared" si="30"/>
        <v>512</v>
      </c>
      <c r="BU36" s="1">
        <v>0.0</v>
      </c>
      <c r="BV36" s="1">
        <v>0.0</v>
      </c>
      <c r="BW36" s="4">
        <f t="shared" si="31"/>
        <v>0</v>
      </c>
      <c r="BX36" s="4">
        <f t="shared" si="32"/>
        <v>582</v>
      </c>
      <c r="BY36" s="1">
        <v>1.0</v>
      </c>
      <c r="BZ36" s="4">
        <f t="shared" si="33"/>
        <v>574</v>
      </c>
      <c r="CA36" s="1">
        <v>0.0</v>
      </c>
      <c r="CB36" s="1">
        <v>1.0</v>
      </c>
      <c r="CC36" s="4">
        <f t="shared" si="34"/>
        <v>0.34</v>
      </c>
      <c r="CD36" s="4">
        <f t="shared" si="35"/>
        <v>1830</v>
      </c>
      <c r="CE36" s="1">
        <v>1.0</v>
      </c>
      <c r="CF36" s="4">
        <f t="shared" si="36"/>
        <v>580</v>
      </c>
      <c r="CG36" s="1">
        <v>1.0</v>
      </c>
      <c r="CH36" s="1">
        <v>2.0</v>
      </c>
      <c r="CI36" s="4">
        <f t="shared" si="37"/>
        <v>2.13</v>
      </c>
      <c r="CJ36" s="4">
        <f t="shared" si="38"/>
        <v>582</v>
      </c>
      <c r="CK36" s="1">
        <v>1.0</v>
      </c>
      <c r="CL36" s="1">
        <v>80.0</v>
      </c>
      <c r="CM36" s="1">
        <v>0.0</v>
      </c>
      <c r="CN36" s="1">
        <v>1.0</v>
      </c>
      <c r="CO36" s="4">
        <f t="shared" si="39"/>
        <v>0.05</v>
      </c>
      <c r="CP36" s="4">
        <f t="shared" si="40"/>
        <v>579</v>
      </c>
      <c r="CQ36" s="1">
        <v>2.0</v>
      </c>
      <c r="CR36" s="4">
        <f t="shared" si="41"/>
        <v>470.5</v>
      </c>
      <c r="CS36" s="1">
        <v>2.0</v>
      </c>
      <c r="CT36" s="1">
        <v>0.0</v>
      </c>
      <c r="CU36" s="4">
        <f t="shared" si="42"/>
        <v>0</v>
      </c>
      <c r="CV36" s="1">
        <f t="shared" si="43"/>
        <v>577</v>
      </c>
      <c r="CW36" s="1">
        <v>2.0</v>
      </c>
      <c r="CX36" s="4">
        <f t="shared" si="44"/>
        <v>1330</v>
      </c>
      <c r="CY36" s="1">
        <v>2.0</v>
      </c>
      <c r="CZ36" s="1">
        <v>0.0</v>
      </c>
      <c r="DA36" s="4">
        <f t="shared" si="45"/>
        <v>0</v>
      </c>
      <c r="DB36" s="4">
        <f t="shared" ref="DB36:DE36" si="95">CV36</f>
        <v>577</v>
      </c>
      <c r="DC36" s="4">
        <f t="shared" si="95"/>
        <v>2</v>
      </c>
      <c r="DD36" s="4">
        <f t="shared" si="95"/>
        <v>1330</v>
      </c>
      <c r="DE36" s="4">
        <f t="shared" si="95"/>
        <v>2</v>
      </c>
      <c r="DF36" s="1">
        <v>0.0</v>
      </c>
      <c r="DG36" s="4">
        <f t="shared" si="47"/>
        <v>0</v>
      </c>
      <c r="DH36" s="1">
        <v>1000.0</v>
      </c>
      <c r="DI36" s="1">
        <v>2.0</v>
      </c>
      <c r="DJ36" s="4">
        <f t="shared" si="48"/>
        <v>597</v>
      </c>
      <c r="DK36" s="1">
        <v>2.0</v>
      </c>
      <c r="DL36" s="1">
        <v>0.0</v>
      </c>
      <c r="DM36" s="4">
        <f t="shared" si="49"/>
        <v>0</v>
      </c>
      <c r="DN36" s="4">
        <f t="shared" si="50"/>
        <v>3.84</v>
      </c>
      <c r="DO36" s="4">
        <f t="shared" si="51"/>
        <v>2.74</v>
      </c>
      <c r="DP36" s="4"/>
      <c r="DQ36" s="4"/>
      <c r="DR36" s="4"/>
      <c r="DS36" s="4"/>
      <c r="DT36" s="4"/>
      <c r="DU36" s="4"/>
      <c r="DV36" s="4"/>
    </row>
    <row r="37">
      <c r="A37" s="3" t="s">
        <v>289</v>
      </c>
      <c r="B37" s="1">
        <v>600.0</v>
      </c>
      <c r="C37" s="1">
        <v>580.0</v>
      </c>
      <c r="D37" s="1">
        <v>1930.0</v>
      </c>
      <c r="E37" s="4">
        <f t="shared" si="52"/>
        <v>15</v>
      </c>
      <c r="F37" s="4">
        <f t="shared" si="53"/>
        <v>18</v>
      </c>
      <c r="G37" s="4">
        <f t="shared" si="54"/>
        <v>6</v>
      </c>
      <c r="H37" s="4">
        <f t="shared" si="55"/>
        <v>100</v>
      </c>
      <c r="I37" s="4">
        <f t="shared" si="56"/>
        <v>100</v>
      </c>
      <c r="J37" s="4">
        <f t="shared" si="57"/>
        <v>13</v>
      </c>
      <c r="K37" s="4">
        <f t="shared" si="58"/>
        <v>20</v>
      </c>
      <c r="L37" s="4">
        <f t="shared" si="59"/>
        <v>6</v>
      </c>
      <c r="M37" s="4">
        <f t="shared" si="60"/>
        <v>2</v>
      </c>
      <c r="N37" s="4">
        <f t="shared" si="61"/>
        <v>10</v>
      </c>
      <c r="O37" s="4">
        <f t="shared" si="62"/>
        <v>8</v>
      </c>
      <c r="P37" s="4">
        <f t="shared" si="2"/>
        <v>600</v>
      </c>
      <c r="Q37" s="1">
        <v>0.0</v>
      </c>
      <c r="R37" s="1">
        <f t="shared" si="3"/>
        <v>100</v>
      </c>
      <c r="S37" s="1">
        <v>1.0</v>
      </c>
      <c r="T37" s="1">
        <v>1.0</v>
      </c>
      <c r="U37" s="4">
        <f t="shared" si="4"/>
        <v>0.06</v>
      </c>
      <c r="V37" s="4">
        <f t="shared" si="5"/>
        <v>462</v>
      </c>
      <c r="W37" s="1">
        <v>0.0</v>
      </c>
      <c r="X37" s="4">
        <f t="shared" si="6"/>
        <v>100</v>
      </c>
      <c r="Y37" s="1">
        <v>0.0</v>
      </c>
      <c r="Z37" s="1">
        <v>2.0</v>
      </c>
      <c r="AA37" s="4">
        <f t="shared" si="7"/>
        <v>0.1</v>
      </c>
      <c r="AB37" s="4">
        <f t="shared" si="8"/>
        <v>564</v>
      </c>
      <c r="AC37" s="1">
        <v>0.0</v>
      </c>
      <c r="AD37" s="4">
        <f t="shared" si="9"/>
        <v>100</v>
      </c>
      <c r="AE37" s="1">
        <v>0.0</v>
      </c>
      <c r="AF37" s="1">
        <v>1.0</v>
      </c>
      <c r="AG37" s="4">
        <f t="shared" si="10"/>
        <v>0.06</v>
      </c>
      <c r="AH37" s="1">
        <f t="shared" si="11"/>
        <v>582</v>
      </c>
      <c r="AI37" s="1">
        <v>1.0</v>
      </c>
      <c r="AJ37" s="1">
        <f t="shared" si="12"/>
        <v>574</v>
      </c>
      <c r="AK37" s="1">
        <v>0.0</v>
      </c>
      <c r="AL37" s="1">
        <v>2.0</v>
      </c>
      <c r="AM37" s="4">
        <f t="shared" si="13"/>
        <v>0.67</v>
      </c>
      <c r="AN37" s="1">
        <f t="shared" si="14"/>
        <v>1812</v>
      </c>
      <c r="AO37" s="1">
        <v>1.0</v>
      </c>
      <c r="AP37" s="1">
        <f t="shared" si="15"/>
        <v>574</v>
      </c>
      <c r="AQ37" s="1">
        <v>0.0</v>
      </c>
      <c r="AR37" s="1">
        <v>2.0</v>
      </c>
      <c r="AS37" s="4">
        <f t="shared" si="16"/>
        <v>2.09</v>
      </c>
      <c r="AT37" s="1">
        <f t="shared" si="17"/>
        <v>1842</v>
      </c>
      <c r="AU37" s="1">
        <v>0.0</v>
      </c>
      <c r="AV37" s="1">
        <f t="shared" si="18"/>
        <v>582</v>
      </c>
      <c r="AW37" s="1">
        <v>0.0</v>
      </c>
      <c r="AX37" s="1">
        <v>1.0</v>
      </c>
      <c r="AY37" s="4">
        <f t="shared" si="19"/>
        <v>1.08</v>
      </c>
      <c r="AZ37" s="4">
        <f t="shared" si="20"/>
        <v>552</v>
      </c>
      <c r="BA37" s="1">
        <v>1.0</v>
      </c>
      <c r="BB37" s="4">
        <f t="shared" si="21"/>
        <v>574</v>
      </c>
      <c r="BC37" s="1">
        <v>0.0</v>
      </c>
      <c r="BD37" s="1">
        <v>0.0</v>
      </c>
      <c r="BE37" s="4">
        <f t="shared" si="22"/>
        <v>0</v>
      </c>
      <c r="BF37" s="4">
        <f t="shared" si="23"/>
        <v>496</v>
      </c>
      <c r="BG37" s="1">
        <v>2.0</v>
      </c>
      <c r="BH37" s="4">
        <f t="shared" si="24"/>
        <v>446.5</v>
      </c>
      <c r="BI37" s="1">
        <v>0.0</v>
      </c>
      <c r="BJ37" s="1">
        <v>0.0</v>
      </c>
      <c r="BK37" s="4">
        <f t="shared" si="25"/>
        <v>0</v>
      </c>
      <c r="BL37" s="4">
        <f t="shared" si="26"/>
        <v>534</v>
      </c>
      <c r="BM37" s="1">
        <v>2.0</v>
      </c>
      <c r="BN37" s="4">
        <f t="shared" si="27"/>
        <v>446.5</v>
      </c>
      <c r="BO37" s="1">
        <v>2.0</v>
      </c>
      <c r="BP37" s="1">
        <v>0.0</v>
      </c>
      <c r="BQ37" s="4">
        <f t="shared" si="28"/>
        <v>0</v>
      </c>
      <c r="BR37" s="4">
        <f t="shared" si="29"/>
        <v>550</v>
      </c>
      <c r="BS37" s="1">
        <v>0.0</v>
      </c>
      <c r="BT37" s="4">
        <f t="shared" si="30"/>
        <v>512</v>
      </c>
      <c r="BU37" s="1">
        <v>0.0</v>
      </c>
      <c r="BV37" s="1">
        <v>0.0</v>
      </c>
      <c r="BW37" s="4">
        <f t="shared" si="31"/>
        <v>0</v>
      </c>
      <c r="BX37" s="4">
        <f t="shared" si="32"/>
        <v>582</v>
      </c>
      <c r="BY37" s="1">
        <v>1.0</v>
      </c>
      <c r="BZ37" s="4">
        <f t="shared" si="33"/>
        <v>574</v>
      </c>
      <c r="CA37" s="1">
        <v>0.0</v>
      </c>
      <c r="CB37" s="1">
        <v>1.0</v>
      </c>
      <c r="CC37" s="4">
        <f t="shared" si="34"/>
        <v>0.34</v>
      </c>
      <c r="CD37" s="4">
        <f t="shared" si="35"/>
        <v>1830</v>
      </c>
      <c r="CE37" s="1">
        <v>1.0</v>
      </c>
      <c r="CF37" s="4">
        <f t="shared" si="36"/>
        <v>580</v>
      </c>
      <c r="CG37" s="1">
        <v>1.0</v>
      </c>
      <c r="CH37" s="1">
        <v>2.0</v>
      </c>
      <c r="CI37" s="4">
        <f t="shared" si="37"/>
        <v>2.13</v>
      </c>
      <c r="CJ37" s="4">
        <f t="shared" si="38"/>
        <v>582</v>
      </c>
      <c r="CK37" s="1">
        <v>1.0</v>
      </c>
      <c r="CL37" s="1">
        <v>80.0</v>
      </c>
      <c r="CM37" s="1">
        <v>0.0</v>
      </c>
      <c r="CN37" s="1">
        <v>1.0</v>
      </c>
      <c r="CO37" s="4">
        <f t="shared" si="39"/>
        <v>0.05</v>
      </c>
      <c r="CP37" s="4">
        <f t="shared" si="40"/>
        <v>579</v>
      </c>
      <c r="CQ37" s="1">
        <v>2.0</v>
      </c>
      <c r="CR37" s="4">
        <f t="shared" si="41"/>
        <v>470.5</v>
      </c>
      <c r="CS37" s="1">
        <v>2.0</v>
      </c>
      <c r="CT37" s="1">
        <v>0.0</v>
      </c>
      <c r="CU37" s="4">
        <f t="shared" si="42"/>
        <v>0</v>
      </c>
      <c r="CV37" s="1">
        <f t="shared" si="43"/>
        <v>577</v>
      </c>
      <c r="CW37" s="1">
        <v>2.0</v>
      </c>
      <c r="CX37" s="4">
        <f t="shared" si="44"/>
        <v>1330</v>
      </c>
      <c r="CY37" s="1">
        <v>2.0</v>
      </c>
      <c r="CZ37" s="1">
        <v>0.0</v>
      </c>
      <c r="DA37" s="4">
        <f t="shared" si="45"/>
        <v>0</v>
      </c>
      <c r="DB37" s="4">
        <f t="shared" ref="DB37:DE37" si="96">CV37</f>
        <v>577</v>
      </c>
      <c r="DC37" s="4">
        <f t="shared" si="96"/>
        <v>2</v>
      </c>
      <c r="DD37" s="4">
        <f t="shared" si="96"/>
        <v>1330</v>
      </c>
      <c r="DE37" s="4">
        <f t="shared" si="96"/>
        <v>2</v>
      </c>
      <c r="DF37" s="1">
        <v>0.0</v>
      </c>
      <c r="DG37" s="4">
        <f t="shared" si="47"/>
        <v>0</v>
      </c>
      <c r="DH37" s="1">
        <v>1000.0</v>
      </c>
      <c r="DI37" s="1">
        <v>2.0</v>
      </c>
      <c r="DJ37" s="4">
        <f t="shared" si="48"/>
        <v>597</v>
      </c>
      <c r="DK37" s="1">
        <v>2.0</v>
      </c>
      <c r="DL37" s="1">
        <v>0.0</v>
      </c>
      <c r="DM37" s="4">
        <f t="shared" si="49"/>
        <v>0</v>
      </c>
      <c r="DN37" s="4">
        <f t="shared" si="50"/>
        <v>3.84</v>
      </c>
      <c r="DO37" s="4">
        <f t="shared" si="51"/>
        <v>2.74</v>
      </c>
      <c r="DP37" s="4"/>
      <c r="DQ37" s="4"/>
      <c r="DR37" s="4"/>
      <c r="DS37" s="4"/>
      <c r="DT37" s="4"/>
      <c r="DU37" s="4"/>
      <c r="DV37" s="4"/>
    </row>
    <row r="38">
      <c r="A38" s="3" t="s">
        <v>290</v>
      </c>
      <c r="B38" s="1">
        <v>600.0</v>
      </c>
      <c r="C38" s="1">
        <v>580.0</v>
      </c>
      <c r="D38" s="1">
        <v>850.0</v>
      </c>
      <c r="E38" s="4">
        <f t="shared" si="52"/>
        <v>15</v>
      </c>
      <c r="F38" s="4">
        <f t="shared" si="53"/>
        <v>18</v>
      </c>
      <c r="G38" s="4">
        <f t="shared" si="54"/>
        <v>6</v>
      </c>
      <c r="H38" s="4">
        <f t="shared" si="55"/>
        <v>100</v>
      </c>
      <c r="I38" s="4">
        <f t="shared" si="56"/>
        <v>100</v>
      </c>
      <c r="J38" s="4">
        <f t="shared" si="57"/>
        <v>13</v>
      </c>
      <c r="K38" s="4">
        <f t="shared" si="58"/>
        <v>20</v>
      </c>
      <c r="L38" s="4">
        <f t="shared" si="59"/>
        <v>6</v>
      </c>
      <c r="M38" s="4">
        <f t="shared" si="60"/>
        <v>2</v>
      </c>
      <c r="N38" s="4">
        <f t="shared" si="61"/>
        <v>10</v>
      </c>
      <c r="O38" s="4">
        <f t="shared" si="62"/>
        <v>8</v>
      </c>
      <c r="P38" s="4">
        <f t="shared" si="2"/>
        <v>600</v>
      </c>
      <c r="Q38" s="1">
        <v>0.0</v>
      </c>
      <c r="R38" s="1">
        <f t="shared" si="3"/>
        <v>100</v>
      </c>
      <c r="S38" s="1">
        <v>1.0</v>
      </c>
      <c r="T38" s="1">
        <v>1.0</v>
      </c>
      <c r="U38" s="4">
        <f t="shared" si="4"/>
        <v>0.06</v>
      </c>
      <c r="V38" s="4">
        <f t="shared" si="5"/>
        <v>462</v>
      </c>
      <c r="W38" s="1">
        <v>0.0</v>
      </c>
      <c r="X38" s="4">
        <f t="shared" si="6"/>
        <v>100</v>
      </c>
      <c r="Y38" s="1">
        <v>0.0</v>
      </c>
      <c r="Z38" s="1">
        <v>2.0</v>
      </c>
      <c r="AA38" s="4">
        <f t="shared" si="7"/>
        <v>0.1</v>
      </c>
      <c r="AB38" s="4">
        <f t="shared" si="8"/>
        <v>564</v>
      </c>
      <c r="AC38" s="1">
        <v>0.0</v>
      </c>
      <c r="AD38" s="4">
        <f t="shared" si="9"/>
        <v>100</v>
      </c>
      <c r="AE38" s="1">
        <v>0.0</v>
      </c>
      <c r="AF38" s="1">
        <v>1.0</v>
      </c>
      <c r="AG38" s="4">
        <f t="shared" si="10"/>
        <v>0.06</v>
      </c>
      <c r="AH38" s="1">
        <f t="shared" si="11"/>
        <v>582</v>
      </c>
      <c r="AI38" s="1">
        <v>1.0</v>
      </c>
      <c r="AJ38" s="1">
        <f t="shared" si="12"/>
        <v>574</v>
      </c>
      <c r="AK38" s="1">
        <v>0.0</v>
      </c>
      <c r="AL38" s="1">
        <v>2.0</v>
      </c>
      <c r="AM38" s="4">
        <f t="shared" si="13"/>
        <v>0.67</v>
      </c>
      <c r="AN38" s="1">
        <f t="shared" si="14"/>
        <v>732</v>
      </c>
      <c r="AO38" s="1">
        <v>1.0</v>
      </c>
      <c r="AP38" s="1">
        <f t="shared" si="15"/>
        <v>574</v>
      </c>
      <c r="AQ38" s="1">
        <v>0.0</v>
      </c>
      <c r="AR38" s="1">
        <v>2.0</v>
      </c>
      <c r="AS38" s="4">
        <f t="shared" si="16"/>
        <v>0.85</v>
      </c>
      <c r="AT38" s="1">
        <f t="shared" si="17"/>
        <v>762</v>
      </c>
      <c r="AU38" s="1">
        <v>0.0</v>
      </c>
      <c r="AV38" s="1">
        <f t="shared" si="18"/>
        <v>582</v>
      </c>
      <c r="AW38" s="1">
        <v>0.0</v>
      </c>
      <c r="AX38" s="1">
        <v>1.0</v>
      </c>
      <c r="AY38" s="4">
        <f t="shared" si="19"/>
        <v>0.45</v>
      </c>
      <c r="AZ38" s="4">
        <f t="shared" si="20"/>
        <v>552</v>
      </c>
      <c r="BA38" s="1">
        <v>1.0</v>
      </c>
      <c r="BB38" s="4">
        <f t="shared" si="21"/>
        <v>574</v>
      </c>
      <c r="BC38" s="1">
        <v>0.0</v>
      </c>
      <c r="BD38" s="1">
        <v>0.0</v>
      </c>
      <c r="BE38" s="4">
        <f t="shared" si="22"/>
        <v>0</v>
      </c>
      <c r="BF38" s="4">
        <f t="shared" si="23"/>
        <v>496</v>
      </c>
      <c r="BG38" s="1">
        <v>2.0</v>
      </c>
      <c r="BH38" s="4">
        <f t="shared" si="24"/>
        <v>176.5</v>
      </c>
      <c r="BI38" s="1">
        <v>0.0</v>
      </c>
      <c r="BJ38" s="1">
        <v>0.0</v>
      </c>
      <c r="BK38" s="4">
        <f t="shared" si="25"/>
        <v>0</v>
      </c>
      <c r="BL38" s="4">
        <f t="shared" si="26"/>
        <v>534</v>
      </c>
      <c r="BM38" s="1">
        <v>2.0</v>
      </c>
      <c r="BN38" s="4">
        <f t="shared" si="27"/>
        <v>176.5</v>
      </c>
      <c r="BO38" s="1">
        <v>2.0</v>
      </c>
      <c r="BP38" s="1">
        <v>0.0</v>
      </c>
      <c r="BQ38" s="4">
        <f t="shared" si="28"/>
        <v>0</v>
      </c>
      <c r="BR38" s="4">
        <f t="shared" si="29"/>
        <v>550</v>
      </c>
      <c r="BS38" s="1">
        <v>0.0</v>
      </c>
      <c r="BT38" s="4">
        <f t="shared" si="30"/>
        <v>512</v>
      </c>
      <c r="BU38" s="1">
        <v>0.0</v>
      </c>
      <c r="BV38" s="1">
        <v>0.0</v>
      </c>
      <c r="BW38" s="4">
        <f t="shared" si="31"/>
        <v>0</v>
      </c>
      <c r="BX38" s="4">
        <f t="shared" si="32"/>
        <v>582</v>
      </c>
      <c r="BY38" s="1">
        <v>1.0</v>
      </c>
      <c r="BZ38" s="4">
        <f t="shared" si="33"/>
        <v>574</v>
      </c>
      <c r="CA38" s="1">
        <v>0.0</v>
      </c>
      <c r="CB38" s="1">
        <v>1.0</v>
      </c>
      <c r="CC38" s="4">
        <f t="shared" si="34"/>
        <v>0.34</v>
      </c>
      <c r="CD38" s="4">
        <f t="shared" si="35"/>
        <v>750</v>
      </c>
      <c r="CE38" s="1">
        <v>1.0</v>
      </c>
      <c r="CF38" s="4">
        <f t="shared" si="36"/>
        <v>580</v>
      </c>
      <c r="CG38" s="1">
        <v>1.0</v>
      </c>
      <c r="CH38" s="1">
        <v>2.0</v>
      </c>
      <c r="CI38" s="4">
        <f t="shared" si="37"/>
        <v>0.87</v>
      </c>
      <c r="CJ38" s="4">
        <f t="shared" si="38"/>
        <v>582</v>
      </c>
      <c r="CK38" s="1">
        <v>1.0</v>
      </c>
      <c r="CL38" s="1">
        <v>80.0</v>
      </c>
      <c r="CM38" s="1">
        <v>0.0</v>
      </c>
      <c r="CN38" s="1">
        <v>1.0</v>
      </c>
      <c r="CO38" s="4">
        <f t="shared" si="39"/>
        <v>0.05</v>
      </c>
      <c r="CP38" s="4">
        <f t="shared" si="40"/>
        <v>579</v>
      </c>
      <c r="CQ38" s="1">
        <v>2.0</v>
      </c>
      <c r="CR38" s="4">
        <f t="shared" si="41"/>
        <v>200.5</v>
      </c>
      <c r="CS38" s="1">
        <v>2.0</v>
      </c>
      <c r="CT38" s="1">
        <v>0.0</v>
      </c>
      <c r="CU38" s="4">
        <f t="shared" si="42"/>
        <v>0</v>
      </c>
      <c r="CV38" s="1">
        <f t="shared" si="43"/>
        <v>577</v>
      </c>
      <c r="CW38" s="1">
        <v>2.0</v>
      </c>
      <c r="CX38" s="4">
        <f t="shared" si="44"/>
        <v>250</v>
      </c>
      <c r="CY38" s="1">
        <v>2.0</v>
      </c>
      <c r="CZ38" s="1">
        <v>0.0</v>
      </c>
      <c r="DA38" s="4">
        <f t="shared" si="45"/>
        <v>0</v>
      </c>
      <c r="DB38" s="4">
        <f t="shared" ref="DB38:DE38" si="97">CV38</f>
        <v>577</v>
      </c>
      <c r="DC38" s="4">
        <f t="shared" si="97"/>
        <v>2</v>
      </c>
      <c r="DD38" s="4">
        <f t="shared" si="97"/>
        <v>250</v>
      </c>
      <c r="DE38" s="4">
        <f t="shared" si="97"/>
        <v>2</v>
      </c>
      <c r="DF38" s="1">
        <v>0.0</v>
      </c>
      <c r="DG38" s="4">
        <f t="shared" si="47"/>
        <v>0</v>
      </c>
      <c r="DH38" s="1">
        <v>1000.0</v>
      </c>
      <c r="DI38" s="1">
        <v>2.0</v>
      </c>
      <c r="DJ38" s="4">
        <f t="shared" si="48"/>
        <v>597</v>
      </c>
      <c r="DK38" s="1">
        <v>2.0</v>
      </c>
      <c r="DL38" s="1">
        <v>0.0</v>
      </c>
      <c r="DM38" s="4">
        <f t="shared" si="49"/>
        <v>0</v>
      </c>
      <c r="DN38" s="4">
        <f t="shared" si="50"/>
        <v>1.97</v>
      </c>
      <c r="DO38" s="4">
        <f t="shared" si="51"/>
        <v>1.48</v>
      </c>
      <c r="DP38" s="4"/>
      <c r="DQ38" s="4"/>
      <c r="DR38" s="4"/>
      <c r="DS38" s="4"/>
      <c r="DT38" s="4"/>
      <c r="DU38" s="4"/>
      <c r="DV38" s="4"/>
    </row>
    <row r="39">
      <c r="A39" s="3" t="s">
        <v>292</v>
      </c>
      <c r="B39" s="1">
        <v>600.0</v>
      </c>
      <c r="C39" s="1">
        <v>580.0</v>
      </c>
      <c r="D39" s="1">
        <v>850.0</v>
      </c>
      <c r="E39" s="4">
        <f t="shared" si="52"/>
        <v>15</v>
      </c>
      <c r="F39" s="4">
        <f t="shared" si="53"/>
        <v>18</v>
      </c>
      <c r="G39" s="4">
        <f t="shared" si="54"/>
        <v>6</v>
      </c>
      <c r="H39" s="4">
        <f t="shared" si="55"/>
        <v>100</v>
      </c>
      <c r="I39" s="4">
        <f t="shared" si="56"/>
        <v>100</v>
      </c>
      <c r="J39" s="4">
        <f t="shared" si="57"/>
        <v>13</v>
      </c>
      <c r="K39" s="4">
        <f t="shared" si="58"/>
        <v>20</v>
      </c>
      <c r="L39" s="4">
        <f t="shared" si="59"/>
        <v>6</v>
      </c>
      <c r="M39" s="4">
        <f t="shared" si="60"/>
        <v>2</v>
      </c>
      <c r="N39" s="4">
        <f t="shared" si="61"/>
        <v>10</v>
      </c>
      <c r="O39" s="4">
        <f t="shared" si="62"/>
        <v>8</v>
      </c>
      <c r="P39" s="4">
        <f t="shared" si="2"/>
        <v>600</v>
      </c>
      <c r="Q39" s="1">
        <v>0.0</v>
      </c>
      <c r="R39" s="1">
        <f t="shared" si="3"/>
        <v>100</v>
      </c>
      <c r="S39" s="1">
        <v>1.0</v>
      </c>
      <c r="T39" s="1">
        <v>1.0</v>
      </c>
      <c r="U39" s="4">
        <f t="shared" si="4"/>
        <v>0.06</v>
      </c>
      <c r="V39" s="4">
        <f t="shared" si="5"/>
        <v>462</v>
      </c>
      <c r="W39" s="1">
        <v>0.0</v>
      </c>
      <c r="X39" s="4">
        <f t="shared" si="6"/>
        <v>100</v>
      </c>
      <c r="Y39" s="1">
        <v>0.0</v>
      </c>
      <c r="Z39" s="1">
        <v>2.0</v>
      </c>
      <c r="AA39" s="4">
        <f t="shared" si="7"/>
        <v>0.1</v>
      </c>
      <c r="AB39" s="4">
        <f t="shared" si="8"/>
        <v>564</v>
      </c>
      <c r="AC39" s="1">
        <v>0.0</v>
      </c>
      <c r="AD39" s="4">
        <f t="shared" si="9"/>
        <v>100</v>
      </c>
      <c r="AE39" s="1">
        <v>0.0</v>
      </c>
      <c r="AF39" s="1">
        <v>1.0</v>
      </c>
      <c r="AG39" s="4">
        <f t="shared" si="10"/>
        <v>0.06</v>
      </c>
      <c r="AH39" s="1">
        <f t="shared" si="11"/>
        <v>582</v>
      </c>
      <c r="AI39" s="1">
        <v>1.0</v>
      </c>
      <c r="AJ39" s="1">
        <f t="shared" si="12"/>
        <v>574</v>
      </c>
      <c r="AK39" s="1">
        <v>0.0</v>
      </c>
      <c r="AL39" s="1">
        <v>2.0</v>
      </c>
      <c r="AM39" s="4">
        <f t="shared" si="13"/>
        <v>0.67</v>
      </c>
      <c r="AN39" s="1">
        <f t="shared" si="14"/>
        <v>732</v>
      </c>
      <c r="AO39" s="1">
        <v>1.0</v>
      </c>
      <c r="AP39" s="1">
        <f t="shared" si="15"/>
        <v>574</v>
      </c>
      <c r="AQ39" s="1">
        <v>0.0</v>
      </c>
      <c r="AR39" s="1">
        <v>2.0</v>
      </c>
      <c r="AS39" s="4">
        <f t="shared" si="16"/>
        <v>0.85</v>
      </c>
      <c r="AT39" s="1">
        <f t="shared" si="17"/>
        <v>762</v>
      </c>
      <c r="AU39" s="1">
        <v>0.0</v>
      </c>
      <c r="AV39" s="1">
        <f t="shared" si="18"/>
        <v>582</v>
      </c>
      <c r="AW39" s="1">
        <v>0.0</v>
      </c>
      <c r="AX39" s="1">
        <v>1.0</v>
      </c>
      <c r="AY39" s="4">
        <f t="shared" si="19"/>
        <v>0.45</v>
      </c>
      <c r="AZ39" s="4">
        <f t="shared" si="20"/>
        <v>552</v>
      </c>
      <c r="BA39" s="1">
        <v>1.0</v>
      </c>
      <c r="BB39" s="4">
        <f t="shared" si="21"/>
        <v>574</v>
      </c>
      <c r="BC39" s="1">
        <v>0.0</v>
      </c>
      <c r="BD39" s="1">
        <v>0.0</v>
      </c>
      <c r="BE39" s="4">
        <f t="shared" si="22"/>
        <v>0</v>
      </c>
      <c r="BF39" s="4">
        <f t="shared" si="23"/>
        <v>496</v>
      </c>
      <c r="BG39" s="1">
        <v>2.0</v>
      </c>
      <c r="BH39" s="4">
        <f t="shared" si="24"/>
        <v>176.5</v>
      </c>
      <c r="BI39" s="1">
        <v>0.0</v>
      </c>
      <c r="BJ39" s="1">
        <v>0.0</v>
      </c>
      <c r="BK39" s="4">
        <f t="shared" si="25"/>
        <v>0</v>
      </c>
      <c r="BL39" s="4">
        <f t="shared" si="26"/>
        <v>534</v>
      </c>
      <c r="BM39" s="1">
        <v>2.0</v>
      </c>
      <c r="BN39" s="4">
        <f t="shared" si="27"/>
        <v>176.5</v>
      </c>
      <c r="BO39" s="1">
        <v>2.0</v>
      </c>
      <c r="BP39" s="1">
        <v>0.0</v>
      </c>
      <c r="BQ39" s="4">
        <f t="shared" si="28"/>
        <v>0</v>
      </c>
      <c r="BR39" s="4">
        <f t="shared" si="29"/>
        <v>550</v>
      </c>
      <c r="BS39" s="1">
        <v>0.0</v>
      </c>
      <c r="BT39" s="4">
        <f t="shared" si="30"/>
        <v>512</v>
      </c>
      <c r="BU39" s="1">
        <v>0.0</v>
      </c>
      <c r="BV39" s="1">
        <v>0.0</v>
      </c>
      <c r="BW39" s="4">
        <f t="shared" si="31"/>
        <v>0</v>
      </c>
      <c r="BX39" s="4">
        <f t="shared" si="32"/>
        <v>582</v>
      </c>
      <c r="BY39" s="1">
        <v>1.0</v>
      </c>
      <c r="BZ39" s="4">
        <f t="shared" si="33"/>
        <v>574</v>
      </c>
      <c r="CA39" s="1">
        <v>0.0</v>
      </c>
      <c r="CB39" s="1">
        <v>1.0</v>
      </c>
      <c r="CC39" s="4">
        <f t="shared" si="34"/>
        <v>0.34</v>
      </c>
      <c r="CD39" s="4">
        <f t="shared" si="35"/>
        <v>750</v>
      </c>
      <c r="CE39" s="1">
        <v>1.0</v>
      </c>
      <c r="CF39" s="4">
        <f t="shared" si="36"/>
        <v>580</v>
      </c>
      <c r="CG39" s="1">
        <v>1.0</v>
      </c>
      <c r="CH39" s="1">
        <v>2.0</v>
      </c>
      <c r="CI39" s="4">
        <f t="shared" si="37"/>
        <v>0.87</v>
      </c>
      <c r="CJ39" s="4">
        <f t="shared" si="38"/>
        <v>582</v>
      </c>
      <c r="CK39" s="1">
        <v>1.0</v>
      </c>
      <c r="CL39" s="1">
        <v>80.0</v>
      </c>
      <c r="CM39" s="1">
        <v>0.0</v>
      </c>
      <c r="CN39" s="1">
        <v>1.0</v>
      </c>
      <c r="CO39" s="4">
        <f t="shared" si="39"/>
        <v>0.05</v>
      </c>
      <c r="CP39" s="4">
        <f t="shared" si="40"/>
        <v>579</v>
      </c>
      <c r="CQ39" s="1">
        <v>2.0</v>
      </c>
      <c r="CR39" s="4">
        <f t="shared" si="41"/>
        <v>200.5</v>
      </c>
      <c r="CS39" s="1">
        <v>2.0</v>
      </c>
      <c r="CT39" s="1">
        <v>0.0</v>
      </c>
      <c r="CU39" s="4">
        <f t="shared" si="42"/>
        <v>0</v>
      </c>
      <c r="CV39" s="1">
        <f t="shared" si="43"/>
        <v>577</v>
      </c>
      <c r="CW39" s="1">
        <v>2.0</v>
      </c>
      <c r="CX39" s="4">
        <f t="shared" si="44"/>
        <v>250</v>
      </c>
      <c r="CY39" s="1">
        <v>2.0</v>
      </c>
      <c r="CZ39" s="1">
        <v>0.0</v>
      </c>
      <c r="DA39" s="4">
        <f t="shared" si="45"/>
        <v>0</v>
      </c>
      <c r="DB39" s="4">
        <f t="shared" ref="DB39:DE39" si="98">CV39</f>
        <v>577</v>
      </c>
      <c r="DC39" s="4">
        <f t="shared" si="98"/>
        <v>2</v>
      </c>
      <c r="DD39" s="4">
        <f t="shared" si="98"/>
        <v>250</v>
      </c>
      <c r="DE39" s="4">
        <f t="shared" si="98"/>
        <v>2</v>
      </c>
      <c r="DF39" s="1">
        <v>0.0</v>
      </c>
      <c r="DG39" s="4">
        <f t="shared" si="47"/>
        <v>0</v>
      </c>
      <c r="DH39" s="1">
        <v>1000.0</v>
      </c>
      <c r="DI39" s="1">
        <v>2.0</v>
      </c>
      <c r="DJ39" s="4">
        <f t="shared" si="48"/>
        <v>597</v>
      </c>
      <c r="DK39" s="1">
        <v>2.0</v>
      </c>
      <c r="DL39" s="1">
        <v>0.0</v>
      </c>
      <c r="DM39" s="4">
        <f t="shared" si="49"/>
        <v>0</v>
      </c>
      <c r="DN39" s="4">
        <f t="shared" si="50"/>
        <v>1.97</v>
      </c>
      <c r="DO39" s="4">
        <f t="shared" si="51"/>
        <v>1.48</v>
      </c>
      <c r="DP39" s="4"/>
      <c r="DQ39" s="4"/>
      <c r="DR39" s="4"/>
      <c r="DS39" s="4"/>
      <c r="DT39" s="4"/>
      <c r="DU39" s="4"/>
      <c r="DV39" s="4"/>
    </row>
    <row r="40">
      <c r="A40" s="3" t="s">
        <v>293</v>
      </c>
      <c r="B40" s="1">
        <v>600.0</v>
      </c>
      <c r="C40" s="1">
        <v>580.0</v>
      </c>
      <c r="D40" s="1">
        <v>850.0</v>
      </c>
      <c r="E40" s="4">
        <f t="shared" si="52"/>
        <v>15</v>
      </c>
      <c r="F40" s="4">
        <f t="shared" si="53"/>
        <v>18</v>
      </c>
      <c r="G40" s="4">
        <f t="shared" si="54"/>
        <v>6</v>
      </c>
      <c r="H40" s="4">
        <f t="shared" si="55"/>
        <v>100</v>
      </c>
      <c r="I40" s="4">
        <f t="shared" si="56"/>
        <v>100</v>
      </c>
      <c r="J40" s="4">
        <f t="shared" si="57"/>
        <v>13</v>
      </c>
      <c r="K40" s="4">
        <f t="shared" si="58"/>
        <v>20</v>
      </c>
      <c r="L40" s="4">
        <f t="shared" si="59"/>
        <v>6</v>
      </c>
      <c r="M40" s="4">
        <f t="shared" si="60"/>
        <v>2</v>
      </c>
      <c r="N40" s="4">
        <f t="shared" si="61"/>
        <v>10</v>
      </c>
      <c r="O40" s="4">
        <f t="shared" si="62"/>
        <v>8</v>
      </c>
      <c r="P40" s="4">
        <f t="shared" si="2"/>
        <v>600</v>
      </c>
      <c r="Q40" s="1">
        <v>0.0</v>
      </c>
      <c r="R40" s="1">
        <f t="shared" si="3"/>
        <v>100</v>
      </c>
      <c r="S40" s="1">
        <v>1.0</v>
      </c>
      <c r="T40" s="1">
        <v>1.0</v>
      </c>
      <c r="U40" s="4">
        <f t="shared" si="4"/>
        <v>0.06</v>
      </c>
      <c r="V40" s="4">
        <f t="shared" si="5"/>
        <v>462</v>
      </c>
      <c r="W40" s="1">
        <v>0.0</v>
      </c>
      <c r="X40" s="4">
        <f t="shared" si="6"/>
        <v>100</v>
      </c>
      <c r="Y40" s="1">
        <v>0.0</v>
      </c>
      <c r="Z40" s="1">
        <v>2.0</v>
      </c>
      <c r="AA40" s="4">
        <f t="shared" si="7"/>
        <v>0.1</v>
      </c>
      <c r="AB40" s="4">
        <f t="shared" si="8"/>
        <v>564</v>
      </c>
      <c r="AC40" s="1">
        <v>0.0</v>
      </c>
      <c r="AD40" s="4">
        <f t="shared" si="9"/>
        <v>100</v>
      </c>
      <c r="AE40" s="1">
        <v>0.0</v>
      </c>
      <c r="AF40" s="1">
        <v>1.0</v>
      </c>
      <c r="AG40" s="4">
        <f t="shared" si="10"/>
        <v>0.06</v>
      </c>
      <c r="AH40" s="1">
        <f t="shared" si="11"/>
        <v>582</v>
      </c>
      <c r="AI40" s="1">
        <v>1.0</v>
      </c>
      <c r="AJ40" s="1">
        <f t="shared" si="12"/>
        <v>574</v>
      </c>
      <c r="AK40" s="1">
        <v>0.0</v>
      </c>
      <c r="AL40" s="1">
        <v>2.0</v>
      </c>
      <c r="AM40" s="4">
        <f t="shared" si="13"/>
        <v>0.67</v>
      </c>
      <c r="AN40" s="1">
        <f t="shared" si="14"/>
        <v>732</v>
      </c>
      <c r="AO40" s="1">
        <v>1.0</v>
      </c>
      <c r="AP40" s="1">
        <f t="shared" si="15"/>
        <v>574</v>
      </c>
      <c r="AQ40" s="1">
        <v>0.0</v>
      </c>
      <c r="AR40" s="1">
        <v>2.0</v>
      </c>
      <c r="AS40" s="4">
        <f t="shared" si="16"/>
        <v>0.85</v>
      </c>
      <c r="AT40" s="1">
        <f t="shared" si="17"/>
        <v>762</v>
      </c>
      <c r="AU40" s="1">
        <v>0.0</v>
      </c>
      <c r="AV40" s="1">
        <f t="shared" si="18"/>
        <v>582</v>
      </c>
      <c r="AW40" s="1">
        <v>0.0</v>
      </c>
      <c r="AX40" s="1">
        <v>1.0</v>
      </c>
      <c r="AY40" s="4">
        <f t="shared" si="19"/>
        <v>0.45</v>
      </c>
      <c r="AZ40" s="4">
        <f t="shared" si="20"/>
        <v>552</v>
      </c>
      <c r="BA40" s="1">
        <v>1.0</v>
      </c>
      <c r="BB40" s="4">
        <f t="shared" si="21"/>
        <v>574</v>
      </c>
      <c r="BC40" s="1">
        <v>0.0</v>
      </c>
      <c r="BD40" s="1">
        <v>0.0</v>
      </c>
      <c r="BE40" s="4">
        <f t="shared" si="22"/>
        <v>0</v>
      </c>
      <c r="BF40" s="4">
        <f t="shared" si="23"/>
        <v>496</v>
      </c>
      <c r="BG40" s="1">
        <v>2.0</v>
      </c>
      <c r="BH40" s="4">
        <f t="shared" si="24"/>
        <v>176.5</v>
      </c>
      <c r="BI40" s="1">
        <v>0.0</v>
      </c>
      <c r="BJ40" s="1">
        <v>0.0</v>
      </c>
      <c r="BK40" s="4">
        <f t="shared" si="25"/>
        <v>0</v>
      </c>
      <c r="BL40" s="4">
        <f t="shared" si="26"/>
        <v>534</v>
      </c>
      <c r="BM40" s="1">
        <v>2.0</v>
      </c>
      <c r="BN40" s="4">
        <f t="shared" si="27"/>
        <v>176.5</v>
      </c>
      <c r="BO40" s="1">
        <v>2.0</v>
      </c>
      <c r="BP40" s="1">
        <v>0.0</v>
      </c>
      <c r="BQ40" s="4">
        <f t="shared" si="28"/>
        <v>0</v>
      </c>
      <c r="BR40" s="4">
        <f t="shared" si="29"/>
        <v>550</v>
      </c>
      <c r="BS40" s="1">
        <v>0.0</v>
      </c>
      <c r="BT40" s="4">
        <f t="shared" si="30"/>
        <v>512</v>
      </c>
      <c r="BU40" s="1">
        <v>0.0</v>
      </c>
      <c r="BV40" s="1">
        <v>0.0</v>
      </c>
      <c r="BW40" s="4">
        <f t="shared" si="31"/>
        <v>0</v>
      </c>
      <c r="BX40" s="4">
        <f t="shared" si="32"/>
        <v>582</v>
      </c>
      <c r="BY40" s="1">
        <v>1.0</v>
      </c>
      <c r="BZ40" s="4">
        <f t="shared" si="33"/>
        <v>574</v>
      </c>
      <c r="CA40" s="1">
        <v>0.0</v>
      </c>
      <c r="CB40" s="1">
        <v>1.0</v>
      </c>
      <c r="CC40" s="4">
        <f t="shared" si="34"/>
        <v>0.34</v>
      </c>
      <c r="CD40" s="4">
        <f t="shared" si="35"/>
        <v>750</v>
      </c>
      <c r="CE40" s="1">
        <v>1.0</v>
      </c>
      <c r="CF40" s="4">
        <f t="shared" si="36"/>
        <v>580</v>
      </c>
      <c r="CG40" s="1">
        <v>1.0</v>
      </c>
      <c r="CH40" s="1">
        <v>2.0</v>
      </c>
      <c r="CI40" s="4">
        <f t="shared" si="37"/>
        <v>0.87</v>
      </c>
      <c r="CJ40" s="4">
        <f t="shared" si="38"/>
        <v>582</v>
      </c>
      <c r="CK40" s="1">
        <v>1.0</v>
      </c>
      <c r="CL40" s="1">
        <v>80.0</v>
      </c>
      <c r="CM40" s="1">
        <v>0.0</v>
      </c>
      <c r="CN40" s="1">
        <v>1.0</v>
      </c>
      <c r="CO40" s="4">
        <f t="shared" si="39"/>
        <v>0.05</v>
      </c>
      <c r="CP40" s="4">
        <f t="shared" si="40"/>
        <v>579</v>
      </c>
      <c r="CQ40" s="1">
        <v>2.0</v>
      </c>
      <c r="CR40" s="4">
        <f t="shared" si="41"/>
        <v>200.5</v>
      </c>
      <c r="CS40" s="1">
        <v>2.0</v>
      </c>
      <c r="CT40" s="1">
        <v>0.0</v>
      </c>
      <c r="CU40" s="4">
        <f t="shared" si="42"/>
        <v>0</v>
      </c>
      <c r="CV40" s="1">
        <f t="shared" si="43"/>
        <v>577</v>
      </c>
      <c r="CW40" s="1">
        <v>2.0</v>
      </c>
      <c r="CX40" s="4">
        <f t="shared" si="44"/>
        <v>250</v>
      </c>
      <c r="CY40" s="1">
        <v>2.0</v>
      </c>
      <c r="CZ40" s="1">
        <v>0.0</v>
      </c>
      <c r="DA40" s="4">
        <f t="shared" si="45"/>
        <v>0</v>
      </c>
      <c r="DB40" s="4">
        <f t="shared" ref="DB40:DE40" si="99">CV40</f>
        <v>577</v>
      </c>
      <c r="DC40" s="4">
        <f t="shared" si="99"/>
        <v>2</v>
      </c>
      <c r="DD40" s="4">
        <f t="shared" si="99"/>
        <v>250</v>
      </c>
      <c r="DE40" s="4">
        <f t="shared" si="99"/>
        <v>2</v>
      </c>
      <c r="DF40" s="1">
        <v>0.0</v>
      </c>
      <c r="DG40" s="4">
        <f t="shared" si="47"/>
        <v>0</v>
      </c>
      <c r="DH40" s="1">
        <v>1000.0</v>
      </c>
      <c r="DI40" s="1">
        <v>2.0</v>
      </c>
      <c r="DJ40" s="4">
        <f t="shared" si="48"/>
        <v>597</v>
      </c>
      <c r="DK40" s="1">
        <v>2.0</v>
      </c>
      <c r="DL40" s="1">
        <v>0.0</v>
      </c>
      <c r="DM40" s="4">
        <f t="shared" si="49"/>
        <v>0</v>
      </c>
      <c r="DN40" s="4">
        <f t="shared" si="50"/>
        <v>1.97</v>
      </c>
      <c r="DO40" s="4">
        <f t="shared" si="51"/>
        <v>1.48</v>
      </c>
      <c r="DP40" s="4"/>
      <c r="DQ40" s="4"/>
      <c r="DR40" s="4"/>
      <c r="DS40" s="4"/>
      <c r="DT40" s="4"/>
      <c r="DU40" s="4"/>
      <c r="DV40" s="4"/>
    </row>
    <row r="41">
      <c r="A41" s="3" t="s">
        <v>294</v>
      </c>
      <c r="B41" s="1">
        <v>600.0</v>
      </c>
      <c r="C41" s="1">
        <v>580.0</v>
      </c>
      <c r="D41" s="1">
        <v>850.0</v>
      </c>
      <c r="E41" s="4">
        <f t="shared" si="52"/>
        <v>15</v>
      </c>
      <c r="F41" s="4">
        <f t="shared" si="53"/>
        <v>18</v>
      </c>
      <c r="G41" s="4">
        <f t="shared" si="54"/>
        <v>6</v>
      </c>
      <c r="H41" s="4">
        <f t="shared" si="55"/>
        <v>100</v>
      </c>
      <c r="I41" s="4">
        <f t="shared" si="56"/>
        <v>100</v>
      </c>
      <c r="J41" s="4">
        <f t="shared" si="57"/>
        <v>13</v>
      </c>
      <c r="K41" s="4">
        <f t="shared" si="58"/>
        <v>20</v>
      </c>
      <c r="L41" s="4">
        <f t="shared" si="59"/>
        <v>6</v>
      </c>
      <c r="M41" s="4">
        <f t="shared" si="60"/>
        <v>2</v>
      </c>
      <c r="N41" s="4">
        <f t="shared" si="61"/>
        <v>10</v>
      </c>
      <c r="O41" s="4">
        <f t="shared" si="62"/>
        <v>8</v>
      </c>
      <c r="P41" s="4">
        <f t="shared" si="2"/>
        <v>600</v>
      </c>
      <c r="Q41" s="1">
        <v>0.0</v>
      </c>
      <c r="R41" s="1">
        <f t="shared" si="3"/>
        <v>100</v>
      </c>
      <c r="S41" s="1">
        <v>1.0</v>
      </c>
      <c r="T41" s="1">
        <v>1.0</v>
      </c>
      <c r="U41" s="4">
        <f t="shared" si="4"/>
        <v>0.06</v>
      </c>
      <c r="V41" s="4">
        <f t="shared" si="5"/>
        <v>462</v>
      </c>
      <c r="W41" s="1">
        <v>0.0</v>
      </c>
      <c r="X41" s="4">
        <f t="shared" si="6"/>
        <v>100</v>
      </c>
      <c r="Y41" s="1">
        <v>0.0</v>
      </c>
      <c r="Z41" s="1">
        <v>2.0</v>
      </c>
      <c r="AA41" s="4">
        <f t="shared" si="7"/>
        <v>0.1</v>
      </c>
      <c r="AB41" s="4">
        <f t="shared" si="8"/>
        <v>564</v>
      </c>
      <c r="AC41" s="1">
        <v>0.0</v>
      </c>
      <c r="AD41" s="4">
        <f t="shared" si="9"/>
        <v>100</v>
      </c>
      <c r="AE41" s="1">
        <v>0.0</v>
      </c>
      <c r="AF41" s="1">
        <v>1.0</v>
      </c>
      <c r="AG41" s="4">
        <f t="shared" si="10"/>
        <v>0.06</v>
      </c>
      <c r="AH41" s="1">
        <f t="shared" si="11"/>
        <v>582</v>
      </c>
      <c r="AI41" s="1">
        <v>1.0</v>
      </c>
      <c r="AJ41" s="1">
        <f t="shared" si="12"/>
        <v>574</v>
      </c>
      <c r="AK41" s="1">
        <v>0.0</v>
      </c>
      <c r="AL41" s="1">
        <v>2.0</v>
      </c>
      <c r="AM41" s="4">
        <f t="shared" si="13"/>
        <v>0.67</v>
      </c>
      <c r="AN41" s="1">
        <f t="shared" si="14"/>
        <v>732</v>
      </c>
      <c r="AO41" s="1">
        <v>1.0</v>
      </c>
      <c r="AP41" s="1">
        <f t="shared" si="15"/>
        <v>574</v>
      </c>
      <c r="AQ41" s="1">
        <v>0.0</v>
      </c>
      <c r="AR41" s="1">
        <v>2.0</v>
      </c>
      <c r="AS41" s="4">
        <f t="shared" si="16"/>
        <v>0.85</v>
      </c>
      <c r="AT41" s="1">
        <f t="shared" si="17"/>
        <v>762</v>
      </c>
      <c r="AU41" s="1">
        <v>0.0</v>
      </c>
      <c r="AV41" s="1">
        <f t="shared" si="18"/>
        <v>582</v>
      </c>
      <c r="AW41" s="1">
        <v>0.0</v>
      </c>
      <c r="AX41" s="1">
        <v>1.0</v>
      </c>
      <c r="AY41" s="4">
        <f t="shared" si="19"/>
        <v>0.45</v>
      </c>
      <c r="AZ41" s="4">
        <f t="shared" si="20"/>
        <v>552</v>
      </c>
      <c r="BA41" s="1">
        <v>1.0</v>
      </c>
      <c r="BB41" s="4">
        <f t="shared" si="21"/>
        <v>574</v>
      </c>
      <c r="BC41" s="1">
        <v>0.0</v>
      </c>
      <c r="BD41" s="1">
        <v>0.0</v>
      </c>
      <c r="BE41" s="4">
        <f t="shared" si="22"/>
        <v>0</v>
      </c>
      <c r="BF41" s="4">
        <f t="shared" si="23"/>
        <v>496</v>
      </c>
      <c r="BG41" s="1">
        <v>2.0</v>
      </c>
      <c r="BH41" s="4">
        <f t="shared" si="24"/>
        <v>176.5</v>
      </c>
      <c r="BI41" s="1">
        <v>0.0</v>
      </c>
      <c r="BJ41" s="1">
        <v>0.0</v>
      </c>
      <c r="BK41" s="4">
        <f t="shared" si="25"/>
        <v>0</v>
      </c>
      <c r="BL41" s="4">
        <f t="shared" si="26"/>
        <v>534</v>
      </c>
      <c r="BM41" s="1">
        <v>2.0</v>
      </c>
      <c r="BN41" s="4">
        <f t="shared" si="27"/>
        <v>176.5</v>
      </c>
      <c r="BO41" s="1">
        <v>2.0</v>
      </c>
      <c r="BP41" s="1">
        <v>0.0</v>
      </c>
      <c r="BQ41" s="4">
        <f t="shared" si="28"/>
        <v>0</v>
      </c>
      <c r="BR41" s="4">
        <f t="shared" si="29"/>
        <v>550</v>
      </c>
      <c r="BS41" s="1">
        <v>0.0</v>
      </c>
      <c r="BT41" s="4">
        <f t="shared" si="30"/>
        <v>512</v>
      </c>
      <c r="BU41" s="1">
        <v>0.0</v>
      </c>
      <c r="BV41" s="1">
        <v>0.0</v>
      </c>
      <c r="BW41" s="4">
        <f t="shared" si="31"/>
        <v>0</v>
      </c>
      <c r="BX41" s="4">
        <f t="shared" si="32"/>
        <v>582</v>
      </c>
      <c r="BY41" s="1">
        <v>1.0</v>
      </c>
      <c r="BZ41" s="4">
        <f t="shared" si="33"/>
        <v>574</v>
      </c>
      <c r="CA41" s="1">
        <v>0.0</v>
      </c>
      <c r="CB41" s="1">
        <v>1.0</v>
      </c>
      <c r="CC41" s="4">
        <f t="shared" si="34"/>
        <v>0.34</v>
      </c>
      <c r="CD41" s="4">
        <f t="shared" si="35"/>
        <v>750</v>
      </c>
      <c r="CE41" s="1">
        <v>1.0</v>
      </c>
      <c r="CF41" s="4">
        <f t="shared" si="36"/>
        <v>580</v>
      </c>
      <c r="CG41" s="1">
        <v>1.0</v>
      </c>
      <c r="CH41" s="1">
        <v>2.0</v>
      </c>
      <c r="CI41" s="4">
        <f t="shared" si="37"/>
        <v>0.87</v>
      </c>
      <c r="CJ41" s="4">
        <f t="shared" si="38"/>
        <v>582</v>
      </c>
      <c r="CK41" s="1">
        <v>1.0</v>
      </c>
      <c r="CL41" s="1">
        <v>80.0</v>
      </c>
      <c r="CM41" s="1">
        <v>0.0</v>
      </c>
      <c r="CN41" s="1">
        <v>1.0</v>
      </c>
      <c r="CO41" s="4">
        <f t="shared" si="39"/>
        <v>0.05</v>
      </c>
      <c r="CP41" s="4">
        <f t="shared" si="40"/>
        <v>579</v>
      </c>
      <c r="CQ41" s="1">
        <v>2.0</v>
      </c>
      <c r="CR41" s="4">
        <f t="shared" si="41"/>
        <v>200.5</v>
      </c>
      <c r="CS41" s="1">
        <v>2.0</v>
      </c>
      <c r="CT41" s="1">
        <v>0.0</v>
      </c>
      <c r="CU41" s="4">
        <f t="shared" si="42"/>
        <v>0</v>
      </c>
      <c r="CV41" s="1">
        <f t="shared" si="43"/>
        <v>577</v>
      </c>
      <c r="CW41" s="1">
        <v>2.0</v>
      </c>
      <c r="CX41" s="4">
        <f t="shared" si="44"/>
        <v>250</v>
      </c>
      <c r="CY41" s="1">
        <v>2.0</v>
      </c>
      <c r="CZ41" s="1">
        <v>0.0</v>
      </c>
      <c r="DA41" s="4">
        <f t="shared" si="45"/>
        <v>0</v>
      </c>
      <c r="DB41" s="4">
        <f t="shared" ref="DB41:DE41" si="100">CV41</f>
        <v>577</v>
      </c>
      <c r="DC41" s="4">
        <f t="shared" si="100"/>
        <v>2</v>
      </c>
      <c r="DD41" s="4">
        <f t="shared" si="100"/>
        <v>250</v>
      </c>
      <c r="DE41" s="4">
        <f t="shared" si="100"/>
        <v>2</v>
      </c>
      <c r="DF41" s="1">
        <v>0.0</v>
      </c>
      <c r="DG41" s="4">
        <f t="shared" si="47"/>
        <v>0</v>
      </c>
      <c r="DH41" s="1">
        <v>1000.0</v>
      </c>
      <c r="DI41" s="1">
        <v>2.0</v>
      </c>
      <c r="DJ41" s="4">
        <f t="shared" si="48"/>
        <v>597</v>
      </c>
      <c r="DK41" s="1">
        <v>2.0</v>
      </c>
      <c r="DL41" s="1">
        <v>0.0</v>
      </c>
      <c r="DM41" s="4">
        <f t="shared" si="49"/>
        <v>0</v>
      </c>
      <c r="DN41" s="4">
        <f t="shared" si="50"/>
        <v>1.97</v>
      </c>
      <c r="DO41" s="4">
        <f t="shared" si="51"/>
        <v>1.48</v>
      </c>
      <c r="DP41" s="4"/>
      <c r="DQ41" s="4"/>
      <c r="DR41" s="4"/>
      <c r="DS41" s="4"/>
      <c r="DT41" s="4"/>
      <c r="DU41" s="4"/>
      <c r="DV41" s="4"/>
    </row>
    <row r="42">
      <c r="A42" s="3" t="s">
        <v>295</v>
      </c>
      <c r="B42" s="1">
        <v>600.0</v>
      </c>
      <c r="C42" s="1">
        <v>580.0</v>
      </c>
      <c r="D42" s="1">
        <v>850.0</v>
      </c>
      <c r="E42" s="4">
        <f t="shared" si="52"/>
        <v>15</v>
      </c>
      <c r="F42" s="4">
        <f t="shared" si="53"/>
        <v>18</v>
      </c>
      <c r="G42" s="4">
        <f t="shared" si="54"/>
        <v>6</v>
      </c>
      <c r="H42" s="4">
        <f t="shared" si="55"/>
        <v>100</v>
      </c>
      <c r="I42" s="4">
        <f t="shared" si="56"/>
        <v>100</v>
      </c>
      <c r="J42" s="4">
        <f t="shared" si="57"/>
        <v>13</v>
      </c>
      <c r="K42" s="4">
        <f t="shared" si="58"/>
        <v>20</v>
      </c>
      <c r="L42" s="4">
        <f t="shared" si="59"/>
        <v>6</v>
      </c>
      <c r="M42" s="4">
        <f t="shared" si="60"/>
        <v>2</v>
      </c>
      <c r="N42" s="4">
        <f t="shared" si="61"/>
        <v>10</v>
      </c>
      <c r="O42" s="4">
        <f t="shared" si="62"/>
        <v>8</v>
      </c>
      <c r="P42" s="4">
        <f t="shared" si="2"/>
        <v>600</v>
      </c>
      <c r="Q42" s="1">
        <v>0.0</v>
      </c>
      <c r="R42" s="1">
        <f t="shared" si="3"/>
        <v>100</v>
      </c>
      <c r="S42" s="1">
        <v>1.0</v>
      </c>
      <c r="T42" s="1">
        <v>1.0</v>
      </c>
      <c r="U42" s="4">
        <f t="shared" si="4"/>
        <v>0.06</v>
      </c>
      <c r="V42" s="4">
        <f t="shared" si="5"/>
        <v>462</v>
      </c>
      <c r="W42" s="1">
        <v>0.0</v>
      </c>
      <c r="X42" s="4">
        <f t="shared" si="6"/>
        <v>100</v>
      </c>
      <c r="Y42" s="1">
        <v>0.0</v>
      </c>
      <c r="Z42" s="1">
        <v>2.0</v>
      </c>
      <c r="AA42" s="4">
        <f t="shared" si="7"/>
        <v>0.1</v>
      </c>
      <c r="AB42" s="4">
        <f t="shared" si="8"/>
        <v>564</v>
      </c>
      <c r="AC42" s="1">
        <v>0.0</v>
      </c>
      <c r="AD42" s="4">
        <f t="shared" si="9"/>
        <v>100</v>
      </c>
      <c r="AE42" s="1">
        <v>0.0</v>
      </c>
      <c r="AF42" s="1">
        <v>1.0</v>
      </c>
      <c r="AG42" s="4">
        <f t="shared" si="10"/>
        <v>0.06</v>
      </c>
      <c r="AH42" s="1">
        <f t="shared" si="11"/>
        <v>582</v>
      </c>
      <c r="AI42" s="1">
        <v>1.0</v>
      </c>
      <c r="AJ42" s="1">
        <f t="shared" si="12"/>
        <v>574</v>
      </c>
      <c r="AK42" s="1">
        <v>0.0</v>
      </c>
      <c r="AL42" s="1">
        <v>2.0</v>
      </c>
      <c r="AM42" s="4">
        <f t="shared" si="13"/>
        <v>0.67</v>
      </c>
      <c r="AN42" s="1">
        <f t="shared" si="14"/>
        <v>732</v>
      </c>
      <c r="AO42" s="1">
        <v>1.0</v>
      </c>
      <c r="AP42" s="1">
        <f t="shared" si="15"/>
        <v>574</v>
      </c>
      <c r="AQ42" s="1">
        <v>0.0</v>
      </c>
      <c r="AR42" s="1">
        <v>2.0</v>
      </c>
      <c r="AS42" s="4">
        <f t="shared" si="16"/>
        <v>0.85</v>
      </c>
      <c r="AT42" s="1">
        <f t="shared" si="17"/>
        <v>762</v>
      </c>
      <c r="AU42" s="1">
        <v>0.0</v>
      </c>
      <c r="AV42" s="1">
        <f t="shared" si="18"/>
        <v>582</v>
      </c>
      <c r="AW42" s="1">
        <v>0.0</v>
      </c>
      <c r="AX42" s="1">
        <v>1.0</v>
      </c>
      <c r="AY42" s="4">
        <f t="shared" si="19"/>
        <v>0.45</v>
      </c>
      <c r="AZ42" s="4">
        <f t="shared" si="20"/>
        <v>552</v>
      </c>
      <c r="BA42" s="1">
        <v>1.0</v>
      </c>
      <c r="BB42" s="4">
        <f t="shared" si="21"/>
        <v>574</v>
      </c>
      <c r="BC42" s="1">
        <v>0.0</v>
      </c>
      <c r="BD42" s="1">
        <v>0.0</v>
      </c>
      <c r="BE42" s="4">
        <f t="shared" si="22"/>
        <v>0</v>
      </c>
      <c r="BF42" s="4">
        <f t="shared" si="23"/>
        <v>496</v>
      </c>
      <c r="BG42" s="1">
        <v>2.0</v>
      </c>
      <c r="BH42" s="4">
        <f t="shared" si="24"/>
        <v>176.5</v>
      </c>
      <c r="BI42" s="1">
        <v>0.0</v>
      </c>
      <c r="BJ42" s="1">
        <v>0.0</v>
      </c>
      <c r="BK42" s="4">
        <f t="shared" si="25"/>
        <v>0</v>
      </c>
      <c r="BL42" s="4">
        <f t="shared" si="26"/>
        <v>534</v>
      </c>
      <c r="BM42" s="1">
        <v>2.0</v>
      </c>
      <c r="BN42" s="4">
        <f t="shared" si="27"/>
        <v>176.5</v>
      </c>
      <c r="BO42" s="1">
        <v>2.0</v>
      </c>
      <c r="BP42" s="1">
        <v>0.0</v>
      </c>
      <c r="BQ42" s="4">
        <f t="shared" si="28"/>
        <v>0</v>
      </c>
      <c r="BR42" s="4">
        <f t="shared" si="29"/>
        <v>550</v>
      </c>
      <c r="BS42" s="1">
        <v>0.0</v>
      </c>
      <c r="BT42" s="4">
        <f t="shared" si="30"/>
        <v>512</v>
      </c>
      <c r="BU42" s="1">
        <v>0.0</v>
      </c>
      <c r="BV42" s="1">
        <v>0.0</v>
      </c>
      <c r="BW42" s="4">
        <f t="shared" si="31"/>
        <v>0</v>
      </c>
      <c r="BX42" s="4">
        <f t="shared" si="32"/>
        <v>582</v>
      </c>
      <c r="BY42" s="1">
        <v>1.0</v>
      </c>
      <c r="BZ42" s="4">
        <f t="shared" si="33"/>
        <v>574</v>
      </c>
      <c r="CA42" s="1">
        <v>0.0</v>
      </c>
      <c r="CB42" s="1">
        <v>1.0</v>
      </c>
      <c r="CC42" s="4">
        <f t="shared" si="34"/>
        <v>0.34</v>
      </c>
      <c r="CD42" s="4">
        <f t="shared" si="35"/>
        <v>750</v>
      </c>
      <c r="CE42" s="1">
        <v>1.0</v>
      </c>
      <c r="CF42" s="4">
        <f t="shared" si="36"/>
        <v>580</v>
      </c>
      <c r="CG42" s="1">
        <v>1.0</v>
      </c>
      <c r="CH42" s="1">
        <v>2.0</v>
      </c>
      <c r="CI42" s="4">
        <f t="shared" si="37"/>
        <v>0.87</v>
      </c>
      <c r="CJ42" s="4">
        <f t="shared" si="38"/>
        <v>582</v>
      </c>
      <c r="CK42" s="1">
        <v>1.0</v>
      </c>
      <c r="CL42" s="1">
        <v>80.0</v>
      </c>
      <c r="CM42" s="1">
        <v>0.0</v>
      </c>
      <c r="CN42" s="1">
        <v>1.0</v>
      </c>
      <c r="CO42" s="4">
        <f t="shared" si="39"/>
        <v>0.05</v>
      </c>
      <c r="CP42" s="4">
        <f t="shared" si="40"/>
        <v>579</v>
      </c>
      <c r="CQ42" s="1">
        <v>2.0</v>
      </c>
      <c r="CR42" s="4">
        <f t="shared" si="41"/>
        <v>200.5</v>
      </c>
      <c r="CS42" s="1">
        <v>2.0</v>
      </c>
      <c r="CT42" s="1">
        <v>0.0</v>
      </c>
      <c r="CU42" s="4">
        <f t="shared" si="42"/>
        <v>0</v>
      </c>
      <c r="CV42" s="1">
        <f t="shared" si="43"/>
        <v>577</v>
      </c>
      <c r="CW42" s="1">
        <v>2.0</v>
      </c>
      <c r="CX42" s="4">
        <f t="shared" si="44"/>
        <v>250</v>
      </c>
      <c r="CY42" s="1">
        <v>2.0</v>
      </c>
      <c r="CZ42" s="1">
        <v>0.0</v>
      </c>
      <c r="DA42" s="4">
        <f t="shared" si="45"/>
        <v>0</v>
      </c>
      <c r="DB42" s="4">
        <f t="shared" ref="DB42:DE42" si="101">CV42</f>
        <v>577</v>
      </c>
      <c r="DC42" s="4">
        <f t="shared" si="101"/>
        <v>2</v>
      </c>
      <c r="DD42" s="4">
        <f t="shared" si="101"/>
        <v>250</v>
      </c>
      <c r="DE42" s="4">
        <f t="shared" si="101"/>
        <v>2</v>
      </c>
      <c r="DF42" s="1">
        <v>0.0</v>
      </c>
      <c r="DG42" s="4">
        <f t="shared" si="47"/>
        <v>0</v>
      </c>
      <c r="DH42" s="1">
        <v>1000.0</v>
      </c>
      <c r="DI42" s="1">
        <v>2.0</v>
      </c>
      <c r="DJ42" s="4">
        <f t="shared" si="48"/>
        <v>597</v>
      </c>
      <c r="DK42" s="1">
        <v>2.0</v>
      </c>
      <c r="DL42" s="1">
        <v>0.0</v>
      </c>
      <c r="DM42" s="4">
        <f t="shared" si="49"/>
        <v>0</v>
      </c>
      <c r="DN42" s="4">
        <f t="shared" si="50"/>
        <v>1.97</v>
      </c>
      <c r="DO42" s="4">
        <f t="shared" si="51"/>
        <v>1.48</v>
      </c>
      <c r="DP42" s="4"/>
      <c r="DQ42" s="4"/>
      <c r="DR42" s="4"/>
      <c r="DS42" s="4"/>
      <c r="DT42" s="4"/>
      <c r="DU42" s="4"/>
      <c r="DV42" s="4"/>
    </row>
    <row r="43">
      <c r="A43" s="3" t="s">
        <v>296</v>
      </c>
      <c r="B43" s="1">
        <v>600.0</v>
      </c>
      <c r="C43" s="1">
        <v>580.0</v>
      </c>
      <c r="D43" s="1">
        <v>850.0</v>
      </c>
      <c r="E43" s="4">
        <f t="shared" si="52"/>
        <v>15</v>
      </c>
      <c r="F43" s="4">
        <f t="shared" si="53"/>
        <v>18</v>
      </c>
      <c r="G43" s="4">
        <f t="shared" si="54"/>
        <v>6</v>
      </c>
      <c r="H43" s="4">
        <f t="shared" si="55"/>
        <v>100</v>
      </c>
      <c r="I43" s="4">
        <f t="shared" si="56"/>
        <v>100</v>
      </c>
      <c r="J43" s="4">
        <f t="shared" si="57"/>
        <v>13</v>
      </c>
      <c r="K43" s="4">
        <f t="shared" si="58"/>
        <v>20</v>
      </c>
      <c r="L43" s="4">
        <f t="shared" si="59"/>
        <v>6</v>
      </c>
      <c r="M43" s="4">
        <f t="shared" si="60"/>
        <v>2</v>
      </c>
      <c r="N43" s="4">
        <f t="shared" si="61"/>
        <v>10</v>
      </c>
      <c r="O43" s="4">
        <f t="shared" si="62"/>
        <v>8</v>
      </c>
      <c r="P43" s="4">
        <f t="shared" si="2"/>
        <v>600</v>
      </c>
      <c r="Q43" s="1">
        <v>0.0</v>
      </c>
      <c r="R43" s="1">
        <f t="shared" si="3"/>
        <v>100</v>
      </c>
      <c r="S43" s="1">
        <v>1.0</v>
      </c>
      <c r="T43" s="1">
        <v>1.0</v>
      </c>
      <c r="U43" s="4">
        <f t="shared" si="4"/>
        <v>0.06</v>
      </c>
      <c r="V43" s="4">
        <f t="shared" si="5"/>
        <v>462</v>
      </c>
      <c r="W43" s="1">
        <v>0.0</v>
      </c>
      <c r="X43" s="4">
        <f t="shared" si="6"/>
        <v>100</v>
      </c>
      <c r="Y43" s="1">
        <v>0.0</v>
      </c>
      <c r="Z43" s="1">
        <v>2.0</v>
      </c>
      <c r="AA43" s="4">
        <f t="shared" si="7"/>
        <v>0.1</v>
      </c>
      <c r="AB43" s="4">
        <f t="shared" si="8"/>
        <v>564</v>
      </c>
      <c r="AC43" s="1">
        <v>0.0</v>
      </c>
      <c r="AD43" s="4">
        <f t="shared" si="9"/>
        <v>100</v>
      </c>
      <c r="AE43" s="1">
        <v>0.0</v>
      </c>
      <c r="AF43" s="1">
        <v>1.0</v>
      </c>
      <c r="AG43" s="4">
        <f t="shared" si="10"/>
        <v>0.06</v>
      </c>
      <c r="AH43" s="1">
        <f t="shared" si="11"/>
        <v>582</v>
      </c>
      <c r="AI43" s="1">
        <v>1.0</v>
      </c>
      <c r="AJ43" s="1">
        <f t="shared" si="12"/>
        <v>574</v>
      </c>
      <c r="AK43" s="1">
        <v>0.0</v>
      </c>
      <c r="AL43" s="1">
        <v>2.0</v>
      </c>
      <c r="AM43" s="4">
        <f t="shared" si="13"/>
        <v>0.67</v>
      </c>
      <c r="AN43" s="1">
        <f t="shared" si="14"/>
        <v>732</v>
      </c>
      <c r="AO43" s="1">
        <v>1.0</v>
      </c>
      <c r="AP43" s="1">
        <f t="shared" si="15"/>
        <v>574</v>
      </c>
      <c r="AQ43" s="1">
        <v>0.0</v>
      </c>
      <c r="AR43" s="1">
        <v>2.0</v>
      </c>
      <c r="AS43" s="4">
        <f t="shared" si="16"/>
        <v>0.85</v>
      </c>
      <c r="AT43" s="1">
        <f t="shared" si="17"/>
        <v>762</v>
      </c>
      <c r="AU43" s="1">
        <v>0.0</v>
      </c>
      <c r="AV43" s="1">
        <f t="shared" si="18"/>
        <v>582</v>
      </c>
      <c r="AW43" s="1">
        <v>0.0</v>
      </c>
      <c r="AX43" s="1">
        <v>1.0</v>
      </c>
      <c r="AY43" s="4">
        <f t="shared" si="19"/>
        <v>0.45</v>
      </c>
      <c r="AZ43" s="4">
        <f t="shared" si="20"/>
        <v>552</v>
      </c>
      <c r="BA43" s="1">
        <v>1.0</v>
      </c>
      <c r="BB43" s="4">
        <f t="shared" si="21"/>
        <v>574</v>
      </c>
      <c r="BC43" s="1">
        <v>0.0</v>
      </c>
      <c r="BD43" s="1">
        <v>0.0</v>
      </c>
      <c r="BE43" s="4">
        <f t="shared" si="22"/>
        <v>0</v>
      </c>
      <c r="BF43" s="4">
        <f t="shared" si="23"/>
        <v>496</v>
      </c>
      <c r="BG43" s="1">
        <v>2.0</v>
      </c>
      <c r="BH43" s="4">
        <f t="shared" si="24"/>
        <v>176.5</v>
      </c>
      <c r="BI43" s="1">
        <v>0.0</v>
      </c>
      <c r="BJ43" s="1">
        <v>0.0</v>
      </c>
      <c r="BK43" s="4">
        <f t="shared" si="25"/>
        <v>0</v>
      </c>
      <c r="BL43" s="4">
        <f t="shared" si="26"/>
        <v>534</v>
      </c>
      <c r="BM43" s="1">
        <v>2.0</v>
      </c>
      <c r="BN43" s="4">
        <f t="shared" si="27"/>
        <v>176.5</v>
      </c>
      <c r="BO43" s="1">
        <v>2.0</v>
      </c>
      <c r="BP43" s="1">
        <v>0.0</v>
      </c>
      <c r="BQ43" s="4">
        <f t="shared" si="28"/>
        <v>0</v>
      </c>
      <c r="BR43" s="4">
        <f t="shared" si="29"/>
        <v>550</v>
      </c>
      <c r="BS43" s="1">
        <v>0.0</v>
      </c>
      <c r="BT43" s="4">
        <f t="shared" si="30"/>
        <v>512</v>
      </c>
      <c r="BU43" s="1">
        <v>0.0</v>
      </c>
      <c r="BV43" s="1">
        <v>0.0</v>
      </c>
      <c r="BW43" s="4">
        <f t="shared" si="31"/>
        <v>0</v>
      </c>
      <c r="BX43" s="4">
        <f t="shared" si="32"/>
        <v>582</v>
      </c>
      <c r="BY43" s="1">
        <v>1.0</v>
      </c>
      <c r="BZ43" s="4">
        <f t="shared" si="33"/>
        <v>574</v>
      </c>
      <c r="CA43" s="1">
        <v>0.0</v>
      </c>
      <c r="CB43" s="1">
        <v>1.0</v>
      </c>
      <c r="CC43" s="4">
        <f t="shared" si="34"/>
        <v>0.34</v>
      </c>
      <c r="CD43" s="4">
        <f t="shared" si="35"/>
        <v>750</v>
      </c>
      <c r="CE43" s="1">
        <v>1.0</v>
      </c>
      <c r="CF43" s="4">
        <f t="shared" si="36"/>
        <v>580</v>
      </c>
      <c r="CG43" s="1">
        <v>1.0</v>
      </c>
      <c r="CH43" s="1">
        <v>2.0</v>
      </c>
      <c r="CI43" s="4">
        <f t="shared" si="37"/>
        <v>0.87</v>
      </c>
      <c r="CJ43" s="4">
        <f t="shared" si="38"/>
        <v>582</v>
      </c>
      <c r="CK43" s="1">
        <v>1.0</v>
      </c>
      <c r="CL43" s="1">
        <v>80.0</v>
      </c>
      <c r="CM43" s="1">
        <v>0.0</v>
      </c>
      <c r="CN43" s="1">
        <v>1.0</v>
      </c>
      <c r="CO43" s="4">
        <f t="shared" si="39"/>
        <v>0.05</v>
      </c>
      <c r="CP43" s="4">
        <f t="shared" si="40"/>
        <v>579</v>
      </c>
      <c r="CQ43" s="1">
        <v>2.0</v>
      </c>
      <c r="CR43" s="4">
        <f t="shared" si="41"/>
        <v>200.5</v>
      </c>
      <c r="CS43" s="1">
        <v>2.0</v>
      </c>
      <c r="CT43" s="1">
        <v>0.0</v>
      </c>
      <c r="CU43" s="4">
        <f t="shared" si="42"/>
        <v>0</v>
      </c>
      <c r="CV43" s="1">
        <f t="shared" si="43"/>
        <v>577</v>
      </c>
      <c r="CW43" s="1">
        <v>2.0</v>
      </c>
      <c r="CX43" s="4">
        <f t="shared" si="44"/>
        <v>250</v>
      </c>
      <c r="CY43" s="1">
        <v>2.0</v>
      </c>
      <c r="CZ43" s="1">
        <v>0.0</v>
      </c>
      <c r="DA43" s="4">
        <f t="shared" si="45"/>
        <v>0</v>
      </c>
      <c r="DB43" s="4">
        <f t="shared" ref="DB43:DE43" si="102">CV43</f>
        <v>577</v>
      </c>
      <c r="DC43" s="4">
        <f t="shared" si="102"/>
        <v>2</v>
      </c>
      <c r="DD43" s="4">
        <f t="shared" si="102"/>
        <v>250</v>
      </c>
      <c r="DE43" s="4">
        <f t="shared" si="102"/>
        <v>2</v>
      </c>
      <c r="DF43" s="1">
        <v>0.0</v>
      </c>
      <c r="DG43" s="4">
        <f t="shared" si="47"/>
        <v>0</v>
      </c>
      <c r="DH43" s="1">
        <v>1000.0</v>
      </c>
      <c r="DI43" s="1">
        <v>2.0</v>
      </c>
      <c r="DJ43" s="4">
        <f t="shared" si="48"/>
        <v>597</v>
      </c>
      <c r="DK43" s="1">
        <v>2.0</v>
      </c>
      <c r="DL43" s="1">
        <v>0.0</v>
      </c>
      <c r="DM43" s="4">
        <f t="shared" si="49"/>
        <v>0</v>
      </c>
      <c r="DN43" s="4">
        <f t="shared" si="50"/>
        <v>1.97</v>
      </c>
      <c r="DO43" s="4">
        <f t="shared" si="51"/>
        <v>1.48</v>
      </c>
      <c r="DP43" s="4"/>
      <c r="DQ43" s="4"/>
      <c r="DR43" s="4"/>
      <c r="DS43" s="4"/>
      <c r="DT43" s="4"/>
      <c r="DU43" s="4"/>
      <c r="DV43" s="4"/>
    </row>
    <row r="44">
      <c r="A44" s="3" t="s">
        <v>298</v>
      </c>
      <c r="B44" s="1">
        <v>600.0</v>
      </c>
      <c r="C44" s="1">
        <v>580.0</v>
      </c>
      <c r="D44" s="1">
        <v>850.0</v>
      </c>
      <c r="E44" s="4">
        <f t="shared" si="52"/>
        <v>15</v>
      </c>
      <c r="F44" s="4">
        <f t="shared" si="53"/>
        <v>18</v>
      </c>
      <c r="G44" s="4">
        <f t="shared" si="54"/>
        <v>6</v>
      </c>
      <c r="H44" s="4">
        <f t="shared" si="55"/>
        <v>100</v>
      </c>
      <c r="I44" s="4">
        <f t="shared" si="56"/>
        <v>100</v>
      </c>
      <c r="J44" s="4">
        <f t="shared" si="57"/>
        <v>13</v>
      </c>
      <c r="K44" s="4">
        <f t="shared" si="58"/>
        <v>20</v>
      </c>
      <c r="L44" s="4">
        <f t="shared" si="59"/>
        <v>6</v>
      </c>
      <c r="M44" s="4">
        <f t="shared" si="60"/>
        <v>2</v>
      </c>
      <c r="N44" s="4">
        <f t="shared" si="61"/>
        <v>10</v>
      </c>
      <c r="O44" s="4">
        <f t="shared" si="62"/>
        <v>8</v>
      </c>
      <c r="P44" s="4">
        <f t="shared" si="2"/>
        <v>600</v>
      </c>
      <c r="Q44" s="1">
        <v>0.0</v>
      </c>
      <c r="R44" s="1">
        <f t="shared" si="3"/>
        <v>100</v>
      </c>
      <c r="S44" s="1">
        <v>1.0</v>
      </c>
      <c r="T44" s="1">
        <v>1.0</v>
      </c>
      <c r="U44" s="4">
        <f t="shared" si="4"/>
        <v>0.06</v>
      </c>
      <c r="V44" s="4">
        <f t="shared" si="5"/>
        <v>462</v>
      </c>
      <c r="W44" s="1">
        <v>0.0</v>
      </c>
      <c r="X44" s="4">
        <f t="shared" si="6"/>
        <v>100</v>
      </c>
      <c r="Y44" s="1">
        <v>0.0</v>
      </c>
      <c r="Z44" s="1">
        <v>2.0</v>
      </c>
      <c r="AA44" s="4">
        <f t="shared" si="7"/>
        <v>0.1</v>
      </c>
      <c r="AB44" s="4">
        <f t="shared" si="8"/>
        <v>564</v>
      </c>
      <c r="AC44" s="1">
        <v>0.0</v>
      </c>
      <c r="AD44" s="4">
        <f t="shared" si="9"/>
        <v>100</v>
      </c>
      <c r="AE44" s="1">
        <v>0.0</v>
      </c>
      <c r="AF44" s="1">
        <v>1.0</v>
      </c>
      <c r="AG44" s="4">
        <f t="shared" si="10"/>
        <v>0.06</v>
      </c>
      <c r="AH44" s="1">
        <f t="shared" si="11"/>
        <v>582</v>
      </c>
      <c r="AI44" s="1">
        <v>1.0</v>
      </c>
      <c r="AJ44" s="1">
        <f t="shared" si="12"/>
        <v>574</v>
      </c>
      <c r="AK44" s="1">
        <v>0.0</v>
      </c>
      <c r="AL44" s="1">
        <v>2.0</v>
      </c>
      <c r="AM44" s="4">
        <f t="shared" si="13"/>
        <v>0.67</v>
      </c>
      <c r="AN44" s="1">
        <f t="shared" si="14"/>
        <v>732</v>
      </c>
      <c r="AO44" s="1">
        <v>1.0</v>
      </c>
      <c r="AP44" s="1">
        <f t="shared" si="15"/>
        <v>574</v>
      </c>
      <c r="AQ44" s="1">
        <v>0.0</v>
      </c>
      <c r="AR44" s="1">
        <v>2.0</v>
      </c>
      <c r="AS44" s="4">
        <f t="shared" si="16"/>
        <v>0.85</v>
      </c>
      <c r="AT44" s="1">
        <f t="shared" si="17"/>
        <v>762</v>
      </c>
      <c r="AU44" s="1">
        <v>0.0</v>
      </c>
      <c r="AV44" s="1">
        <f t="shared" si="18"/>
        <v>582</v>
      </c>
      <c r="AW44" s="1">
        <v>0.0</v>
      </c>
      <c r="AX44" s="1">
        <v>1.0</v>
      </c>
      <c r="AY44" s="4">
        <f t="shared" si="19"/>
        <v>0.45</v>
      </c>
      <c r="AZ44" s="4">
        <f t="shared" si="20"/>
        <v>552</v>
      </c>
      <c r="BA44" s="1">
        <v>1.0</v>
      </c>
      <c r="BB44" s="4">
        <f t="shared" si="21"/>
        <v>574</v>
      </c>
      <c r="BC44" s="1">
        <v>0.0</v>
      </c>
      <c r="BD44" s="1">
        <v>0.0</v>
      </c>
      <c r="BE44" s="4">
        <f t="shared" si="22"/>
        <v>0</v>
      </c>
      <c r="BF44" s="4">
        <f t="shared" si="23"/>
        <v>496</v>
      </c>
      <c r="BG44" s="1">
        <v>2.0</v>
      </c>
      <c r="BH44" s="4">
        <f t="shared" si="24"/>
        <v>176.5</v>
      </c>
      <c r="BI44" s="1">
        <v>0.0</v>
      </c>
      <c r="BJ44" s="1">
        <v>0.0</v>
      </c>
      <c r="BK44" s="4">
        <f t="shared" si="25"/>
        <v>0</v>
      </c>
      <c r="BL44" s="4">
        <f t="shared" si="26"/>
        <v>534</v>
      </c>
      <c r="BM44" s="1">
        <v>2.0</v>
      </c>
      <c r="BN44" s="4">
        <f t="shared" si="27"/>
        <v>176.5</v>
      </c>
      <c r="BO44" s="1">
        <v>2.0</v>
      </c>
      <c r="BP44" s="1">
        <v>0.0</v>
      </c>
      <c r="BQ44" s="4">
        <f t="shared" si="28"/>
        <v>0</v>
      </c>
      <c r="BR44" s="4">
        <f t="shared" si="29"/>
        <v>550</v>
      </c>
      <c r="BS44" s="1">
        <v>0.0</v>
      </c>
      <c r="BT44" s="4">
        <f t="shared" si="30"/>
        <v>512</v>
      </c>
      <c r="BU44" s="1">
        <v>0.0</v>
      </c>
      <c r="BV44" s="1">
        <v>0.0</v>
      </c>
      <c r="BW44" s="4">
        <f t="shared" si="31"/>
        <v>0</v>
      </c>
      <c r="BX44" s="4">
        <f t="shared" si="32"/>
        <v>582</v>
      </c>
      <c r="BY44" s="1">
        <v>1.0</v>
      </c>
      <c r="BZ44" s="4">
        <f t="shared" si="33"/>
        <v>574</v>
      </c>
      <c r="CA44" s="1">
        <v>0.0</v>
      </c>
      <c r="CB44" s="1">
        <v>1.0</v>
      </c>
      <c r="CC44" s="4">
        <f t="shared" si="34"/>
        <v>0.34</v>
      </c>
      <c r="CD44" s="4">
        <f t="shared" si="35"/>
        <v>750</v>
      </c>
      <c r="CE44" s="1">
        <v>1.0</v>
      </c>
      <c r="CF44" s="4">
        <f t="shared" si="36"/>
        <v>580</v>
      </c>
      <c r="CG44" s="1">
        <v>1.0</v>
      </c>
      <c r="CH44" s="1">
        <v>2.0</v>
      </c>
      <c r="CI44" s="4">
        <f t="shared" si="37"/>
        <v>0.87</v>
      </c>
      <c r="CJ44" s="4">
        <f t="shared" si="38"/>
        <v>582</v>
      </c>
      <c r="CK44" s="1">
        <v>1.0</v>
      </c>
      <c r="CL44" s="1">
        <v>80.0</v>
      </c>
      <c r="CM44" s="1">
        <v>0.0</v>
      </c>
      <c r="CN44" s="1">
        <v>1.0</v>
      </c>
      <c r="CO44" s="4">
        <f t="shared" si="39"/>
        <v>0.05</v>
      </c>
      <c r="CP44" s="4">
        <f t="shared" si="40"/>
        <v>579</v>
      </c>
      <c r="CQ44" s="1">
        <v>2.0</v>
      </c>
      <c r="CR44" s="4">
        <f t="shared" si="41"/>
        <v>200.5</v>
      </c>
      <c r="CS44" s="1">
        <v>2.0</v>
      </c>
      <c r="CT44" s="1">
        <v>0.0</v>
      </c>
      <c r="CU44" s="4">
        <f t="shared" si="42"/>
        <v>0</v>
      </c>
      <c r="CV44" s="1">
        <f t="shared" si="43"/>
        <v>577</v>
      </c>
      <c r="CW44" s="1">
        <v>2.0</v>
      </c>
      <c r="CX44" s="4">
        <f t="shared" si="44"/>
        <v>250</v>
      </c>
      <c r="CY44" s="1">
        <v>2.0</v>
      </c>
      <c r="CZ44" s="1">
        <v>0.0</v>
      </c>
      <c r="DA44" s="4">
        <f t="shared" si="45"/>
        <v>0</v>
      </c>
      <c r="DB44" s="4">
        <f t="shared" ref="DB44:DE44" si="103">CV44</f>
        <v>577</v>
      </c>
      <c r="DC44" s="4">
        <f t="shared" si="103"/>
        <v>2</v>
      </c>
      <c r="DD44" s="4">
        <f t="shared" si="103"/>
        <v>250</v>
      </c>
      <c r="DE44" s="4">
        <f t="shared" si="103"/>
        <v>2</v>
      </c>
      <c r="DF44" s="1">
        <v>0.0</v>
      </c>
      <c r="DG44" s="4">
        <f t="shared" si="47"/>
        <v>0</v>
      </c>
      <c r="DH44" s="1">
        <v>1000.0</v>
      </c>
      <c r="DI44" s="1">
        <v>2.0</v>
      </c>
      <c r="DJ44" s="4">
        <f t="shared" si="48"/>
        <v>597</v>
      </c>
      <c r="DK44" s="1">
        <v>2.0</v>
      </c>
      <c r="DL44" s="1">
        <v>0.0</v>
      </c>
      <c r="DM44" s="4">
        <f t="shared" si="49"/>
        <v>0</v>
      </c>
      <c r="DN44" s="4">
        <f t="shared" si="50"/>
        <v>1.97</v>
      </c>
      <c r="DO44" s="4">
        <f t="shared" si="51"/>
        <v>1.48</v>
      </c>
      <c r="DP44" s="4"/>
      <c r="DQ44" s="4"/>
      <c r="DR44" s="4"/>
      <c r="DS44" s="4"/>
      <c r="DT44" s="4"/>
      <c r="DU44" s="4"/>
      <c r="DV44" s="4"/>
    </row>
    <row r="45">
      <c r="A45" s="3" t="s">
        <v>299</v>
      </c>
      <c r="B45" s="1">
        <v>600.0</v>
      </c>
      <c r="C45" s="1">
        <v>580.0</v>
      </c>
      <c r="D45" s="1">
        <v>850.0</v>
      </c>
      <c r="E45" s="4">
        <f t="shared" si="52"/>
        <v>15</v>
      </c>
      <c r="F45" s="4">
        <f t="shared" si="53"/>
        <v>18</v>
      </c>
      <c r="G45" s="4">
        <f t="shared" si="54"/>
        <v>6</v>
      </c>
      <c r="H45" s="4">
        <f t="shared" si="55"/>
        <v>100</v>
      </c>
      <c r="I45" s="4">
        <f t="shared" si="56"/>
        <v>100</v>
      </c>
      <c r="J45" s="4">
        <f t="shared" si="57"/>
        <v>13</v>
      </c>
      <c r="K45" s="4">
        <f t="shared" si="58"/>
        <v>20</v>
      </c>
      <c r="L45" s="4">
        <f t="shared" si="59"/>
        <v>6</v>
      </c>
      <c r="M45" s="4">
        <f t="shared" si="60"/>
        <v>2</v>
      </c>
      <c r="N45" s="4">
        <f t="shared" si="61"/>
        <v>10</v>
      </c>
      <c r="O45" s="4">
        <f t="shared" si="62"/>
        <v>8</v>
      </c>
      <c r="P45" s="4">
        <f t="shared" si="2"/>
        <v>600</v>
      </c>
      <c r="Q45" s="1">
        <v>0.0</v>
      </c>
      <c r="R45" s="1">
        <f t="shared" si="3"/>
        <v>100</v>
      </c>
      <c r="S45" s="1">
        <v>1.0</v>
      </c>
      <c r="T45" s="1">
        <v>1.0</v>
      </c>
      <c r="U45" s="4">
        <f t="shared" si="4"/>
        <v>0.06</v>
      </c>
      <c r="V45" s="4">
        <f t="shared" si="5"/>
        <v>462</v>
      </c>
      <c r="W45" s="1">
        <v>0.0</v>
      </c>
      <c r="X45" s="4">
        <f t="shared" si="6"/>
        <v>100</v>
      </c>
      <c r="Y45" s="1">
        <v>0.0</v>
      </c>
      <c r="Z45" s="1">
        <v>2.0</v>
      </c>
      <c r="AA45" s="4">
        <f t="shared" si="7"/>
        <v>0.1</v>
      </c>
      <c r="AB45" s="4">
        <f t="shared" si="8"/>
        <v>564</v>
      </c>
      <c r="AC45" s="1">
        <v>0.0</v>
      </c>
      <c r="AD45" s="4">
        <f t="shared" si="9"/>
        <v>100</v>
      </c>
      <c r="AE45" s="1">
        <v>0.0</v>
      </c>
      <c r="AF45" s="1">
        <v>1.0</v>
      </c>
      <c r="AG45" s="4">
        <f t="shared" si="10"/>
        <v>0.06</v>
      </c>
      <c r="AH45" s="1">
        <f t="shared" si="11"/>
        <v>582</v>
      </c>
      <c r="AI45" s="1">
        <v>1.0</v>
      </c>
      <c r="AJ45" s="1">
        <f t="shared" si="12"/>
        <v>574</v>
      </c>
      <c r="AK45" s="1">
        <v>0.0</v>
      </c>
      <c r="AL45" s="1">
        <v>2.0</v>
      </c>
      <c r="AM45" s="4">
        <f t="shared" si="13"/>
        <v>0.67</v>
      </c>
      <c r="AN45" s="1">
        <f t="shared" si="14"/>
        <v>732</v>
      </c>
      <c r="AO45" s="1">
        <v>1.0</v>
      </c>
      <c r="AP45" s="1">
        <f t="shared" si="15"/>
        <v>574</v>
      </c>
      <c r="AQ45" s="1">
        <v>0.0</v>
      </c>
      <c r="AR45" s="1">
        <v>2.0</v>
      </c>
      <c r="AS45" s="4">
        <f t="shared" si="16"/>
        <v>0.85</v>
      </c>
      <c r="AT45" s="1">
        <f t="shared" si="17"/>
        <v>762</v>
      </c>
      <c r="AU45" s="1">
        <v>0.0</v>
      </c>
      <c r="AV45" s="1">
        <f t="shared" si="18"/>
        <v>582</v>
      </c>
      <c r="AW45" s="1">
        <v>0.0</v>
      </c>
      <c r="AX45" s="1">
        <v>1.0</v>
      </c>
      <c r="AY45" s="4">
        <f t="shared" si="19"/>
        <v>0.45</v>
      </c>
      <c r="AZ45" s="4">
        <f t="shared" si="20"/>
        <v>552</v>
      </c>
      <c r="BA45" s="1">
        <v>1.0</v>
      </c>
      <c r="BB45" s="4">
        <f t="shared" si="21"/>
        <v>574</v>
      </c>
      <c r="BC45" s="1">
        <v>0.0</v>
      </c>
      <c r="BD45" s="1">
        <v>0.0</v>
      </c>
      <c r="BE45" s="4">
        <f t="shared" si="22"/>
        <v>0</v>
      </c>
      <c r="BF45" s="4">
        <f t="shared" si="23"/>
        <v>496</v>
      </c>
      <c r="BG45" s="1">
        <v>2.0</v>
      </c>
      <c r="BH45" s="4">
        <f t="shared" si="24"/>
        <v>176.5</v>
      </c>
      <c r="BI45" s="1">
        <v>0.0</v>
      </c>
      <c r="BJ45" s="1">
        <v>0.0</v>
      </c>
      <c r="BK45" s="4">
        <f t="shared" si="25"/>
        <v>0</v>
      </c>
      <c r="BL45" s="4">
        <f t="shared" si="26"/>
        <v>534</v>
      </c>
      <c r="BM45" s="1">
        <v>2.0</v>
      </c>
      <c r="BN45" s="4">
        <f t="shared" si="27"/>
        <v>176.5</v>
      </c>
      <c r="BO45" s="1">
        <v>2.0</v>
      </c>
      <c r="BP45" s="1">
        <v>0.0</v>
      </c>
      <c r="BQ45" s="4">
        <f t="shared" si="28"/>
        <v>0</v>
      </c>
      <c r="BR45" s="4">
        <f t="shared" si="29"/>
        <v>550</v>
      </c>
      <c r="BS45" s="1">
        <v>0.0</v>
      </c>
      <c r="BT45" s="4">
        <f t="shared" si="30"/>
        <v>512</v>
      </c>
      <c r="BU45" s="1">
        <v>0.0</v>
      </c>
      <c r="BV45" s="1">
        <v>0.0</v>
      </c>
      <c r="BW45" s="4">
        <f t="shared" si="31"/>
        <v>0</v>
      </c>
      <c r="BX45" s="4">
        <f t="shared" si="32"/>
        <v>582</v>
      </c>
      <c r="BY45" s="1">
        <v>1.0</v>
      </c>
      <c r="BZ45" s="4">
        <f t="shared" si="33"/>
        <v>574</v>
      </c>
      <c r="CA45" s="1">
        <v>0.0</v>
      </c>
      <c r="CB45" s="1">
        <v>1.0</v>
      </c>
      <c r="CC45" s="4">
        <f t="shared" si="34"/>
        <v>0.34</v>
      </c>
      <c r="CD45" s="4">
        <f t="shared" si="35"/>
        <v>750</v>
      </c>
      <c r="CE45" s="1">
        <v>1.0</v>
      </c>
      <c r="CF45" s="4">
        <f t="shared" si="36"/>
        <v>580</v>
      </c>
      <c r="CG45" s="1">
        <v>1.0</v>
      </c>
      <c r="CH45" s="1">
        <v>2.0</v>
      </c>
      <c r="CI45" s="4">
        <f t="shared" si="37"/>
        <v>0.87</v>
      </c>
      <c r="CJ45" s="4">
        <f t="shared" si="38"/>
        <v>582</v>
      </c>
      <c r="CK45" s="1">
        <v>1.0</v>
      </c>
      <c r="CL45" s="1">
        <v>80.0</v>
      </c>
      <c r="CM45" s="1">
        <v>0.0</v>
      </c>
      <c r="CN45" s="1">
        <v>1.0</v>
      </c>
      <c r="CO45" s="4">
        <f t="shared" si="39"/>
        <v>0.05</v>
      </c>
      <c r="CP45" s="4">
        <f t="shared" si="40"/>
        <v>579</v>
      </c>
      <c r="CQ45" s="1">
        <v>2.0</v>
      </c>
      <c r="CR45" s="4">
        <f t="shared" si="41"/>
        <v>200.5</v>
      </c>
      <c r="CS45" s="1">
        <v>2.0</v>
      </c>
      <c r="CT45" s="1">
        <v>0.0</v>
      </c>
      <c r="CU45" s="4">
        <f t="shared" si="42"/>
        <v>0</v>
      </c>
      <c r="CV45" s="1">
        <f t="shared" si="43"/>
        <v>577</v>
      </c>
      <c r="CW45" s="1">
        <v>2.0</v>
      </c>
      <c r="CX45" s="4">
        <f t="shared" si="44"/>
        <v>250</v>
      </c>
      <c r="CY45" s="1">
        <v>2.0</v>
      </c>
      <c r="CZ45" s="1">
        <v>0.0</v>
      </c>
      <c r="DA45" s="4">
        <f t="shared" si="45"/>
        <v>0</v>
      </c>
      <c r="DB45" s="4">
        <f t="shared" ref="DB45:DE45" si="104">CV45</f>
        <v>577</v>
      </c>
      <c r="DC45" s="4">
        <f t="shared" si="104"/>
        <v>2</v>
      </c>
      <c r="DD45" s="4">
        <f t="shared" si="104"/>
        <v>250</v>
      </c>
      <c r="DE45" s="4">
        <f t="shared" si="104"/>
        <v>2</v>
      </c>
      <c r="DF45" s="1">
        <v>0.0</v>
      </c>
      <c r="DG45" s="4">
        <f t="shared" si="47"/>
        <v>0</v>
      </c>
      <c r="DH45" s="1">
        <v>1000.0</v>
      </c>
      <c r="DI45" s="1">
        <v>2.0</v>
      </c>
      <c r="DJ45" s="4">
        <f t="shared" si="48"/>
        <v>597</v>
      </c>
      <c r="DK45" s="1">
        <v>2.0</v>
      </c>
      <c r="DL45" s="1">
        <v>0.0</v>
      </c>
      <c r="DM45" s="4">
        <f t="shared" si="49"/>
        <v>0</v>
      </c>
      <c r="DN45" s="4">
        <f t="shared" si="50"/>
        <v>1.97</v>
      </c>
      <c r="DO45" s="4">
        <f t="shared" si="51"/>
        <v>1.48</v>
      </c>
      <c r="DP45" s="4"/>
      <c r="DQ45" s="4"/>
      <c r="DR45" s="4"/>
      <c r="DS45" s="4"/>
      <c r="DT45" s="4"/>
      <c r="DU45" s="4"/>
      <c r="DV45" s="4"/>
    </row>
    <row r="46">
      <c r="A46" s="3" t="s">
        <v>300</v>
      </c>
      <c r="B46" s="1">
        <v>600.0</v>
      </c>
      <c r="C46" s="1">
        <v>580.0</v>
      </c>
      <c r="D46" s="1">
        <v>850.0</v>
      </c>
      <c r="E46" s="4">
        <f t="shared" si="52"/>
        <v>15</v>
      </c>
      <c r="F46" s="4">
        <f t="shared" si="53"/>
        <v>18</v>
      </c>
      <c r="G46" s="4">
        <f t="shared" si="54"/>
        <v>6</v>
      </c>
      <c r="H46" s="4">
        <f t="shared" si="55"/>
        <v>100</v>
      </c>
      <c r="I46" s="4">
        <f t="shared" si="56"/>
        <v>100</v>
      </c>
      <c r="J46" s="4">
        <f t="shared" si="57"/>
        <v>13</v>
      </c>
      <c r="K46" s="4">
        <f t="shared" si="58"/>
        <v>20</v>
      </c>
      <c r="L46" s="4">
        <f t="shared" si="59"/>
        <v>6</v>
      </c>
      <c r="M46" s="4">
        <f t="shared" si="60"/>
        <v>2</v>
      </c>
      <c r="N46" s="4">
        <f t="shared" si="61"/>
        <v>10</v>
      </c>
      <c r="O46" s="4">
        <f t="shared" si="62"/>
        <v>8</v>
      </c>
      <c r="P46" s="4">
        <f t="shared" si="2"/>
        <v>600</v>
      </c>
      <c r="Q46" s="1">
        <v>0.0</v>
      </c>
      <c r="R46" s="1">
        <f t="shared" si="3"/>
        <v>100</v>
      </c>
      <c r="S46" s="1">
        <v>1.0</v>
      </c>
      <c r="T46" s="1">
        <v>1.0</v>
      </c>
      <c r="U46" s="4">
        <f t="shared" si="4"/>
        <v>0.06</v>
      </c>
      <c r="V46" s="4">
        <f t="shared" si="5"/>
        <v>462</v>
      </c>
      <c r="W46" s="1">
        <v>0.0</v>
      </c>
      <c r="X46" s="4">
        <f t="shared" si="6"/>
        <v>100</v>
      </c>
      <c r="Y46" s="1">
        <v>0.0</v>
      </c>
      <c r="Z46" s="1">
        <v>2.0</v>
      </c>
      <c r="AA46" s="4">
        <f t="shared" si="7"/>
        <v>0.1</v>
      </c>
      <c r="AB46" s="4">
        <f t="shared" si="8"/>
        <v>564</v>
      </c>
      <c r="AC46" s="1">
        <v>0.0</v>
      </c>
      <c r="AD46" s="4">
        <f t="shared" si="9"/>
        <v>100</v>
      </c>
      <c r="AE46" s="1">
        <v>0.0</v>
      </c>
      <c r="AF46" s="1">
        <v>1.0</v>
      </c>
      <c r="AG46" s="4">
        <f t="shared" si="10"/>
        <v>0.06</v>
      </c>
      <c r="AH46" s="1">
        <f t="shared" si="11"/>
        <v>582</v>
      </c>
      <c r="AI46" s="1">
        <v>1.0</v>
      </c>
      <c r="AJ46" s="1">
        <f t="shared" si="12"/>
        <v>574</v>
      </c>
      <c r="AK46" s="1">
        <v>0.0</v>
      </c>
      <c r="AL46" s="1">
        <v>2.0</v>
      </c>
      <c r="AM46" s="4">
        <f t="shared" si="13"/>
        <v>0.67</v>
      </c>
      <c r="AN46" s="1">
        <f t="shared" si="14"/>
        <v>732</v>
      </c>
      <c r="AO46" s="1">
        <v>1.0</v>
      </c>
      <c r="AP46" s="1">
        <f t="shared" si="15"/>
        <v>574</v>
      </c>
      <c r="AQ46" s="1">
        <v>0.0</v>
      </c>
      <c r="AR46" s="1">
        <v>2.0</v>
      </c>
      <c r="AS46" s="4">
        <f t="shared" si="16"/>
        <v>0.85</v>
      </c>
      <c r="AT46" s="1">
        <f t="shared" si="17"/>
        <v>762</v>
      </c>
      <c r="AU46" s="1">
        <v>0.0</v>
      </c>
      <c r="AV46" s="1">
        <f t="shared" si="18"/>
        <v>582</v>
      </c>
      <c r="AW46" s="1">
        <v>0.0</v>
      </c>
      <c r="AX46" s="1">
        <v>1.0</v>
      </c>
      <c r="AY46" s="4">
        <f t="shared" si="19"/>
        <v>0.45</v>
      </c>
      <c r="AZ46" s="4">
        <f t="shared" si="20"/>
        <v>552</v>
      </c>
      <c r="BA46" s="1">
        <v>1.0</v>
      </c>
      <c r="BB46" s="4">
        <f t="shared" si="21"/>
        <v>574</v>
      </c>
      <c r="BC46" s="1">
        <v>0.0</v>
      </c>
      <c r="BD46" s="1">
        <v>0.0</v>
      </c>
      <c r="BE46" s="4">
        <f t="shared" si="22"/>
        <v>0</v>
      </c>
      <c r="BF46" s="4">
        <f t="shared" si="23"/>
        <v>496</v>
      </c>
      <c r="BG46" s="1">
        <v>2.0</v>
      </c>
      <c r="BH46" s="4">
        <f t="shared" si="24"/>
        <v>176.5</v>
      </c>
      <c r="BI46" s="1">
        <v>0.0</v>
      </c>
      <c r="BJ46" s="1">
        <v>0.0</v>
      </c>
      <c r="BK46" s="4">
        <f t="shared" si="25"/>
        <v>0</v>
      </c>
      <c r="BL46" s="4">
        <f t="shared" si="26"/>
        <v>534</v>
      </c>
      <c r="BM46" s="1">
        <v>2.0</v>
      </c>
      <c r="BN46" s="4">
        <f t="shared" si="27"/>
        <v>176.5</v>
      </c>
      <c r="BO46" s="1">
        <v>2.0</v>
      </c>
      <c r="BP46" s="1">
        <v>0.0</v>
      </c>
      <c r="BQ46" s="4">
        <f t="shared" si="28"/>
        <v>0</v>
      </c>
      <c r="BR46" s="4">
        <f t="shared" si="29"/>
        <v>550</v>
      </c>
      <c r="BS46" s="1">
        <v>0.0</v>
      </c>
      <c r="BT46" s="4">
        <f t="shared" si="30"/>
        <v>512</v>
      </c>
      <c r="BU46" s="1">
        <v>0.0</v>
      </c>
      <c r="BV46" s="1">
        <v>0.0</v>
      </c>
      <c r="BW46" s="4">
        <f t="shared" si="31"/>
        <v>0</v>
      </c>
      <c r="BX46" s="4">
        <f t="shared" si="32"/>
        <v>582</v>
      </c>
      <c r="BY46" s="1">
        <v>1.0</v>
      </c>
      <c r="BZ46" s="4">
        <f t="shared" si="33"/>
        <v>574</v>
      </c>
      <c r="CA46" s="1">
        <v>0.0</v>
      </c>
      <c r="CB46" s="1">
        <v>1.0</v>
      </c>
      <c r="CC46" s="4">
        <f t="shared" si="34"/>
        <v>0.34</v>
      </c>
      <c r="CD46" s="4">
        <f t="shared" si="35"/>
        <v>750</v>
      </c>
      <c r="CE46" s="1">
        <v>1.0</v>
      </c>
      <c r="CF46" s="4">
        <f t="shared" si="36"/>
        <v>580</v>
      </c>
      <c r="CG46" s="1">
        <v>1.0</v>
      </c>
      <c r="CH46" s="1">
        <v>2.0</v>
      </c>
      <c r="CI46" s="4">
        <f t="shared" si="37"/>
        <v>0.87</v>
      </c>
      <c r="CJ46" s="4">
        <f t="shared" si="38"/>
        <v>582</v>
      </c>
      <c r="CK46" s="1">
        <v>1.0</v>
      </c>
      <c r="CL46" s="1">
        <v>80.0</v>
      </c>
      <c r="CM46" s="1">
        <v>0.0</v>
      </c>
      <c r="CN46" s="1">
        <v>1.0</v>
      </c>
      <c r="CO46" s="4">
        <f t="shared" si="39"/>
        <v>0.05</v>
      </c>
      <c r="CP46" s="4">
        <f t="shared" si="40"/>
        <v>579</v>
      </c>
      <c r="CQ46" s="1">
        <v>2.0</v>
      </c>
      <c r="CR46" s="4">
        <f t="shared" si="41"/>
        <v>200.5</v>
      </c>
      <c r="CS46" s="1">
        <v>2.0</v>
      </c>
      <c r="CT46" s="1">
        <v>0.0</v>
      </c>
      <c r="CU46" s="4">
        <f t="shared" si="42"/>
        <v>0</v>
      </c>
      <c r="CV46" s="1">
        <f t="shared" si="43"/>
        <v>577</v>
      </c>
      <c r="CW46" s="1">
        <v>2.0</v>
      </c>
      <c r="CX46" s="4">
        <f t="shared" si="44"/>
        <v>250</v>
      </c>
      <c r="CY46" s="1">
        <v>2.0</v>
      </c>
      <c r="CZ46" s="1">
        <v>0.0</v>
      </c>
      <c r="DA46" s="4">
        <f t="shared" si="45"/>
        <v>0</v>
      </c>
      <c r="DB46" s="4">
        <f t="shared" ref="DB46:DE46" si="105">CV46</f>
        <v>577</v>
      </c>
      <c r="DC46" s="4">
        <f t="shared" si="105"/>
        <v>2</v>
      </c>
      <c r="DD46" s="4">
        <f t="shared" si="105"/>
        <v>250</v>
      </c>
      <c r="DE46" s="4">
        <f t="shared" si="105"/>
        <v>2</v>
      </c>
      <c r="DF46" s="1">
        <v>0.0</v>
      </c>
      <c r="DG46" s="4">
        <f t="shared" si="47"/>
        <v>0</v>
      </c>
      <c r="DH46" s="1">
        <v>1000.0</v>
      </c>
      <c r="DI46" s="1">
        <v>2.0</v>
      </c>
      <c r="DJ46" s="4">
        <f t="shared" si="48"/>
        <v>597</v>
      </c>
      <c r="DK46" s="1">
        <v>2.0</v>
      </c>
      <c r="DL46" s="1">
        <v>0.0</v>
      </c>
      <c r="DM46" s="4">
        <f t="shared" si="49"/>
        <v>0</v>
      </c>
      <c r="DN46" s="4">
        <f t="shared" si="50"/>
        <v>1.97</v>
      </c>
      <c r="DO46" s="4">
        <f t="shared" si="51"/>
        <v>1.48</v>
      </c>
      <c r="DP46" s="4"/>
      <c r="DQ46" s="4"/>
      <c r="DR46" s="4"/>
      <c r="DS46" s="4"/>
      <c r="DT46" s="4"/>
      <c r="DU46" s="4"/>
      <c r="DV46" s="4"/>
    </row>
    <row r="47">
      <c r="A47" s="3" t="s">
        <v>301</v>
      </c>
      <c r="B47" s="1">
        <v>600.0</v>
      </c>
      <c r="C47" s="1">
        <v>580.0</v>
      </c>
      <c r="D47" s="1">
        <v>850.0</v>
      </c>
      <c r="E47" s="4">
        <f t="shared" si="52"/>
        <v>15</v>
      </c>
      <c r="F47" s="4">
        <f t="shared" si="53"/>
        <v>18</v>
      </c>
      <c r="G47" s="4">
        <f t="shared" si="54"/>
        <v>6</v>
      </c>
      <c r="H47" s="4">
        <f t="shared" si="55"/>
        <v>100</v>
      </c>
      <c r="I47" s="4">
        <f t="shared" si="56"/>
        <v>100</v>
      </c>
      <c r="J47" s="4">
        <f t="shared" si="57"/>
        <v>13</v>
      </c>
      <c r="K47" s="4">
        <f t="shared" si="58"/>
        <v>20</v>
      </c>
      <c r="L47" s="4">
        <f t="shared" si="59"/>
        <v>6</v>
      </c>
      <c r="M47" s="4">
        <f t="shared" si="60"/>
        <v>2</v>
      </c>
      <c r="N47" s="4">
        <f t="shared" si="61"/>
        <v>10</v>
      </c>
      <c r="O47" s="4">
        <f t="shared" si="62"/>
        <v>8</v>
      </c>
      <c r="P47" s="4">
        <f t="shared" si="2"/>
        <v>600</v>
      </c>
      <c r="Q47" s="1">
        <v>0.0</v>
      </c>
      <c r="R47" s="1">
        <f t="shared" si="3"/>
        <v>100</v>
      </c>
      <c r="S47" s="1">
        <v>1.0</v>
      </c>
      <c r="T47" s="1">
        <v>1.0</v>
      </c>
      <c r="U47" s="4">
        <f t="shared" si="4"/>
        <v>0.06</v>
      </c>
      <c r="V47" s="4">
        <f t="shared" si="5"/>
        <v>462</v>
      </c>
      <c r="W47" s="1">
        <v>0.0</v>
      </c>
      <c r="X47" s="4">
        <f t="shared" si="6"/>
        <v>100</v>
      </c>
      <c r="Y47" s="1">
        <v>0.0</v>
      </c>
      <c r="Z47" s="1">
        <v>2.0</v>
      </c>
      <c r="AA47" s="4">
        <f t="shared" si="7"/>
        <v>0.1</v>
      </c>
      <c r="AB47" s="4">
        <f t="shared" si="8"/>
        <v>564</v>
      </c>
      <c r="AC47" s="1">
        <v>0.0</v>
      </c>
      <c r="AD47" s="4">
        <f t="shared" si="9"/>
        <v>100</v>
      </c>
      <c r="AE47" s="1">
        <v>0.0</v>
      </c>
      <c r="AF47" s="1">
        <v>1.0</v>
      </c>
      <c r="AG47" s="4">
        <f t="shared" si="10"/>
        <v>0.06</v>
      </c>
      <c r="AH47" s="1">
        <f t="shared" si="11"/>
        <v>582</v>
      </c>
      <c r="AI47" s="1">
        <v>1.0</v>
      </c>
      <c r="AJ47" s="1">
        <f t="shared" si="12"/>
        <v>574</v>
      </c>
      <c r="AK47" s="1">
        <v>0.0</v>
      </c>
      <c r="AL47" s="1">
        <v>2.0</v>
      </c>
      <c r="AM47" s="4">
        <f t="shared" si="13"/>
        <v>0.67</v>
      </c>
      <c r="AN47" s="1">
        <f t="shared" si="14"/>
        <v>732</v>
      </c>
      <c r="AO47" s="1">
        <v>1.0</v>
      </c>
      <c r="AP47" s="1">
        <f t="shared" si="15"/>
        <v>574</v>
      </c>
      <c r="AQ47" s="1">
        <v>0.0</v>
      </c>
      <c r="AR47" s="1">
        <v>2.0</v>
      </c>
      <c r="AS47" s="4">
        <f t="shared" si="16"/>
        <v>0.85</v>
      </c>
      <c r="AT47" s="1">
        <f t="shared" si="17"/>
        <v>762</v>
      </c>
      <c r="AU47" s="1">
        <v>0.0</v>
      </c>
      <c r="AV47" s="1">
        <f t="shared" si="18"/>
        <v>582</v>
      </c>
      <c r="AW47" s="1">
        <v>0.0</v>
      </c>
      <c r="AX47" s="1">
        <v>1.0</v>
      </c>
      <c r="AY47" s="4">
        <f t="shared" si="19"/>
        <v>0.45</v>
      </c>
      <c r="AZ47" s="4">
        <f t="shared" si="20"/>
        <v>552</v>
      </c>
      <c r="BA47" s="1">
        <v>1.0</v>
      </c>
      <c r="BB47" s="4">
        <f t="shared" si="21"/>
        <v>574</v>
      </c>
      <c r="BC47" s="1">
        <v>0.0</v>
      </c>
      <c r="BD47" s="1">
        <v>0.0</v>
      </c>
      <c r="BE47" s="4">
        <f t="shared" si="22"/>
        <v>0</v>
      </c>
      <c r="BF47" s="4">
        <f t="shared" si="23"/>
        <v>496</v>
      </c>
      <c r="BG47" s="1">
        <v>2.0</v>
      </c>
      <c r="BH47" s="4">
        <f t="shared" si="24"/>
        <v>176.5</v>
      </c>
      <c r="BI47" s="1">
        <v>0.0</v>
      </c>
      <c r="BJ47" s="1">
        <v>0.0</v>
      </c>
      <c r="BK47" s="4">
        <f t="shared" si="25"/>
        <v>0</v>
      </c>
      <c r="BL47" s="4">
        <f t="shared" si="26"/>
        <v>534</v>
      </c>
      <c r="BM47" s="1">
        <v>2.0</v>
      </c>
      <c r="BN47" s="4">
        <f t="shared" si="27"/>
        <v>176.5</v>
      </c>
      <c r="BO47" s="1">
        <v>2.0</v>
      </c>
      <c r="BP47" s="1">
        <v>0.0</v>
      </c>
      <c r="BQ47" s="4">
        <f t="shared" si="28"/>
        <v>0</v>
      </c>
      <c r="BR47" s="4">
        <f t="shared" si="29"/>
        <v>550</v>
      </c>
      <c r="BS47" s="1">
        <v>0.0</v>
      </c>
      <c r="BT47" s="4">
        <f t="shared" si="30"/>
        <v>512</v>
      </c>
      <c r="BU47" s="1">
        <v>0.0</v>
      </c>
      <c r="BV47" s="1">
        <v>0.0</v>
      </c>
      <c r="BW47" s="4">
        <f t="shared" si="31"/>
        <v>0</v>
      </c>
      <c r="BX47" s="4">
        <f t="shared" si="32"/>
        <v>582</v>
      </c>
      <c r="BY47" s="1">
        <v>1.0</v>
      </c>
      <c r="BZ47" s="4">
        <f t="shared" si="33"/>
        <v>574</v>
      </c>
      <c r="CA47" s="1">
        <v>0.0</v>
      </c>
      <c r="CB47" s="1">
        <v>1.0</v>
      </c>
      <c r="CC47" s="4">
        <f t="shared" si="34"/>
        <v>0.34</v>
      </c>
      <c r="CD47" s="4">
        <f t="shared" si="35"/>
        <v>750</v>
      </c>
      <c r="CE47" s="1">
        <v>1.0</v>
      </c>
      <c r="CF47" s="4">
        <f t="shared" si="36"/>
        <v>580</v>
      </c>
      <c r="CG47" s="1">
        <v>1.0</v>
      </c>
      <c r="CH47" s="1">
        <v>2.0</v>
      </c>
      <c r="CI47" s="4">
        <f t="shared" si="37"/>
        <v>0.87</v>
      </c>
      <c r="CJ47" s="4">
        <f t="shared" si="38"/>
        <v>582</v>
      </c>
      <c r="CK47" s="1">
        <v>1.0</v>
      </c>
      <c r="CL47" s="1">
        <v>80.0</v>
      </c>
      <c r="CM47" s="1">
        <v>0.0</v>
      </c>
      <c r="CN47" s="1">
        <v>1.0</v>
      </c>
      <c r="CO47" s="4">
        <f t="shared" si="39"/>
        <v>0.05</v>
      </c>
      <c r="CP47" s="4">
        <f t="shared" si="40"/>
        <v>579</v>
      </c>
      <c r="CQ47" s="1">
        <v>2.0</v>
      </c>
      <c r="CR47" s="4">
        <f t="shared" si="41"/>
        <v>200.5</v>
      </c>
      <c r="CS47" s="1">
        <v>2.0</v>
      </c>
      <c r="CT47" s="1">
        <v>0.0</v>
      </c>
      <c r="CU47" s="4">
        <f t="shared" si="42"/>
        <v>0</v>
      </c>
      <c r="CV47" s="1">
        <f t="shared" si="43"/>
        <v>577</v>
      </c>
      <c r="CW47" s="1">
        <v>2.0</v>
      </c>
      <c r="CX47" s="4">
        <f t="shared" si="44"/>
        <v>250</v>
      </c>
      <c r="CY47" s="1">
        <v>2.0</v>
      </c>
      <c r="CZ47" s="1">
        <v>0.0</v>
      </c>
      <c r="DA47" s="4">
        <f t="shared" si="45"/>
        <v>0</v>
      </c>
      <c r="DB47" s="4">
        <f t="shared" ref="DB47:DE47" si="106">CV47</f>
        <v>577</v>
      </c>
      <c r="DC47" s="4">
        <f t="shared" si="106"/>
        <v>2</v>
      </c>
      <c r="DD47" s="4">
        <f t="shared" si="106"/>
        <v>250</v>
      </c>
      <c r="DE47" s="4">
        <f t="shared" si="106"/>
        <v>2</v>
      </c>
      <c r="DF47" s="1">
        <v>0.0</v>
      </c>
      <c r="DG47" s="4">
        <f t="shared" si="47"/>
        <v>0</v>
      </c>
      <c r="DH47" s="1">
        <v>1000.0</v>
      </c>
      <c r="DI47" s="1">
        <v>2.0</v>
      </c>
      <c r="DJ47" s="4">
        <f t="shared" si="48"/>
        <v>597</v>
      </c>
      <c r="DK47" s="1">
        <v>2.0</v>
      </c>
      <c r="DL47" s="1">
        <v>0.0</v>
      </c>
      <c r="DM47" s="4">
        <f t="shared" si="49"/>
        <v>0</v>
      </c>
      <c r="DN47" s="4">
        <f t="shared" si="50"/>
        <v>1.97</v>
      </c>
      <c r="DO47" s="4">
        <f t="shared" si="51"/>
        <v>1.48</v>
      </c>
      <c r="DP47" s="4"/>
      <c r="DQ47" s="4"/>
      <c r="DR47" s="4"/>
      <c r="DS47" s="4"/>
      <c r="DT47" s="4"/>
      <c r="DU47" s="4"/>
      <c r="DV47" s="4"/>
    </row>
    <row r="48">
      <c r="A48" s="2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 t="str">
        <f t="shared" si="2"/>
        <v/>
      </c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</row>
    <row r="49">
      <c r="A49" s="2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 t="str">
        <f t="shared" si="2"/>
        <v/>
      </c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</row>
    <row r="50">
      <c r="A50" s="2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 t="str">
        <f t="shared" si="2"/>
        <v/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  <c r="DT50" s="4"/>
      <c r="DU50" s="4"/>
      <c r="DV50" s="4"/>
    </row>
    <row r="51">
      <c r="A51" s="2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 t="str">
        <f t="shared" si="2"/>
        <v/>
      </c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  <c r="DT51" s="4"/>
      <c r="DU51" s="4"/>
      <c r="DV51" s="4"/>
    </row>
    <row r="52">
      <c r="A52" s="2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 t="str">
        <f t="shared" si="2"/>
        <v/>
      </c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</row>
    <row r="53">
      <c r="A53" s="2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 t="str">
        <f t="shared" si="2"/>
        <v/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</row>
    <row r="54">
      <c r="A54" s="2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 t="str">
        <f t="shared" si="2"/>
        <v/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</row>
    <row r="55">
      <c r="A55" s="2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 t="str">
        <f t="shared" si="2"/>
        <v/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</row>
    <row r="56">
      <c r="A56" s="2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 t="str">
        <f t="shared" si="2"/>
        <v/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  <c r="DT56" s="4"/>
      <c r="DU56" s="4"/>
      <c r="DV56" s="4"/>
    </row>
    <row r="57">
      <c r="A57" s="2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 t="str">
        <f t="shared" si="2"/>
        <v/>
      </c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  <c r="DT57" s="4"/>
      <c r="DU57" s="4"/>
      <c r="DV57" s="4"/>
    </row>
    <row r="58">
      <c r="A58" s="2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 t="str">
        <f t="shared" si="2"/>
        <v/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  <c r="DT58" s="4"/>
      <c r="DU58" s="4"/>
      <c r="DV58" s="4"/>
    </row>
    <row r="59">
      <c r="A59" s="2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 t="str">
        <f t="shared" si="2"/>
        <v/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</row>
    <row r="60">
      <c r="A60" s="2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 t="str">
        <f t="shared" si="2"/>
        <v/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</row>
    <row r="61">
      <c r="A61" s="2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 t="str">
        <f t="shared" si="2"/>
        <v/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</row>
    <row r="62">
      <c r="A62" s="2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 t="str">
        <f t="shared" si="2"/>
        <v/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</row>
    <row r="63">
      <c r="A63" s="2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</row>
    <row r="64">
      <c r="A64" s="2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</row>
    <row r="65">
      <c r="A65" s="2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</row>
    <row r="66">
      <c r="A66" s="2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</row>
    <row r="67">
      <c r="A67" s="2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</row>
    <row r="68">
      <c r="A68" s="2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</row>
    <row r="69">
      <c r="A69" s="2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</row>
    <row r="70">
      <c r="A70" s="2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</row>
    <row r="71">
      <c r="A71" s="2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</row>
    <row r="72">
      <c r="A72" s="2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</row>
    <row r="73">
      <c r="A73" s="2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</row>
    <row r="74">
      <c r="A74" s="2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  <c r="DT74" s="4"/>
      <c r="DU74" s="4"/>
      <c r="DV74" s="4"/>
    </row>
    <row r="75">
      <c r="A75" s="2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  <c r="DT75" s="4"/>
      <c r="DU75" s="4"/>
      <c r="DV75" s="4"/>
    </row>
    <row r="76">
      <c r="A76" s="2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  <c r="DT76" s="4"/>
      <c r="DU76" s="4"/>
      <c r="DV76" s="4"/>
    </row>
    <row r="77">
      <c r="A77" s="2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4"/>
      <c r="DR77" s="4"/>
      <c r="DS77" s="4"/>
      <c r="DT77" s="4"/>
      <c r="DU77" s="4"/>
      <c r="DV77" s="4"/>
    </row>
    <row r="78">
      <c r="A78" s="2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4"/>
      <c r="DR78" s="4"/>
      <c r="DS78" s="4"/>
      <c r="DT78" s="4"/>
      <c r="DU78" s="4"/>
      <c r="DV78" s="4"/>
    </row>
    <row r="79">
      <c r="A79" s="2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  <c r="DM79" s="4"/>
      <c r="DN79" s="4"/>
      <c r="DO79" s="4"/>
      <c r="DP79" s="4"/>
      <c r="DQ79" s="4"/>
      <c r="DR79" s="4"/>
      <c r="DS79" s="4"/>
      <c r="DT79" s="4"/>
      <c r="DU79" s="4"/>
      <c r="DV79" s="4"/>
    </row>
    <row r="80">
      <c r="A80" s="2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  <c r="DM80" s="4"/>
      <c r="DN80" s="4"/>
      <c r="DO80" s="4"/>
      <c r="DP80" s="4"/>
      <c r="DQ80" s="4"/>
      <c r="DR80" s="4"/>
      <c r="DS80" s="4"/>
      <c r="DT80" s="4"/>
      <c r="DU80" s="4"/>
      <c r="DV80" s="4"/>
    </row>
    <row r="81">
      <c r="A81" s="2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  <c r="DT81" s="4"/>
      <c r="DU81" s="4"/>
      <c r="DV81" s="4"/>
    </row>
    <row r="82">
      <c r="A82" s="2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  <c r="DT82" s="4"/>
      <c r="DU82" s="4"/>
      <c r="DV82" s="4"/>
    </row>
    <row r="83">
      <c r="A83" s="2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  <c r="DT83" s="4"/>
      <c r="DU83" s="4"/>
      <c r="DV83" s="4"/>
    </row>
    <row r="84">
      <c r="A84" s="2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4"/>
      <c r="DT84" s="4"/>
      <c r="DU84" s="4"/>
      <c r="DV84" s="4"/>
    </row>
    <row r="85">
      <c r="A85" s="2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4"/>
      <c r="DT85" s="4"/>
      <c r="DU85" s="4"/>
      <c r="DV85" s="4"/>
    </row>
    <row r="86">
      <c r="A86" s="2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4"/>
      <c r="DR86" s="4"/>
      <c r="DS86" s="4"/>
      <c r="DT86" s="4"/>
      <c r="DU86" s="4"/>
      <c r="DV86" s="4"/>
    </row>
    <row r="87">
      <c r="A87" s="2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4"/>
      <c r="DR87" s="4"/>
      <c r="DS87" s="4"/>
      <c r="DT87" s="4"/>
      <c r="DU87" s="4"/>
      <c r="DV87" s="4"/>
    </row>
    <row r="88">
      <c r="A88" s="2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4"/>
      <c r="DR88" s="4"/>
      <c r="DS88" s="4"/>
      <c r="DT88" s="4"/>
      <c r="DU88" s="4"/>
      <c r="DV88" s="4"/>
    </row>
    <row r="89">
      <c r="A89" s="2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  <c r="DT89" s="4"/>
      <c r="DU89" s="4"/>
      <c r="DV89" s="4"/>
    </row>
    <row r="90">
      <c r="A90" s="2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4"/>
    </row>
    <row r="91">
      <c r="A91" s="2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4"/>
      <c r="DP91" s="4"/>
      <c r="DQ91" s="4"/>
      <c r="DR91" s="4"/>
      <c r="DS91" s="4"/>
      <c r="DT91" s="4"/>
      <c r="DU91" s="4"/>
      <c r="DV91" s="4"/>
    </row>
    <row r="92">
      <c r="A92" s="2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  <c r="DG92" s="4"/>
      <c r="DH92" s="4"/>
      <c r="DI92" s="4"/>
      <c r="DJ92" s="4"/>
      <c r="DK92" s="4"/>
      <c r="DL92" s="4"/>
      <c r="DM92" s="4"/>
      <c r="DN92" s="4"/>
      <c r="DO92" s="4"/>
      <c r="DP92" s="4"/>
      <c r="DQ92" s="4"/>
      <c r="DR92" s="4"/>
      <c r="DS92" s="4"/>
      <c r="DT92" s="4"/>
      <c r="DU92" s="4"/>
      <c r="DV92" s="4"/>
    </row>
    <row r="93">
      <c r="A93" s="2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4"/>
      <c r="DP93" s="4"/>
      <c r="DQ93" s="4"/>
      <c r="DR93" s="4"/>
      <c r="DS93" s="4"/>
      <c r="DT93" s="4"/>
      <c r="DU93" s="4"/>
      <c r="DV93" s="4"/>
    </row>
    <row r="94">
      <c r="A94" s="2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  <c r="DG94" s="4"/>
      <c r="DH94" s="4"/>
      <c r="DI94" s="4"/>
      <c r="DJ94" s="4"/>
      <c r="DK94" s="4"/>
      <c r="DL94" s="4"/>
      <c r="DM94" s="4"/>
      <c r="DN94" s="4"/>
      <c r="DO94" s="4"/>
      <c r="DP94" s="4"/>
      <c r="DQ94" s="4"/>
      <c r="DR94" s="4"/>
      <c r="DS94" s="4"/>
      <c r="DT94" s="4"/>
      <c r="DU94" s="4"/>
      <c r="DV94" s="4"/>
    </row>
    <row r="95">
      <c r="A95" s="2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  <c r="DG95" s="4"/>
      <c r="DH95" s="4"/>
      <c r="DI95" s="4"/>
      <c r="DJ95" s="4"/>
      <c r="DK95" s="4"/>
      <c r="DL95" s="4"/>
      <c r="DM95" s="4"/>
      <c r="DN95" s="4"/>
      <c r="DO95" s="4"/>
      <c r="DP95" s="4"/>
      <c r="DQ95" s="4"/>
      <c r="DR95" s="4"/>
      <c r="DS95" s="4"/>
      <c r="DT95" s="4"/>
      <c r="DU95" s="4"/>
      <c r="DV95" s="4"/>
    </row>
    <row r="96">
      <c r="A96" s="2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  <c r="DG96" s="4"/>
      <c r="DH96" s="4"/>
      <c r="DI96" s="4"/>
      <c r="DJ96" s="4"/>
      <c r="DK96" s="4"/>
      <c r="DL96" s="4"/>
      <c r="DM96" s="4"/>
      <c r="DN96" s="4"/>
      <c r="DO96" s="4"/>
      <c r="DP96" s="4"/>
      <c r="DQ96" s="4"/>
      <c r="DR96" s="4"/>
      <c r="DS96" s="4"/>
      <c r="DT96" s="4"/>
      <c r="DU96" s="4"/>
      <c r="DV96" s="4"/>
    </row>
    <row r="97">
      <c r="A97" s="2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4"/>
      <c r="DN97" s="4"/>
      <c r="DO97" s="4"/>
      <c r="DP97" s="4"/>
      <c r="DQ97" s="4"/>
      <c r="DR97" s="4"/>
      <c r="DS97" s="4"/>
      <c r="DT97" s="4"/>
      <c r="DU97" s="4"/>
      <c r="DV97" s="4"/>
    </row>
    <row r="98">
      <c r="A98" s="2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  <c r="DE98" s="4"/>
      <c r="DF98" s="4"/>
      <c r="DG98" s="4"/>
      <c r="DH98" s="4"/>
      <c r="DI98" s="4"/>
      <c r="DJ98" s="4"/>
      <c r="DK98" s="4"/>
      <c r="DL98" s="4"/>
      <c r="DM98" s="4"/>
      <c r="DN98" s="4"/>
      <c r="DO98" s="4"/>
      <c r="DP98" s="4"/>
      <c r="DQ98" s="4"/>
      <c r="DR98" s="4"/>
      <c r="DS98" s="4"/>
      <c r="DT98" s="4"/>
      <c r="DU98" s="4"/>
      <c r="DV98" s="4"/>
    </row>
    <row r="99">
      <c r="A99" s="2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  <c r="DE99" s="4"/>
      <c r="DF99" s="4"/>
      <c r="DG99" s="4"/>
      <c r="DH99" s="4"/>
      <c r="DI99" s="4"/>
      <c r="DJ99" s="4"/>
      <c r="DK99" s="4"/>
      <c r="DL99" s="4"/>
      <c r="DM99" s="4"/>
      <c r="DN99" s="4"/>
      <c r="DO99" s="4"/>
      <c r="DP99" s="4"/>
      <c r="DQ99" s="4"/>
      <c r="DR99" s="4"/>
      <c r="DS99" s="4"/>
      <c r="DT99" s="4"/>
      <c r="DU99" s="4"/>
      <c r="DV99" s="4"/>
    </row>
    <row r="100">
      <c r="A100" s="2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  <c r="DM100" s="4"/>
      <c r="DN100" s="4"/>
      <c r="DO100" s="4"/>
      <c r="DP100" s="4"/>
      <c r="DQ100" s="4"/>
      <c r="DR100" s="4"/>
      <c r="DS100" s="4"/>
      <c r="DT100" s="4"/>
      <c r="DU100" s="4"/>
      <c r="DV100" s="4"/>
    </row>
    <row r="101">
      <c r="A101" s="2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  <c r="DL101" s="4"/>
      <c r="DM101" s="4"/>
      <c r="DN101" s="4"/>
      <c r="DO101" s="4"/>
      <c r="DP101" s="4"/>
      <c r="DQ101" s="4"/>
      <c r="DR101" s="4"/>
      <c r="DS101" s="4"/>
      <c r="DT101" s="4"/>
      <c r="DU101" s="4"/>
      <c r="DV101" s="4"/>
    </row>
    <row r="102">
      <c r="A102" s="2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  <c r="DL102" s="4"/>
      <c r="DM102" s="4"/>
      <c r="DN102" s="4"/>
      <c r="DO102" s="4"/>
      <c r="DP102" s="4"/>
      <c r="DQ102" s="4"/>
      <c r="DR102" s="4"/>
      <c r="DS102" s="4"/>
      <c r="DT102" s="4"/>
      <c r="DU102" s="4"/>
      <c r="DV102" s="4"/>
    </row>
    <row r="103">
      <c r="A103" s="2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  <c r="DE103" s="4"/>
      <c r="DF103" s="4"/>
      <c r="DG103" s="4"/>
      <c r="DH103" s="4"/>
      <c r="DI103" s="4"/>
      <c r="DJ103" s="4"/>
      <c r="DK103" s="4"/>
      <c r="DL103" s="4"/>
      <c r="DM103" s="4"/>
      <c r="DN103" s="4"/>
      <c r="DO103" s="4"/>
      <c r="DP103" s="4"/>
      <c r="DQ103" s="4"/>
      <c r="DR103" s="4"/>
      <c r="DS103" s="4"/>
      <c r="DT103" s="4"/>
      <c r="DU103" s="4"/>
      <c r="DV103" s="4"/>
    </row>
    <row r="104">
      <c r="A104" s="2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  <c r="DE104" s="4"/>
      <c r="DF104" s="4"/>
      <c r="DG104" s="4"/>
      <c r="DH104" s="4"/>
      <c r="DI104" s="4"/>
      <c r="DJ104" s="4"/>
      <c r="DK104" s="4"/>
      <c r="DL104" s="4"/>
      <c r="DM104" s="4"/>
      <c r="DN104" s="4"/>
      <c r="DO104" s="4"/>
      <c r="DP104" s="4"/>
      <c r="DQ104" s="4"/>
      <c r="DR104" s="4"/>
      <c r="DS104" s="4"/>
      <c r="DT104" s="4"/>
      <c r="DU104" s="4"/>
      <c r="DV104" s="4"/>
    </row>
    <row r="105">
      <c r="A105" s="2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  <c r="DE105" s="4"/>
      <c r="DF105" s="4"/>
      <c r="DG105" s="4"/>
      <c r="DH105" s="4"/>
      <c r="DI105" s="4"/>
      <c r="DJ105" s="4"/>
      <c r="DK105" s="4"/>
      <c r="DL105" s="4"/>
      <c r="DM105" s="4"/>
      <c r="DN105" s="4"/>
      <c r="DO105" s="4"/>
      <c r="DP105" s="4"/>
      <c r="DQ105" s="4"/>
      <c r="DR105" s="4"/>
      <c r="DS105" s="4"/>
      <c r="DT105" s="4"/>
      <c r="DU105" s="4"/>
      <c r="DV105" s="4"/>
    </row>
    <row r="106">
      <c r="A106" s="2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  <c r="DE106" s="4"/>
      <c r="DF106" s="4"/>
      <c r="DG106" s="4"/>
      <c r="DH106" s="4"/>
      <c r="DI106" s="4"/>
      <c r="DJ106" s="4"/>
      <c r="DK106" s="4"/>
      <c r="DL106" s="4"/>
      <c r="DM106" s="4"/>
      <c r="DN106" s="4"/>
      <c r="DO106" s="4"/>
      <c r="DP106" s="4"/>
      <c r="DQ106" s="4"/>
      <c r="DR106" s="4"/>
      <c r="DS106" s="4"/>
      <c r="DT106" s="4"/>
      <c r="DU106" s="4"/>
      <c r="DV106" s="4"/>
    </row>
    <row r="107">
      <c r="A107" s="2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  <c r="DE107" s="4"/>
      <c r="DF107" s="4"/>
      <c r="DG107" s="4"/>
      <c r="DH107" s="4"/>
      <c r="DI107" s="4"/>
      <c r="DJ107" s="4"/>
      <c r="DK107" s="4"/>
      <c r="DL107" s="4"/>
      <c r="DM107" s="4"/>
      <c r="DN107" s="4"/>
      <c r="DO107" s="4"/>
      <c r="DP107" s="4"/>
      <c r="DQ107" s="4"/>
      <c r="DR107" s="4"/>
      <c r="DS107" s="4"/>
      <c r="DT107" s="4"/>
      <c r="DU107" s="4"/>
      <c r="DV107" s="4"/>
    </row>
    <row r="108">
      <c r="A108" s="2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  <c r="DE108" s="4"/>
      <c r="DF108" s="4"/>
      <c r="DG108" s="4"/>
      <c r="DH108" s="4"/>
      <c r="DI108" s="4"/>
      <c r="DJ108" s="4"/>
      <c r="DK108" s="4"/>
      <c r="DL108" s="4"/>
      <c r="DM108" s="4"/>
      <c r="DN108" s="4"/>
      <c r="DO108" s="4"/>
      <c r="DP108" s="4"/>
      <c r="DQ108" s="4"/>
      <c r="DR108" s="4"/>
      <c r="DS108" s="4"/>
      <c r="DT108" s="4"/>
      <c r="DU108" s="4"/>
      <c r="DV108" s="4"/>
    </row>
    <row r="109">
      <c r="A109" s="2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  <c r="DM109" s="4"/>
      <c r="DN109" s="4"/>
      <c r="DO109" s="4"/>
      <c r="DP109" s="4"/>
      <c r="DQ109" s="4"/>
      <c r="DR109" s="4"/>
      <c r="DS109" s="4"/>
      <c r="DT109" s="4"/>
      <c r="DU109" s="4"/>
      <c r="DV109" s="4"/>
    </row>
    <row r="110">
      <c r="A110" s="2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  <c r="DM110" s="4"/>
      <c r="DN110" s="4"/>
      <c r="DO110" s="4"/>
      <c r="DP110" s="4"/>
      <c r="DQ110" s="4"/>
      <c r="DR110" s="4"/>
      <c r="DS110" s="4"/>
      <c r="DT110" s="4"/>
      <c r="DU110" s="4"/>
      <c r="DV110" s="4"/>
    </row>
    <row r="111">
      <c r="A111" s="2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4"/>
      <c r="DP111" s="4"/>
      <c r="DQ111" s="4"/>
      <c r="DR111" s="4"/>
      <c r="DS111" s="4"/>
      <c r="DT111" s="4"/>
      <c r="DU111" s="4"/>
      <c r="DV111" s="4"/>
    </row>
    <row r="112">
      <c r="A112" s="2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4"/>
      <c r="DP112" s="4"/>
      <c r="DQ112" s="4"/>
      <c r="DR112" s="4"/>
      <c r="DS112" s="4"/>
      <c r="DT112" s="4"/>
      <c r="DU112" s="4"/>
      <c r="DV112" s="4"/>
    </row>
    <row r="113">
      <c r="A113" s="2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4"/>
      <c r="DP113" s="4"/>
      <c r="DQ113" s="4"/>
      <c r="DR113" s="4"/>
      <c r="DS113" s="4"/>
      <c r="DT113" s="4"/>
      <c r="DU113" s="4"/>
      <c r="DV113" s="4"/>
    </row>
    <row r="114">
      <c r="A114" s="2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4"/>
      <c r="DP114" s="4"/>
      <c r="DQ114" s="4"/>
      <c r="DR114" s="4"/>
      <c r="DS114" s="4"/>
      <c r="DT114" s="4"/>
      <c r="DU114" s="4"/>
      <c r="DV114" s="4"/>
    </row>
    <row r="115">
      <c r="A115" s="2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4"/>
      <c r="DP115" s="4"/>
      <c r="DQ115" s="4"/>
      <c r="DR115" s="4"/>
      <c r="DS115" s="4"/>
      <c r="DT115" s="4"/>
      <c r="DU115" s="4"/>
      <c r="DV115" s="4"/>
    </row>
    <row r="116">
      <c r="A116" s="2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4"/>
      <c r="DP116" s="4"/>
      <c r="DQ116" s="4"/>
      <c r="DR116" s="4"/>
      <c r="DS116" s="4"/>
      <c r="DT116" s="4"/>
      <c r="DU116" s="4"/>
      <c r="DV116" s="4"/>
    </row>
    <row r="117">
      <c r="A117" s="2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4"/>
      <c r="DP117" s="4"/>
      <c r="DQ117" s="4"/>
      <c r="DR117" s="4"/>
      <c r="DS117" s="4"/>
      <c r="DT117" s="4"/>
      <c r="DU117" s="4"/>
      <c r="DV117" s="4"/>
    </row>
    <row r="118">
      <c r="A118" s="2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4"/>
      <c r="DP118" s="4"/>
      <c r="DQ118" s="4"/>
      <c r="DR118" s="4"/>
      <c r="DS118" s="4"/>
      <c r="DT118" s="4"/>
      <c r="DU118" s="4"/>
      <c r="DV118" s="4"/>
    </row>
    <row r="119">
      <c r="A119" s="2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4"/>
      <c r="DP119" s="4"/>
      <c r="DQ119" s="4"/>
      <c r="DR119" s="4"/>
      <c r="DS119" s="4"/>
      <c r="DT119" s="4"/>
      <c r="DU119" s="4"/>
      <c r="DV119" s="4"/>
    </row>
    <row r="120">
      <c r="A120" s="2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4"/>
      <c r="DP120" s="4"/>
      <c r="DQ120" s="4"/>
      <c r="DR120" s="4"/>
      <c r="DS120" s="4"/>
      <c r="DT120" s="4"/>
      <c r="DU120" s="4"/>
      <c r="DV120" s="4"/>
    </row>
    <row r="121">
      <c r="A121" s="2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4"/>
      <c r="DP121" s="4"/>
      <c r="DQ121" s="4"/>
      <c r="DR121" s="4"/>
      <c r="DS121" s="4"/>
      <c r="DT121" s="4"/>
      <c r="DU121" s="4"/>
      <c r="DV121" s="4"/>
    </row>
    <row r="122">
      <c r="A122" s="2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4"/>
      <c r="DP122" s="4"/>
      <c r="DQ122" s="4"/>
      <c r="DR122" s="4"/>
      <c r="DS122" s="4"/>
      <c r="DT122" s="4"/>
      <c r="DU122" s="4"/>
      <c r="DV122" s="4"/>
    </row>
    <row r="123">
      <c r="A123" s="2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4"/>
      <c r="DP123" s="4"/>
      <c r="DQ123" s="4"/>
      <c r="DR123" s="4"/>
      <c r="DS123" s="4"/>
      <c r="DT123" s="4"/>
      <c r="DU123" s="4"/>
      <c r="DV123" s="4"/>
    </row>
    <row r="124">
      <c r="A124" s="2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4"/>
      <c r="DP124" s="4"/>
      <c r="DQ124" s="4"/>
      <c r="DR124" s="4"/>
      <c r="DS124" s="4"/>
      <c r="DT124" s="4"/>
      <c r="DU124" s="4"/>
      <c r="DV124" s="4"/>
    </row>
    <row r="125">
      <c r="A125" s="2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4"/>
      <c r="DP125" s="4"/>
      <c r="DQ125" s="4"/>
      <c r="DR125" s="4"/>
      <c r="DS125" s="4"/>
      <c r="DT125" s="4"/>
      <c r="DU125" s="4"/>
      <c r="DV125" s="4"/>
    </row>
    <row r="126">
      <c r="A126" s="2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4"/>
      <c r="DP126" s="4"/>
      <c r="DQ126" s="4"/>
      <c r="DR126" s="4"/>
      <c r="DS126" s="4"/>
      <c r="DT126" s="4"/>
      <c r="DU126" s="4"/>
      <c r="DV126" s="4"/>
    </row>
    <row r="127">
      <c r="A127" s="2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4"/>
      <c r="DP127" s="4"/>
      <c r="DQ127" s="4"/>
      <c r="DR127" s="4"/>
      <c r="DS127" s="4"/>
      <c r="DT127" s="4"/>
      <c r="DU127" s="4"/>
      <c r="DV127" s="4"/>
    </row>
    <row r="128">
      <c r="A128" s="2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4"/>
      <c r="DT128" s="4"/>
      <c r="DU128" s="4"/>
      <c r="DV128" s="4"/>
    </row>
    <row r="129">
      <c r="A129" s="2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4"/>
      <c r="DP129" s="4"/>
      <c r="DQ129" s="4"/>
      <c r="DR129" s="4"/>
      <c r="DS129" s="4"/>
      <c r="DT129" s="4"/>
      <c r="DU129" s="4"/>
      <c r="DV129" s="4"/>
    </row>
    <row r="130">
      <c r="A130" s="2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4"/>
      <c r="DP130" s="4"/>
      <c r="DQ130" s="4"/>
      <c r="DR130" s="4"/>
      <c r="DS130" s="4"/>
      <c r="DT130" s="4"/>
      <c r="DU130" s="4"/>
      <c r="DV130" s="4"/>
    </row>
    <row r="131">
      <c r="A131" s="2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4"/>
      <c r="DP131" s="4"/>
      <c r="DQ131" s="4"/>
      <c r="DR131" s="4"/>
      <c r="DS131" s="4"/>
      <c r="DT131" s="4"/>
      <c r="DU131" s="4"/>
      <c r="DV131" s="4"/>
    </row>
    <row r="132">
      <c r="A132" s="2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4"/>
      <c r="DP132" s="4"/>
      <c r="DQ132" s="4"/>
      <c r="DR132" s="4"/>
      <c r="DS132" s="4"/>
      <c r="DT132" s="4"/>
      <c r="DU132" s="4"/>
      <c r="DV132" s="4"/>
    </row>
    <row r="133">
      <c r="A133" s="2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4"/>
      <c r="DP133" s="4"/>
      <c r="DQ133" s="4"/>
      <c r="DR133" s="4"/>
      <c r="DS133" s="4"/>
      <c r="DT133" s="4"/>
      <c r="DU133" s="4"/>
      <c r="DV133" s="4"/>
    </row>
    <row r="134">
      <c r="A134" s="2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4"/>
      <c r="DP134" s="4"/>
      <c r="DQ134" s="4"/>
      <c r="DR134" s="4"/>
      <c r="DS134" s="4"/>
      <c r="DT134" s="4"/>
      <c r="DU134" s="4"/>
      <c r="DV134" s="4"/>
    </row>
    <row r="135">
      <c r="A135" s="2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4"/>
      <c r="DP135" s="4"/>
      <c r="DQ135" s="4"/>
      <c r="DR135" s="4"/>
      <c r="DS135" s="4"/>
      <c r="DT135" s="4"/>
      <c r="DU135" s="4"/>
      <c r="DV135" s="4"/>
    </row>
    <row r="136">
      <c r="A136" s="2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4"/>
      <c r="DP136" s="4"/>
      <c r="DQ136" s="4"/>
      <c r="DR136" s="4"/>
      <c r="DS136" s="4"/>
      <c r="DT136" s="4"/>
      <c r="DU136" s="4"/>
      <c r="DV136" s="4"/>
    </row>
    <row r="137">
      <c r="A137" s="2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4"/>
      <c r="DP137" s="4"/>
      <c r="DQ137" s="4"/>
      <c r="DR137" s="4"/>
      <c r="DS137" s="4"/>
      <c r="DT137" s="4"/>
      <c r="DU137" s="4"/>
      <c r="DV137" s="4"/>
    </row>
    <row r="138">
      <c r="A138" s="2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4"/>
      <c r="DP138" s="4"/>
      <c r="DQ138" s="4"/>
      <c r="DR138" s="4"/>
      <c r="DS138" s="4"/>
      <c r="DT138" s="4"/>
      <c r="DU138" s="4"/>
      <c r="DV138" s="4"/>
    </row>
    <row r="139">
      <c r="A139" s="2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4"/>
      <c r="DP139" s="4"/>
      <c r="DQ139" s="4"/>
      <c r="DR139" s="4"/>
      <c r="DS139" s="4"/>
      <c r="DT139" s="4"/>
      <c r="DU139" s="4"/>
      <c r="DV139" s="4"/>
    </row>
    <row r="140">
      <c r="A140" s="2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4"/>
      <c r="DP140" s="4"/>
      <c r="DQ140" s="4"/>
      <c r="DR140" s="4"/>
      <c r="DS140" s="4"/>
      <c r="DT140" s="4"/>
      <c r="DU140" s="4"/>
      <c r="DV140" s="4"/>
    </row>
    <row r="141">
      <c r="A141" s="2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4"/>
      <c r="DP141" s="4"/>
      <c r="DQ141" s="4"/>
      <c r="DR141" s="4"/>
      <c r="DS141" s="4"/>
      <c r="DT141" s="4"/>
      <c r="DU141" s="4"/>
      <c r="DV141" s="4"/>
    </row>
    <row r="142">
      <c r="A142" s="2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4"/>
      <c r="DP142" s="4"/>
      <c r="DQ142" s="4"/>
      <c r="DR142" s="4"/>
      <c r="DS142" s="4"/>
      <c r="DT142" s="4"/>
      <c r="DU142" s="4"/>
      <c r="DV142" s="4"/>
    </row>
    <row r="143">
      <c r="A143" s="2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4"/>
      <c r="DP143" s="4"/>
      <c r="DQ143" s="4"/>
      <c r="DR143" s="4"/>
      <c r="DS143" s="4"/>
      <c r="DT143" s="4"/>
      <c r="DU143" s="4"/>
      <c r="DV143" s="4"/>
    </row>
    <row r="144">
      <c r="A144" s="2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4"/>
      <c r="DP144" s="4"/>
      <c r="DQ144" s="4"/>
      <c r="DR144" s="4"/>
      <c r="DS144" s="4"/>
      <c r="DT144" s="4"/>
      <c r="DU144" s="4"/>
      <c r="DV144" s="4"/>
    </row>
    <row r="145">
      <c r="A145" s="2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4"/>
      <c r="DP145" s="4"/>
      <c r="DQ145" s="4"/>
      <c r="DR145" s="4"/>
      <c r="DS145" s="4"/>
      <c r="DT145" s="4"/>
      <c r="DU145" s="4"/>
      <c r="DV145" s="4"/>
    </row>
    <row r="146">
      <c r="A146" s="2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4"/>
      <c r="DP146" s="4"/>
      <c r="DQ146" s="4"/>
      <c r="DR146" s="4"/>
      <c r="DS146" s="4"/>
      <c r="DT146" s="4"/>
      <c r="DU146" s="4"/>
      <c r="DV146" s="4"/>
    </row>
    <row r="147">
      <c r="A147" s="2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4"/>
      <c r="DP147" s="4"/>
      <c r="DQ147" s="4"/>
      <c r="DR147" s="4"/>
      <c r="DS147" s="4"/>
      <c r="DT147" s="4"/>
      <c r="DU147" s="4"/>
      <c r="DV147" s="4"/>
    </row>
    <row r="148">
      <c r="A148" s="2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4"/>
      <c r="DP148" s="4"/>
      <c r="DQ148" s="4"/>
      <c r="DR148" s="4"/>
      <c r="DS148" s="4"/>
      <c r="DT148" s="4"/>
      <c r="DU148" s="4"/>
      <c r="DV148" s="4"/>
    </row>
    <row r="149">
      <c r="A149" s="2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4"/>
      <c r="DP149" s="4"/>
      <c r="DQ149" s="4"/>
      <c r="DR149" s="4"/>
      <c r="DS149" s="4"/>
      <c r="DT149" s="4"/>
      <c r="DU149" s="4"/>
      <c r="DV149" s="4"/>
    </row>
    <row r="150">
      <c r="A150" s="2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4"/>
      <c r="DP150" s="4"/>
      <c r="DQ150" s="4"/>
      <c r="DR150" s="4"/>
      <c r="DS150" s="4"/>
      <c r="DT150" s="4"/>
      <c r="DU150" s="4"/>
      <c r="DV150" s="4"/>
    </row>
    <row r="151">
      <c r="A151" s="2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4"/>
      <c r="DP151" s="4"/>
      <c r="DQ151" s="4"/>
      <c r="DR151" s="4"/>
      <c r="DS151" s="4"/>
      <c r="DT151" s="4"/>
      <c r="DU151" s="4"/>
      <c r="DV151" s="4"/>
    </row>
    <row r="152">
      <c r="A152" s="2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4"/>
      <c r="DP152" s="4"/>
      <c r="DQ152" s="4"/>
      <c r="DR152" s="4"/>
      <c r="DS152" s="4"/>
      <c r="DT152" s="4"/>
      <c r="DU152" s="4"/>
      <c r="DV152" s="4"/>
    </row>
    <row r="153">
      <c r="A153" s="2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4"/>
      <c r="DP153" s="4"/>
      <c r="DQ153" s="4"/>
      <c r="DR153" s="4"/>
      <c r="DS153" s="4"/>
      <c r="DT153" s="4"/>
      <c r="DU153" s="4"/>
      <c r="DV153" s="4"/>
    </row>
    <row r="154">
      <c r="A154" s="2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4"/>
      <c r="DP154" s="4"/>
      <c r="DQ154" s="4"/>
      <c r="DR154" s="4"/>
      <c r="DS154" s="4"/>
      <c r="DT154" s="4"/>
      <c r="DU154" s="4"/>
      <c r="DV154" s="4"/>
    </row>
    <row r="155">
      <c r="A155" s="2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4"/>
      <c r="DP155" s="4"/>
      <c r="DQ155" s="4"/>
      <c r="DR155" s="4"/>
      <c r="DS155" s="4"/>
      <c r="DT155" s="4"/>
      <c r="DU155" s="4"/>
      <c r="DV155" s="4"/>
    </row>
    <row r="156">
      <c r="A156" s="2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4"/>
      <c r="DP156" s="4"/>
      <c r="DQ156" s="4"/>
      <c r="DR156" s="4"/>
      <c r="DS156" s="4"/>
      <c r="DT156" s="4"/>
      <c r="DU156" s="4"/>
      <c r="DV156" s="4"/>
    </row>
    <row r="157">
      <c r="A157" s="2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4"/>
      <c r="DP157" s="4"/>
      <c r="DQ157" s="4"/>
      <c r="DR157" s="4"/>
      <c r="DS157" s="4"/>
      <c r="DT157" s="4"/>
      <c r="DU157" s="4"/>
      <c r="DV157" s="4"/>
    </row>
    <row r="158">
      <c r="A158" s="2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4"/>
      <c r="DP158" s="4"/>
      <c r="DQ158" s="4"/>
      <c r="DR158" s="4"/>
      <c r="DS158" s="4"/>
      <c r="DT158" s="4"/>
      <c r="DU158" s="4"/>
      <c r="DV158" s="4"/>
    </row>
    <row r="159">
      <c r="A159" s="2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4"/>
      <c r="DP159" s="4"/>
      <c r="DQ159" s="4"/>
      <c r="DR159" s="4"/>
      <c r="DS159" s="4"/>
      <c r="DT159" s="4"/>
      <c r="DU159" s="4"/>
      <c r="DV159" s="4"/>
    </row>
    <row r="160">
      <c r="A160" s="2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4"/>
      <c r="DP160" s="4"/>
      <c r="DQ160" s="4"/>
      <c r="DR160" s="4"/>
      <c r="DS160" s="4"/>
      <c r="DT160" s="4"/>
      <c r="DU160" s="4"/>
      <c r="DV160" s="4"/>
    </row>
    <row r="161">
      <c r="A161" s="2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4"/>
      <c r="DP161" s="4"/>
      <c r="DQ161" s="4"/>
      <c r="DR161" s="4"/>
      <c r="DS161" s="4"/>
      <c r="DT161" s="4"/>
      <c r="DU161" s="4"/>
      <c r="DV161" s="4"/>
    </row>
    <row r="162">
      <c r="A162" s="2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4"/>
      <c r="DP162" s="4"/>
      <c r="DQ162" s="4"/>
      <c r="DR162" s="4"/>
      <c r="DS162" s="4"/>
      <c r="DT162" s="4"/>
      <c r="DU162" s="4"/>
      <c r="DV162" s="4"/>
    </row>
    <row r="163">
      <c r="A163" s="2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4"/>
      <c r="DP163" s="4"/>
      <c r="DQ163" s="4"/>
      <c r="DR163" s="4"/>
      <c r="DS163" s="4"/>
      <c r="DT163" s="4"/>
      <c r="DU163" s="4"/>
      <c r="DV163" s="4"/>
    </row>
    <row r="164">
      <c r="A164" s="2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4"/>
      <c r="DP164" s="4"/>
      <c r="DQ164" s="4"/>
      <c r="DR164" s="4"/>
      <c r="DS164" s="4"/>
      <c r="DT164" s="4"/>
      <c r="DU164" s="4"/>
      <c r="DV164" s="4"/>
    </row>
    <row r="165">
      <c r="A165" s="2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4"/>
      <c r="DP165" s="4"/>
      <c r="DQ165" s="4"/>
      <c r="DR165" s="4"/>
      <c r="DS165" s="4"/>
      <c r="DT165" s="4"/>
      <c r="DU165" s="4"/>
      <c r="DV165" s="4"/>
    </row>
    <row r="166">
      <c r="A166" s="2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4"/>
      <c r="DP166" s="4"/>
      <c r="DQ166" s="4"/>
      <c r="DR166" s="4"/>
      <c r="DS166" s="4"/>
      <c r="DT166" s="4"/>
      <c r="DU166" s="4"/>
      <c r="DV166" s="4"/>
    </row>
    <row r="167">
      <c r="A167" s="2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4"/>
      <c r="DP167" s="4"/>
      <c r="DQ167" s="4"/>
      <c r="DR167" s="4"/>
      <c r="DS167" s="4"/>
      <c r="DT167" s="4"/>
      <c r="DU167" s="4"/>
      <c r="DV167" s="4"/>
    </row>
    <row r="168">
      <c r="A168" s="2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4"/>
      <c r="DR168" s="4"/>
      <c r="DS168" s="4"/>
      <c r="DT168" s="4"/>
      <c r="DU168" s="4"/>
      <c r="DV168" s="4"/>
    </row>
    <row r="169">
      <c r="A169" s="2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4"/>
      <c r="DP169" s="4"/>
      <c r="DQ169" s="4"/>
      <c r="DR169" s="4"/>
      <c r="DS169" s="4"/>
      <c r="DT169" s="4"/>
      <c r="DU169" s="4"/>
      <c r="DV169" s="4"/>
    </row>
    <row r="170">
      <c r="A170" s="2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4"/>
      <c r="DP170" s="4"/>
      <c r="DQ170" s="4"/>
      <c r="DR170" s="4"/>
      <c r="DS170" s="4"/>
      <c r="DT170" s="4"/>
      <c r="DU170" s="4"/>
      <c r="DV170" s="4"/>
    </row>
    <row r="171">
      <c r="A171" s="2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4"/>
      <c r="DT171" s="4"/>
      <c r="DU171" s="4"/>
      <c r="DV171" s="4"/>
    </row>
    <row r="172">
      <c r="A172" s="2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4"/>
      <c r="DP172" s="4"/>
      <c r="DQ172" s="4"/>
      <c r="DR172" s="4"/>
      <c r="DS172" s="4"/>
      <c r="DT172" s="4"/>
      <c r="DU172" s="4"/>
      <c r="DV172" s="4"/>
    </row>
    <row r="173">
      <c r="A173" s="2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4"/>
      <c r="DP173" s="4"/>
      <c r="DQ173" s="4"/>
      <c r="DR173" s="4"/>
      <c r="DS173" s="4"/>
      <c r="DT173" s="4"/>
      <c r="DU173" s="4"/>
      <c r="DV173" s="4"/>
    </row>
    <row r="174">
      <c r="A174" s="2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4"/>
      <c r="DP174" s="4"/>
      <c r="DQ174" s="4"/>
      <c r="DR174" s="4"/>
      <c r="DS174" s="4"/>
      <c r="DT174" s="4"/>
      <c r="DU174" s="4"/>
      <c r="DV174" s="4"/>
    </row>
    <row r="175">
      <c r="A175" s="2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4"/>
      <c r="DP175" s="4"/>
      <c r="DQ175" s="4"/>
      <c r="DR175" s="4"/>
      <c r="DS175" s="4"/>
      <c r="DT175" s="4"/>
      <c r="DU175" s="4"/>
      <c r="DV175" s="4"/>
    </row>
    <row r="176">
      <c r="A176" s="2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4"/>
      <c r="DP176" s="4"/>
      <c r="DQ176" s="4"/>
      <c r="DR176" s="4"/>
      <c r="DS176" s="4"/>
      <c r="DT176" s="4"/>
      <c r="DU176" s="4"/>
      <c r="DV176" s="4"/>
    </row>
    <row r="177">
      <c r="A177" s="2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4"/>
      <c r="DP177" s="4"/>
      <c r="DQ177" s="4"/>
      <c r="DR177" s="4"/>
      <c r="DS177" s="4"/>
      <c r="DT177" s="4"/>
      <c r="DU177" s="4"/>
      <c r="DV177" s="4"/>
    </row>
    <row r="178">
      <c r="A178" s="2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4"/>
      <c r="DP178" s="4"/>
      <c r="DQ178" s="4"/>
      <c r="DR178" s="4"/>
      <c r="DS178" s="4"/>
      <c r="DT178" s="4"/>
      <c r="DU178" s="4"/>
      <c r="DV178" s="4"/>
    </row>
    <row r="179">
      <c r="A179" s="2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4"/>
      <c r="DP179" s="4"/>
      <c r="DQ179" s="4"/>
      <c r="DR179" s="4"/>
      <c r="DS179" s="4"/>
      <c r="DT179" s="4"/>
      <c r="DU179" s="4"/>
      <c r="DV179" s="4"/>
    </row>
    <row r="180">
      <c r="A180" s="2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4"/>
      <c r="DP180" s="4"/>
      <c r="DQ180" s="4"/>
      <c r="DR180" s="4"/>
      <c r="DS180" s="4"/>
      <c r="DT180" s="4"/>
      <c r="DU180" s="4"/>
      <c r="DV180" s="4"/>
    </row>
    <row r="181">
      <c r="A181" s="2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4"/>
      <c r="DP181" s="4"/>
      <c r="DQ181" s="4"/>
      <c r="DR181" s="4"/>
      <c r="DS181" s="4"/>
      <c r="DT181" s="4"/>
      <c r="DU181" s="4"/>
      <c r="DV181" s="4"/>
    </row>
    <row r="182">
      <c r="A182" s="2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4"/>
      <c r="DP182" s="4"/>
      <c r="DQ182" s="4"/>
      <c r="DR182" s="4"/>
      <c r="DS182" s="4"/>
      <c r="DT182" s="4"/>
      <c r="DU182" s="4"/>
      <c r="DV182" s="4"/>
    </row>
    <row r="183">
      <c r="A183" s="2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4"/>
      <c r="DP183" s="4"/>
      <c r="DQ183" s="4"/>
      <c r="DR183" s="4"/>
      <c r="DS183" s="4"/>
      <c r="DT183" s="4"/>
      <c r="DU183" s="4"/>
      <c r="DV183" s="4"/>
    </row>
    <row r="184">
      <c r="A184" s="2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4"/>
      <c r="DP184" s="4"/>
      <c r="DQ184" s="4"/>
      <c r="DR184" s="4"/>
      <c r="DS184" s="4"/>
      <c r="DT184" s="4"/>
      <c r="DU184" s="4"/>
      <c r="DV184" s="4"/>
    </row>
    <row r="185">
      <c r="A185" s="2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4"/>
      <c r="DP185" s="4"/>
      <c r="DQ185" s="4"/>
      <c r="DR185" s="4"/>
      <c r="DS185" s="4"/>
      <c r="DT185" s="4"/>
      <c r="DU185" s="4"/>
      <c r="DV185" s="4"/>
    </row>
    <row r="186">
      <c r="A186" s="2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4"/>
      <c r="DP186" s="4"/>
      <c r="DQ186" s="4"/>
      <c r="DR186" s="4"/>
      <c r="DS186" s="4"/>
      <c r="DT186" s="4"/>
      <c r="DU186" s="4"/>
      <c r="DV186" s="4"/>
    </row>
    <row r="187">
      <c r="A187" s="2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4"/>
      <c r="DP187" s="4"/>
      <c r="DQ187" s="4"/>
      <c r="DR187" s="4"/>
      <c r="DS187" s="4"/>
      <c r="DT187" s="4"/>
      <c r="DU187" s="4"/>
      <c r="DV187" s="4"/>
    </row>
    <row r="188">
      <c r="A188" s="2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4"/>
      <c r="DP188" s="4"/>
      <c r="DQ188" s="4"/>
      <c r="DR188" s="4"/>
      <c r="DS188" s="4"/>
      <c r="DT188" s="4"/>
      <c r="DU188" s="4"/>
      <c r="DV188" s="4"/>
    </row>
    <row r="189">
      <c r="A189" s="2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4"/>
      <c r="DP189" s="4"/>
      <c r="DQ189" s="4"/>
      <c r="DR189" s="4"/>
      <c r="DS189" s="4"/>
      <c r="DT189" s="4"/>
      <c r="DU189" s="4"/>
      <c r="DV189" s="4"/>
    </row>
    <row r="190">
      <c r="A190" s="2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4"/>
      <c r="DR190" s="4"/>
      <c r="DS190" s="4"/>
      <c r="DT190" s="4"/>
      <c r="DU190" s="4"/>
      <c r="DV190" s="4"/>
    </row>
    <row r="191">
      <c r="A191" s="2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4"/>
      <c r="DP191" s="4"/>
      <c r="DQ191" s="4"/>
      <c r="DR191" s="4"/>
      <c r="DS191" s="4"/>
      <c r="DT191" s="4"/>
      <c r="DU191" s="4"/>
      <c r="DV191" s="4"/>
    </row>
    <row r="192">
      <c r="A192" s="2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4"/>
      <c r="DT192" s="4"/>
      <c r="DU192" s="4"/>
      <c r="DV192" s="4"/>
    </row>
    <row r="193">
      <c r="A193" s="2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4"/>
      <c r="DT193" s="4"/>
      <c r="DU193" s="4"/>
      <c r="DV193" s="4"/>
    </row>
    <row r="194">
      <c r="A194" s="2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/>
      <c r="DP194" s="4"/>
      <c r="DQ194" s="4"/>
      <c r="DR194" s="4"/>
      <c r="DS194" s="4"/>
      <c r="DT194" s="4"/>
      <c r="DU194" s="4"/>
      <c r="DV194" s="4"/>
    </row>
    <row r="195">
      <c r="A195" s="2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4"/>
      <c r="DR195" s="4"/>
      <c r="DS195" s="4"/>
      <c r="DT195" s="4"/>
      <c r="DU195" s="4"/>
      <c r="DV195" s="4"/>
    </row>
    <row r="196">
      <c r="A196" s="2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4"/>
      <c r="DR196" s="4"/>
      <c r="DS196" s="4"/>
      <c r="DT196" s="4"/>
      <c r="DU196" s="4"/>
      <c r="DV196" s="4"/>
    </row>
    <row r="197">
      <c r="A197" s="2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4"/>
      <c r="DR197" s="4"/>
      <c r="DS197" s="4"/>
      <c r="DT197" s="4"/>
      <c r="DU197" s="4"/>
      <c r="DV197" s="4"/>
    </row>
    <row r="198">
      <c r="A198" s="2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4"/>
      <c r="DR198" s="4"/>
      <c r="DS198" s="4"/>
      <c r="DT198" s="4"/>
      <c r="DU198" s="4"/>
      <c r="DV198" s="4"/>
    </row>
    <row r="199">
      <c r="A199" s="2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4"/>
      <c r="DP199" s="4"/>
      <c r="DQ199" s="4"/>
      <c r="DR199" s="4"/>
      <c r="DS199" s="4"/>
      <c r="DT199" s="4"/>
      <c r="DU199" s="4"/>
      <c r="DV199" s="4"/>
    </row>
    <row r="200">
      <c r="A200" s="2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4"/>
      <c r="DP200" s="4"/>
      <c r="DQ200" s="4"/>
      <c r="DR200" s="4"/>
      <c r="DS200" s="4"/>
      <c r="DT200" s="4"/>
      <c r="DU200" s="4"/>
      <c r="DV200" s="4"/>
    </row>
    <row r="201">
      <c r="A201" s="2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4"/>
      <c r="DP201" s="4"/>
      <c r="DQ201" s="4"/>
      <c r="DR201" s="4"/>
      <c r="DS201" s="4"/>
      <c r="DT201" s="4"/>
      <c r="DU201" s="4"/>
      <c r="DV201" s="4"/>
    </row>
    <row r="202">
      <c r="A202" s="2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4"/>
      <c r="DP202" s="4"/>
      <c r="DQ202" s="4"/>
      <c r="DR202" s="4"/>
      <c r="DS202" s="4"/>
      <c r="DT202" s="4"/>
      <c r="DU202" s="4"/>
      <c r="DV202" s="4"/>
    </row>
    <row r="203">
      <c r="A203" s="2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4"/>
      <c r="DP203" s="4"/>
      <c r="DQ203" s="4"/>
      <c r="DR203" s="4"/>
      <c r="DS203" s="4"/>
      <c r="DT203" s="4"/>
      <c r="DU203" s="4"/>
      <c r="DV203" s="4"/>
    </row>
    <row r="204">
      <c r="A204" s="2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4"/>
      <c r="DP204" s="4"/>
      <c r="DQ204" s="4"/>
      <c r="DR204" s="4"/>
      <c r="DS204" s="4"/>
      <c r="DT204" s="4"/>
      <c r="DU204" s="4"/>
      <c r="DV204" s="4"/>
    </row>
    <row r="205">
      <c r="A205" s="2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4"/>
      <c r="DP205" s="4"/>
      <c r="DQ205" s="4"/>
      <c r="DR205" s="4"/>
      <c r="DS205" s="4"/>
      <c r="DT205" s="4"/>
      <c r="DU205" s="4"/>
      <c r="DV205" s="4"/>
    </row>
    <row r="206">
      <c r="A206" s="2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4"/>
      <c r="DP206" s="4"/>
      <c r="DQ206" s="4"/>
      <c r="DR206" s="4"/>
      <c r="DS206" s="4"/>
      <c r="DT206" s="4"/>
      <c r="DU206" s="4"/>
      <c r="DV206" s="4"/>
    </row>
    <row r="207">
      <c r="A207" s="2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4"/>
      <c r="DP207" s="4"/>
      <c r="DQ207" s="4"/>
      <c r="DR207" s="4"/>
      <c r="DS207" s="4"/>
      <c r="DT207" s="4"/>
      <c r="DU207" s="4"/>
      <c r="DV207" s="4"/>
    </row>
    <row r="208">
      <c r="A208" s="2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4"/>
      <c r="DP208" s="4"/>
      <c r="DQ208" s="4"/>
      <c r="DR208" s="4"/>
      <c r="DS208" s="4"/>
      <c r="DT208" s="4"/>
      <c r="DU208" s="4"/>
      <c r="DV208" s="4"/>
    </row>
    <row r="209">
      <c r="A209" s="2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4"/>
      <c r="DP209" s="4"/>
      <c r="DQ209" s="4"/>
      <c r="DR209" s="4"/>
      <c r="DS209" s="4"/>
      <c r="DT209" s="4"/>
      <c r="DU209" s="4"/>
      <c r="DV209" s="4"/>
    </row>
    <row r="210">
      <c r="A210" s="2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4"/>
      <c r="DP210" s="4"/>
      <c r="DQ210" s="4"/>
      <c r="DR210" s="4"/>
      <c r="DS210" s="4"/>
      <c r="DT210" s="4"/>
      <c r="DU210" s="4"/>
      <c r="DV210" s="4"/>
    </row>
    <row r="211">
      <c r="A211" s="2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4"/>
      <c r="DT211" s="4"/>
      <c r="DU211" s="4"/>
      <c r="DV211" s="4"/>
    </row>
    <row r="212">
      <c r="A212" s="2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4"/>
      <c r="DT212" s="4"/>
      <c r="DU212" s="4"/>
      <c r="DV212" s="4"/>
    </row>
    <row r="213">
      <c r="A213" s="2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4"/>
      <c r="DP213" s="4"/>
      <c r="DQ213" s="4"/>
      <c r="DR213" s="4"/>
      <c r="DS213" s="4"/>
      <c r="DT213" s="4"/>
      <c r="DU213" s="4"/>
      <c r="DV213" s="4"/>
    </row>
    <row r="214">
      <c r="A214" s="2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4"/>
      <c r="DP214" s="4"/>
      <c r="DQ214" s="4"/>
      <c r="DR214" s="4"/>
      <c r="DS214" s="4"/>
      <c r="DT214" s="4"/>
      <c r="DU214" s="4"/>
      <c r="DV214" s="4"/>
    </row>
    <row r="215">
      <c r="A215" s="2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4"/>
      <c r="DP215" s="4"/>
      <c r="DQ215" s="4"/>
      <c r="DR215" s="4"/>
      <c r="DS215" s="4"/>
      <c r="DT215" s="4"/>
      <c r="DU215" s="4"/>
      <c r="DV215" s="4"/>
    </row>
    <row r="216">
      <c r="A216" s="2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4"/>
      <c r="DP216" s="4"/>
      <c r="DQ216" s="4"/>
      <c r="DR216" s="4"/>
      <c r="DS216" s="4"/>
      <c r="DT216" s="4"/>
      <c r="DU216" s="4"/>
      <c r="DV216" s="4"/>
    </row>
    <row r="217">
      <c r="A217" s="2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4"/>
      <c r="DP217" s="4"/>
      <c r="DQ217" s="4"/>
      <c r="DR217" s="4"/>
      <c r="DS217" s="4"/>
      <c r="DT217" s="4"/>
      <c r="DU217" s="4"/>
      <c r="DV217" s="4"/>
    </row>
    <row r="218">
      <c r="A218" s="2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4"/>
      <c r="DP218" s="4"/>
      <c r="DQ218" s="4"/>
      <c r="DR218" s="4"/>
      <c r="DS218" s="4"/>
      <c r="DT218" s="4"/>
      <c r="DU218" s="4"/>
      <c r="DV218" s="4"/>
    </row>
    <row r="219">
      <c r="A219" s="2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4"/>
      <c r="DP219" s="4"/>
      <c r="DQ219" s="4"/>
      <c r="DR219" s="4"/>
      <c r="DS219" s="4"/>
      <c r="DT219" s="4"/>
      <c r="DU219" s="4"/>
      <c r="DV219" s="4"/>
    </row>
    <row r="220">
      <c r="A220" s="2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4"/>
      <c r="DP220" s="4"/>
      <c r="DQ220" s="4"/>
      <c r="DR220" s="4"/>
      <c r="DS220" s="4"/>
      <c r="DT220" s="4"/>
      <c r="DU220" s="4"/>
      <c r="DV220" s="4"/>
    </row>
    <row r="221">
      <c r="A221" s="2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4"/>
      <c r="DP221" s="4"/>
      <c r="DQ221" s="4"/>
      <c r="DR221" s="4"/>
      <c r="DS221" s="4"/>
      <c r="DT221" s="4"/>
      <c r="DU221" s="4"/>
      <c r="DV221" s="4"/>
    </row>
    <row r="222">
      <c r="A222" s="2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4"/>
      <c r="DP222" s="4"/>
      <c r="DQ222" s="4"/>
      <c r="DR222" s="4"/>
      <c r="DS222" s="4"/>
      <c r="DT222" s="4"/>
      <c r="DU222" s="4"/>
      <c r="DV222" s="4"/>
    </row>
    <row r="223">
      <c r="A223" s="2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4"/>
      <c r="DP223" s="4"/>
      <c r="DQ223" s="4"/>
      <c r="DR223" s="4"/>
      <c r="DS223" s="4"/>
      <c r="DT223" s="4"/>
      <c r="DU223" s="4"/>
      <c r="DV223" s="4"/>
    </row>
    <row r="224">
      <c r="A224" s="2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4"/>
      <c r="DP224" s="4"/>
      <c r="DQ224" s="4"/>
      <c r="DR224" s="4"/>
      <c r="DS224" s="4"/>
      <c r="DT224" s="4"/>
      <c r="DU224" s="4"/>
      <c r="DV224" s="4"/>
    </row>
    <row r="225">
      <c r="A225" s="2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4"/>
      <c r="DP225" s="4"/>
      <c r="DQ225" s="4"/>
      <c r="DR225" s="4"/>
      <c r="DS225" s="4"/>
      <c r="DT225" s="4"/>
      <c r="DU225" s="4"/>
      <c r="DV225" s="4"/>
    </row>
    <row r="226">
      <c r="A226" s="2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4"/>
      <c r="DP226" s="4"/>
      <c r="DQ226" s="4"/>
      <c r="DR226" s="4"/>
      <c r="DS226" s="4"/>
      <c r="DT226" s="4"/>
      <c r="DU226" s="4"/>
      <c r="DV226" s="4"/>
    </row>
    <row r="227">
      <c r="A227" s="2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4"/>
      <c r="DP227" s="4"/>
      <c r="DQ227" s="4"/>
      <c r="DR227" s="4"/>
      <c r="DS227" s="4"/>
      <c r="DT227" s="4"/>
      <c r="DU227" s="4"/>
      <c r="DV227" s="4"/>
    </row>
    <row r="228">
      <c r="A228" s="2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4"/>
      <c r="DP228" s="4"/>
      <c r="DQ228" s="4"/>
      <c r="DR228" s="4"/>
      <c r="DS228" s="4"/>
      <c r="DT228" s="4"/>
      <c r="DU228" s="4"/>
      <c r="DV228" s="4"/>
    </row>
    <row r="229">
      <c r="A229" s="2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4"/>
      <c r="DP229" s="4"/>
      <c r="DQ229" s="4"/>
      <c r="DR229" s="4"/>
      <c r="DS229" s="4"/>
      <c r="DT229" s="4"/>
      <c r="DU229" s="4"/>
      <c r="DV229" s="4"/>
    </row>
    <row r="230">
      <c r="A230" s="2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4"/>
      <c r="DP230" s="4"/>
      <c r="DQ230" s="4"/>
      <c r="DR230" s="4"/>
      <c r="DS230" s="4"/>
      <c r="DT230" s="4"/>
      <c r="DU230" s="4"/>
      <c r="DV230" s="4"/>
    </row>
    <row r="231">
      <c r="A231" s="2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4"/>
      <c r="DP231" s="4"/>
      <c r="DQ231" s="4"/>
      <c r="DR231" s="4"/>
      <c r="DS231" s="4"/>
      <c r="DT231" s="4"/>
      <c r="DU231" s="4"/>
      <c r="DV231" s="4"/>
    </row>
    <row r="232">
      <c r="A232" s="2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4"/>
      <c r="DP232" s="4"/>
      <c r="DQ232" s="4"/>
      <c r="DR232" s="4"/>
      <c r="DS232" s="4"/>
      <c r="DT232" s="4"/>
      <c r="DU232" s="4"/>
      <c r="DV232" s="4"/>
    </row>
    <row r="233">
      <c r="A233" s="2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4"/>
      <c r="DP233" s="4"/>
      <c r="DQ233" s="4"/>
      <c r="DR233" s="4"/>
      <c r="DS233" s="4"/>
      <c r="DT233" s="4"/>
      <c r="DU233" s="4"/>
      <c r="DV233" s="4"/>
    </row>
    <row r="234">
      <c r="A234" s="2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4"/>
      <c r="DP234" s="4"/>
      <c r="DQ234" s="4"/>
      <c r="DR234" s="4"/>
      <c r="DS234" s="4"/>
      <c r="DT234" s="4"/>
      <c r="DU234" s="4"/>
      <c r="DV234" s="4"/>
    </row>
    <row r="235">
      <c r="A235" s="2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4"/>
      <c r="DP235" s="4"/>
      <c r="DQ235" s="4"/>
      <c r="DR235" s="4"/>
      <c r="DS235" s="4"/>
      <c r="DT235" s="4"/>
      <c r="DU235" s="4"/>
      <c r="DV235" s="4"/>
    </row>
    <row r="236">
      <c r="A236" s="2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4"/>
      <c r="DP236" s="4"/>
      <c r="DQ236" s="4"/>
      <c r="DR236" s="4"/>
      <c r="DS236" s="4"/>
      <c r="DT236" s="4"/>
      <c r="DU236" s="4"/>
      <c r="DV236" s="4"/>
    </row>
    <row r="237">
      <c r="A237" s="2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4"/>
      <c r="DP237" s="4"/>
      <c r="DQ237" s="4"/>
      <c r="DR237" s="4"/>
      <c r="DS237" s="4"/>
      <c r="DT237" s="4"/>
      <c r="DU237" s="4"/>
      <c r="DV237" s="4"/>
    </row>
    <row r="238">
      <c r="A238" s="2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4"/>
      <c r="DT238" s="4"/>
      <c r="DU238" s="4"/>
      <c r="DV238" s="4"/>
    </row>
    <row r="239">
      <c r="A239" s="2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4"/>
      <c r="DT239" s="4"/>
      <c r="DU239" s="4"/>
      <c r="DV239" s="4"/>
    </row>
    <row r="240">
      <c r="A240" s="2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4"/>
      <c r="DT240" s="4"/>
      <c r="DU240" s="4"/>
      <c r="DV240" s="4"/>
    </row>
    <row r="241">
      <c r="A241" s="2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4"/>
      <c r="DT241" s="4"/>
      <c r="DU241" s="4"/>
      <c r="DV241" s="4"/>
    </row>
    <row r="242">
      <c r="A242" s="2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4"/>
      <c r="DT242" s="4"/>
      <c r="DU242" s="4"/>
      <c r="DV242" s="4"/>
    </row>
    <row r="243">
      <c r="A243" s="2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4"/>
      <c r="DT243" s="4"/>
      <c r="DU243" s="4"/>
      <c r="DV243" s="4"/>
    </row>
    <row r="244">
      <c r="A244" s="2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4"/>
      <c r="DP244" s="4"/>
      <c r="DQ244" s="4"/>
      <c r="DR244" s="4"/>
      <c r="DS244" s="4"/>
      <c r="DT244" s="4"/>
      <c r="DU244" s="4"/>
      <c r="DV244" s="4"/>
    </row>
    <row r="245">
      <c r="A245" s="2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4"/>
      <c r="DP245" s="4"/>
      <c r="DQ245" s="4"/>
      <c r="DR245" s="4"/>
      <c r="DS245" s="4"/>
      <c r="DT245" s="4"/>
      <c r="DU245" s="4"/>
      <c r="DV245" s="4"/>
    </row>
    <row r="246">
      <c r="A246" s="2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4"/>
      <c r="DT246" s="4"/>
      <c r="DU246" s="4"/>
      <c r="DV246" s="4"/>
    </row>
    <row r="247">
      <c r="A247" s="2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4"/>
      <c r="DP247" s="4"/>
      <c r="DQ247" s="4"/>
      <c r="DR247" s="4"/>
      <c r="DS247" s="4"/>
      <c r="DT247" s="4"/>
      <c r="DU247" s="4"/>
      <c r="DV247" s="4"/>
    </row>
    <row r="248">
      <c r="A248" s="2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4"/>
      <c r="DP248" s="4"/>
      <c r="DQ248" s="4"/>
      <c r="DR248" s="4"/>
      <c r="DS248" s="4"/>
      <c r="DT248" s="4"/>
      <c r="DU248" s="4"/>
      <c r="DV248" s="4"/>
    </row>
    <row r="249">
      <c r="A249" s="2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4"/>
      <c r="DP249" s="4"/>
      <c r="DQ249" s="4"/>
      <c r="DR249" s="4"/>
      <c r="DS249" s="4"/>
      <c r="DT249" s="4"/>
      <c r="DU249" s="4"/>
      <c r="DV249" s="4"/>
    </row>
    <row r="250">
      <c r="A250" s="2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4"/>
      <c r="DP250" s="4"/>
      <c r="DQ250" s="4"/>
      <c r="DR250" s="4"/>
      <c r="DS250" s="4"/>
      <c r="DT250" s="4"/>
      <c r="DU250" s="4"/>
      <c r="DV250" s="4"/>
    </row>
    <row r="251">
      <c r="A251" s="2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4"/>
      <c r="DP251" s="4"/>
      <c r="DQ251" s="4"/>
      <c r="DR251" s="4"/>
      <c r="DS251" s="4"/>
      <c r="DT251" s="4"/>
      <c r="DU251" s="4"/>
      <c r="DV251" s="4"/>
    </row>
    <row r="252">
      <c r="A252" s="2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4"/>
      <c r="DP252" s="4"/>
      <c r="DQ252" s="4"/>
      <c r="DR252" s="4"/>
      <c r="DS252" s="4"/>
      <c r="DT252" s="4"/>
      <c r="DU252" s="4"/>
      <c r="DV252" s="4"/>
    </row>
    <row r="253">
      <c r="A253" s="2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4"/>
      <c r="DP253" s="4"/>
      <c r="DQ253" s="4"/>
      <c r="DR253" s="4"/>
      <c r="DS253" s="4"/>
      <c r="DT253" s="4"/>
      <c r="DU253" s="4"/>
      <c r="DV253" s="4"/>
    </row>
    <row r="254">
      <c r="A254" s="2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4"/>
      <c r="DP254" s="4"/>
      <c r="DQ254" s="4"/>
      <c r="DR254" s="4"/>
      <c r="DS254" s="4"/>
      <c r="DT254" s="4"/>
      <c r="DU254" s="4"/>
      <c r="DV254" s="4"/>
    </row>
    <row r="255">
      <c r="A255" s="2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4"/>
      <c r="DP255" s="4"/>
      <c r="DQ255" s="4"/>
      <c r="DR255" s="4"/>
      <c r="DS255" s="4"/>
      <c r="DT255" s="4"/>
      <c r="DU255" s="4"/>
      <c r="DV255" s="4"/>
    </row>
    <row r="256">
      <c r="A256" s="2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4"/>
      <c r="DP256" s="4"/>
      <c r="DQ256" s="4"/>
      <c r="DR256" s="4"/>
      <c r="DS256" s="4"/>
      <c r="DT256" s="4"/>
      <c r="DU256" s="4"/>
      <c r="DV256" s="4"/>
    </row>
    <row r="257">
      <c r="A257" s="2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4"/>
      <c r="DP257" s="4"/>
      <c r="DQ257" s="4"/>
      <c r="DR257" s="4"/>
      <c r="DS257" s="4"/>
      <c r="DT257" s="4"/>
      <c r="DU257" s="4"/>
      <c r="DV257" s="4"/>
    </row>
    <row r="258">
      <c r="A258" s="2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4"/>
      <c r="DP258" s="4"/>
      <c r="DQ258" s="4"/>
      <c r="DR258" s="4"/>
      <c r="DS258" s="4"/>
      <c r="DT258" s="4"/>
      <c r="DU258" s="4"/>
      <c r="DV258" s="4"/>
    </row>
    <row r="259">
      <c r="A259" s="2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4"/>
      <c r="DP259" s="4"/>
      <c r="DQ259" s="4"/>
      <c r="DR259" s="4"/>
      <c r="DS259" s="4"/>
      <c r="DT259" s="4"/>
      <c r="DU259" s="4"/>
      <c r="DV259" s="4"/>
    </row>
    <row r="260">
      <c r="A260" s="2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4"/>
      <c r="DT260" s="4"/>
      <c r="DU260" s="4"/>
      <c r="DV260" s="4"/>
    </row>
    <row r="261">
      <c r="A261" s="2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4"/>
      <c r="DP261" s="4"/>
      <c r="DQ261" s="4"/>
      <c r="DR261" s="4"/>
      <c r="DS261" s="4"/>
      <c r="DT261" s="4"/>
      <c r="DU261" s="4"/>
      <c r="DV261" s="4"/>
    </row>
    <row r="262">
      <c r="A262" s="2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4"/>
      <c r="DP262" s="4"/>
      <c r="DQ262" s="4"/>
      <c r="DR262" s="4"/>
      <c r="DS262" s="4"/>
      <c r="DT262" s="4"/>
      <c r="DU262" s="4"/>
      <c r="DV262" s="4"/>
    </row>
    <row r="263">
      <c r="A263" s="2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4"/>
      <c r="DP263" s="4"/>
      <c r="DQ263" s="4"/>
      <c r="DR263" s="4"/>
      <c r="DS263" s="4"/>
      <c r="DT263" s="4"/>
      <c r="DU263" s="4"/>
      <c r="DV263" s="4"/>
    </row>
    <row r="264">
      <c r="A264" s="2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4"/>
      <c r="DP264" s="4"/>
      <c r="DQ264" s="4"/>
      <c r="DR264" s="4"/>
      <c r="DS264" s="4"/>
      <c r="DT264" s="4"/>
      <c r="DU264" s="4"/>
      <c r="DV264" s="4"/>
    </row>
    <row r="265">
      <c r="A265" s="2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4"/>
      <c r="DP265" s="4"/>
      <c r="DQ265" s="4"/>
      <c r="DR265" s="4"/>
      <c r="DS265" s="4"/>
      <c r="DT265" s="4"/>
      <c r="DU265" s="4"/>
      <c r="DV265" s="4"/>
    </row>
    <row r="266">
      <c r="A266" s="2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4"/>
      <c r="DP266" s="4"/>
      <c r="DQ266" s="4"/>
      <c r="DR266" s="4"/>
      <c r="DS266" s="4"/>
      <c r="DT266" s="4"/>
      <c r="DU266" s="4"/>
      <c r="DV266" s="4"/>
    </row>
    <row r="267">
      <c r="A267" s="2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4"/>
      <c r="DP267" s="4"/>
      <c r="DQ267" s="4"/>
      <c r="DR267" s="4"/>
      <c r="DS267" s="4"/>
      <c r="DT267" s="4"/>
      <c r="DU267" s="4"/>
      <c r="DV267" s="4"/>
    </row>
    <row r="268">
      <c r="A268" s="2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4"/>
      <c r="DT268" s="4"/>
      <c r="DU268" s="4"/>
      <c r="DV268" s="4"/>
    </row>
    <row r="269">
      <c r="A269" s="2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4"/>
      <c r="DP269" s="4"/>
      <c r="DQ269" s="4"/>
      <c r="DR269" s="4"/>
      <c r="DS269" s="4"/>
      <c r="DT269" s="4"/>
      <c r="DU269" s="4"/>
      <c r="DV269" s="4"/>
    </row>
    <row r="270">
      <c r="A270" s="2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4"/>
      <c r="DP270" s="4"/>
      <c r="DQ270" s="4"/>
      <c r="DR270" s="4"/>
      <c r="DS270" s="4"/>
      <c r="DT270" s="4"/>
      <c r="DU270" s="4"/>
      <c r="DV270" s="4"/>
    </row>
    <row r="271">
      <c r="A271" s="2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4"/>
      <c r="DP271" s="4"/>
      <c r="DQ271" s="4"/>
      <c r="DR271" s="4"/>
      <c r="DS271" s="4"/>
      <c r="DT271" s="4"/>
      <c r="DU271" s="4"/>
      <c r="DV271" s="4"/>
    </row>
    <row r="272">
      <c r="A272" s="2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4"/>
      <c r="DP272" s="4"/>
      <c r="DQ272" s="4"/>
      <c r="DR272" s="4"/>
      <c r="DS272" s="4"/>
      <c r="DT272" s="4"/>
      <c r="DU272" s="4"/>
      <c r="DV272" s="4"/>
    </row>
    <row r="273">
      <c r="A273" s="2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4"/>
      <c r="DP273" s="4"/>
      <c r="DQ273" s="4"/>
      <c r="DR273" s="4"/>
      <c r="DS273" s="4"/>
      <c r="DT273" s="4"/>
      <c r="DU273" s="4"/>
      <c r="DV273" s="4"/>
    </row>
    <row r="274">
      <c r="A274" s="2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4"/>
      <c r="DP274" s="4"/>
      <c r="DQ274" s="4"/>
      <c r="DR274" s="4"/>
      <c r="DS274" s="4"/>
      <c r="DT274" s="4"/>
      <c r="DU274" s="4"/>
      <c r="DV274" s="4"/>
    </row>
    <row r="275">
      <c r="A275" s="2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4"/>
      <c r="DP275" s="4"/>
      <c r="DQ275" s="4"/>
      <c r="DR275" s="4"/>
      <c r="DS275" s="4"/>
      <c r="DT275" s="4"/>
      <c r="DU275" s="4"/>
      <c r="DV275" s="4"/>
    </row>
    <row r="276">
      <c r="A276" s="2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4"/>
      <c r="DP276" s="4"/>
      <c r="DQ276" s="4"/>
      <c r="DR276" s="4"/>
      <c r="DS276" s="4"/>
      <c r="DT276" s="4"/>
      <c r="DU276" s="4"/>
      <c r="DV276" s="4"/>
    </row>
    <row r="277">
      <c r="A277" s="2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4"/>
      <c r="DP277" s="4"/>
      <c r="DQ277" s="4"/>
      <c r="DR277" s="4"/>
      <c r="DS277" s="4"/>
      <c r="DT277" s="4"/>
      <c r="DU277" s="4"/>
      <c r="DV277" s="4"/>
    </row>
    <row r="278">
      <c r="A278" s="2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4"/>
      <c r="DT278" s="4"/>
      <c r="DU278" s="4"/>
      <c r="DV278" s="4"/>
    </row>
    <row r="279">
      <c r="A279" s="2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4"/>
      <c r="DT279" s="4"/>
      <c r="DU279" s="4"/>
      <c r="DV279" s="4"/>
    </row>
    <row r="280">
      <c r="A280" s="2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4"/>
      <c r="DT280" s="4"/>
      <c r="DU280" s="4"/>
      <c r="DV280" s="4"/>
    </row>
    <row r="281">
      <c r="A281" s="2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4"/>
      <c r="DT281" s="4"/>
      <c r="DU281" s="4"/>
      <c r="DV281" s="4"/>
    </row>
    <row r="282">
      <c r="A282" s="2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4"/>
      <c r="DT282" s="4"/>
      <c r="DU282" s="4"/>
      <c r="DV282" s="4"/>
    </row>
    <row r="283">
      <c r="A283" s="2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4"/>
      <c r="DT283" s="4"/>
      <c r="DU283" s="4"/>
      <c r="DV283" s="4"/>
    </row>
    <row r="284">
      <c r="A284" s="2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4"/>
      <c r="DT284" s="4"/>
      <c r="DU284" s="4"/>
      <c r="DV284" s="4"/>
    </row>
    <row r="285">
      <c r="A285" s="2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4"/>
      <c r="DT285" s="4"/>
      <c r="DU285" s="4"/>
      <c r="DV285" s="4"/>
    </row>
    <row r="286">
      <c r="A286" s="2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4"/>
      <c r="DT286" s="4"/>
      <c r="DU286" s="4"/>
      <c r="DV286" s="4"/>
    </row>
    <row r="287">
      <c r="A287" s="2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4"/>
      <c r="DT287" s="4"/>
      <c r="DU287" s="4"/>
      <c r="DV287" s="4"/>
    </row>
    <row r="288">
      <c r="A288" s="2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4"/>
      <c r="DT288" s="4"/>
      <c r="DU288" s="4"/>
      <c r="DV288" s="4"/>
    </row>
    <row r="289">
      <c r="A289" s="2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4"/>
      <c r="DT289" s="4"/>
      <c r="DU289" s="4"/>
      <c r="DV289" s="4"/>
    </row>
    <row r="290">
      <c r="A290" s="2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4"/>
      <c r="DT290" s="4"/>
      <c r="DU290" s="4"/>
      <c r="DV290" s="4"/>
    </row>
    <row r="291">
      <c r="A291" s="2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4"/>
      <c r="DT291" s="4"/>
      <c r="DU291" s="4"/>
      <c r="DV291" s="4"/>
    </row>
    <row r="292">
      <c r="A292" s="2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4"/>
      <c r="DT292" s="4"/>
      <c r="DU292" s="4"/>
      <c r="DV292" s="4"/>
    </row>
    <row r="293">
      <c r="A293" s="2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4"/>
      <c r="DP293" s="4"/>
      <c r="DQ293" s="4"/>
      <c r="DR293" s="4"/>
      <c r="DS293" s="4"/>
      <c r="DT293" s="4"/>
      <c r="DU293" s="4"/>
      <c r="DV293" s="4"/>
    </row>
    <row r="294">
      <c r="A294" s="2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4"/>
      <c r="DP294" s="4"/>
      <c r="DQ294" s="4"/>
      <c r="DR294" s="4"/>
      <c r="DS294" s="4"/>
      <c r="DT294" s="4"/>
      <c r="DU294" s="4"/>
      <c r="DV294" s="4"/>
    </row>
    <row r="295">
      <c r="A295" s="2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4"/>
      <c r="DP295" s="4"/>
      <c r="DQ295" s="4"/>
      <c r="DR295" s="4"/>
      <c r="DS295" s="4"/>
      <c r="DT295" s="4"/>
      <c r="DU295" s="4"/>
      <c r="DV295" s="4"/>
    </row>
    <row r="296">
      <c r="A296" s="2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4"/>
      <c r="DP296" s="4"/>
      <c r="DQ296" s="4"/>
      <c r="DR296" s="4"/>
      <c r="DS296" s="4"/>
      <c r="DT296" s="4"/>
      <c r="DU296" s="4"/>
      <c r="DV296" s="4"/>
    </row>
    <row r="297">
      <c r="A297" s="2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4"/>
      <c r="DP297" s="4"/>
      <c r="DQ297" s="4"/>
      <c r="DR297" s="4"/>
      <c r="DS297" s="4"/>
      <c r="DT297" s="4"/>
      <c r="DU297" s="4"/>
      <c r="DV297" s="4"/>
    </row>
    <row r="298">
      <c r="A298" s="2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4"/>
      <c r="DP298" s="4"/>
      <c r="DQ298" s="4"/>
      <c r="DR298" s="4"/>
      <c r="DS298" s="4"/>
      <c r="DT298" s="4"/>
      <c r="DU298" s="4"/>
      <c r="DV298" s="4"/>
    </row>
    <row r="299">
      <c r="A299" s="2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4"/>
      <c r="DP299" s="4"/>
      <c r="DQ299" s="4"/>
      <c r="DR299" s="4"/>
      <c r="DS299" s="4"/>
      <c r="DT299" s="4"/>
      <c r="DU299" s="4"/>
      <c r="DV299" s="4"/>
    </row>
    <row r="300">
      <c r="A300" s="2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4"/>
      <c r="DP300" s="4"/>
      <c r="DQ300" s="4"/>
      <c r="DR300" s="4"/>
      <c r="DS300" s="4"/>
      <c r="DT300" s="4"/>
      <c r="DU300" s="4"/>
      <c r="DV300" s="4"/>
    </row>
    <row r="301">
      <c r="A301" s="2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4"/>
      <c r="DP301" s="4"/>
      <c r="DQ301" s="4"/>
      <c r="DR301" s="4"/>
      <c r="DS301" s="4"/>
      <c r="DT301" s="4"/>
      <c r="DU301" s="4"/>
      <c r="DV301" s="4"/>
    </row>
    <row r="302">
      <c r="A302" s="2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4"/>
      <c r="DP302" s="4"/>
      <c r="DQ302" s="4"/>
      <c r="DR302" s="4"/>
      <c r="DS302" s="4"/>
      <c r="DT302" s="4"/>
      <c r="DU302" s="4"/>
      <c r="DV302" s="4"/>
    </row>
    <row r="303">
      <c r="A303" s="2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4"/>
      <c r="DP303" s="4"/>
      <c r="DQ303" s="4"/>
      <c r="DR303" s="4"/>
      <c r="DS303" s="4"/>
      <c r="DT303" s="4"/>
      <c r="DU303" s="4"/>
      <c r="DV303" s="4"/>
    </row>
    <row r="304">
      <c r="A304" s="2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4"/>
      <c r="DP304" s="4"/>
      <c r="DQ304" s="4"/>
      <c r="DR304" s="4"/>
      <c r="DS304" s="4"/>
      <c r="DT304" s="4"/>
      <c r="DU304" s="4"/>
      <c r="DV304" s="4"/>
    </row>
    <row r="305">
      <c r="A305" s="2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4"/>
      <c r="DP305" s="4"/>
      <c r="DQ305" s="4"/>
      <c r="DR305" s="4"/>
      <c r="DS305" s="4"/>
      <c r="DT305" s="4"/>
      <c r="DU305" s="4"/>
      <c r="DV305" s="4"/>
    </row>
    <row r="306">
      <c r="A306" s="2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4"/>
      <c r="DP306" s="4"/>
      <c r="DQ306" s="4"/>
      <c r="DR306" s="4"/>
      <c r="DS306" s="4"/>
      <c r="DT306" s="4"/>
      <c r="DU306" s="4"/>
      <c r="DV306" s="4"/>
    </row>
    <row r="307">
      <c r="A307" s="2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4"/>
      <c r="DP307" s="4"/>
      <c r="DQ307" s="4"/>
      <c r="DR307" s="4"/>
      <c r="DS307" s="4"/>
      <c r="DT307" s="4"/>
      <c r="DU307" s="4"/>
      <c r="DV307" s="4"/>
    </row>
    <row r="308">
      <c r="A308" s="2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4"/>
      <c r="DP308" s="4"/>
      <c r="DQ308" s="4"/>
      <c r="DR308" s="4"/>
      <c r="DS308" s="4"/>
      <c r="DT308" s="4"/>
      <c r="DU308" s="4"/>
      <c r="DV308" s="4"/>
    </row>
    <row r="309">
      <c r="A309" s="2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4"/>
      <c r="DP309" s="4"/>
      <c r="DQ309" s="4"/>
      <c r="DR309" s="4"/>
      <c r="DS309" s="4"/>
      <c r="DT309" s="4"/>
      <c r="DU309" s="4"/>
      <c r="DV309" s="4"/>
    </row>
    <row r="310">
      <c r="A310" s="2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4"/>
      <c r="DP310" s="4"/>
      <c r="DQ310" s="4"/>
      <c r="DR310" s="4"/>
      <c r="DS310" s="4"/>
      <c r="DT310" s="4"/>
      <c r="DU310" s="4"/>
      <c r="DV310" s="4"/>
    </row>
    <row r="311">
      <c r="A311" s="2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4"/>
      <c r="DP311" s="4"/>
      <c r="DQ311" s="4"/>
      <c r="DR311" s="4"/>
      <c r="DS311" s="4"/>
      <c r="DT311" s="4"/>
      <c r="DU311" s="4"/>
      <c r="DV311" s="4"/>
    </row>
    <row r="312">
      <c r="A312" s="2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4"/>
      <c r="DP312" s="4"/>
      <c r="DQ312" s="4"/>
      <c r="DR312" s="4"/>
      <c r="DS312" s="4"/>
      <c r="DT312" s="4"/>
      <c r="DU312" s="4"/>
      <c r="DV312" s="4"/>
    </row>
    <row r="313">
      <c r="A313" s="2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4"/>
      <c r="DP313" s="4"/>
      <c r="DQ313" s="4"/>
      <c r="DR313" s="4"/>
      <c r="DS313" s="4"/>
      <c r="DT313" s="4"/>
      <c r="DU313" s="4"/>
      <c r="DV313" s="4"/>
    </row>
    <row r="314">
      <c r="A314" s="2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4"/>
      <c r="DP314" s="4"/>
      <c r="DQ314" s="4"/>
      <c r="DR314" s="4"/>
      <c r="DS314" s="4"/>
      <c r="DT314" s="4"/>
      <c r="DU314" s="4"/>
      <c r="DV314" s="4"/>
    </row>
    <row r="315">
      <c r="A315" s="2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4"/>
      <c r="DP315" s="4"/>
      <c r="DQ315" s="4"/>
      <c r="DR315" s="4"/>
      <c r="DS315" s="4"/>
      <c r="DT315" s="4"/>
      <c r="DU315" s="4"/>
      <c r="DV315" s="4"/>
    </row>
    <row r="316">
      <c r="A316" s="2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4"/>
      <c r="DP316" s="4"/>
      <c r="DQ316" s="4"/>
      <c r="DR316" s="4"/>
      <c r="DS316" s="4"/>
      <c r="DT316" s="4"/>
      <c r="DU316" s="4"/>
      <c r="DV316" s="4"/>
    </row>
    <row r="317">
      <c r="A317" s="2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4"/>
      <c r="DP317" s="4"/>
      <c r="DQ317" s="4"/>
      <c r="DR317" s="4"/>
      <c r="DS317" s="4"/>
      <c r="DT317" s="4"/>
      <c r="DU317" s="4"/>
      <c r="DV317" s="4"/>
    </row>
    <row r="318">
      <c r="A318" s="2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4"/>
      <c r="DP318" s="4"/>
      <c r="DQ318" s="4"/>
      <c r="DR318" s="4"/>
      <c r="DS318" s="4"/>
      <c r="DT318" s="4"/>
      <c r="DU318" s="4"/>
      <c r="DV318" s="4"/>
    </row>
    <row r="319">
      <c r="A319" s="2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4"/>
      <c r="DP319" s="4"/>
      <c r="DQ319" s="4"/>
      <c r="DR319" s="4"/>
      <c r="DS319" s="4"/>
      <c r="DT319" s="4"/>
      <c r="DU319" s="4"/>
      <c r="DV319" s="4"/>
    </row>
    <row r="320">
      <c r="A320" s="2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4"/>
      <c r="DP320" s="4"/>
      <c r="DQ320" s="4"/>
      <c r="DR320" s="4"/>
      <c r="DS320" s="4"/>
      <c r="DT320" s="4"/>
      <c r="DU320" s="4"/>
      <c r="DV320" s="4"/>
    </row>
    <row r="321">
      <c r="A321" s="2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4"/>
      <c r="DP321" s="4"/>
      <c r="DQ321" s="4"/>
      <c r="DR321" s="4"/>
      <c r="DS321" s="4"/>
      <c r="DT321" s="4"/>
      <c r="DU321" s="4"/>
      <c r="DV321" s="4"/>
    </row>
    <row r="322">
      <c r="A322" s="2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4"/>
      <c r="DP322" s="4"/>
      <c r="DQ322" s="4"/>
      <c r="DR322" s="4"/>
      <c r="DS322" s="4"/>
      <c r="DT322" s="4"/>
      <c r="DU322" s="4"/>
      <c r="DV322" s="4"/>
    </row>
    <row r="323">
      <c r="A323" s="2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4"/>
      <c r="DP323" s="4"/>
      <c r="DQ323" s="4"/>
      <c r="DR323" s="4"/>
      <c r="DS323" s="4"/>
      <c r="DT323" s="4"/>
      <c r="DU323" s="4"/>
      <c r="DV323" s="4"/>
    </row>
    <row r="324">
      <c r="A324" s="2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4"/>
      <c r="DP324" s="4"/>
      <c r="DQ324" s="4"/>
      <c r="DR324" s="4"/>
      <c r="DS324" s="4"/>
      <c r="DT324" s="4"/>
      <c r="DU324" s="4"/>
      <c r="DV324" s="4"/>
    </row>
    <row r="325">
      <c r="A325" s="2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4"/>
      <c r="DP325" s="4"/>
      <c r="DQ325" s="4"/>
      <c r="DR325" s="4"/>
      <c r="DS325" s="4"/>
      <c r="DT325" s="4"/>
      <c r="DU325" s="4"/>
      <c r="DV325" s="4"/>
    </row>
    <row r="326">
      <c r="A326" s="2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4"/>
      <c r="DP326" s="4"/>
      <c r="DQ326" s="4"/>
      <c r="DR326" s="4"/>
      <c r="DS326" s="4"/>
      <c r="DT326" s="4"/>
      <c r="DU326" s="4"/>
      <c r="DV326" s="4"/>
    </row>
    <row r="327">
      <c r="A327" s="2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4"/>
      <c r="DP327" s="4"/>
      <c r="DQ327" s="4"/>
      <c r="DR327" s="4"/>
      <c r="DS327" s="4"/>
      <c r="DT327" s="4"/>
      <c r="DU327" s="4"/>
      <c r="DV327" s="4"/>
    </row>
    <row r="328">
      <c r="A328" s="2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4"/>
      <c r="DP328" s="4"/>
      <c r="DQ328" s="4"/>
      <c r="DR328" s="4"/>
      <c r="DS328" s="4"/>
      <c r="DT328" s="4"/>
      <c r="DU328" s="4"/>
      <c r="DV328" s="4"/>
    </row>
    <row r="329">
      <c r="A329" s="2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4"/>
      <c r="DP329" s="4"/>
      <c r="DQ329" s="4"/>
      <c r="DR329" s="4"/>
      <c r="DS329" s="4"/>
      <c r="DT329" s="4"/>
      <c r="DU329" s="4"/>
      <c r="DV329" s="4"/>
    </row>
    <row r="330">
      <c r="A330" s="2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4"/>
      <c r="DP330" s="4"/>
      <c r="DQ330" s="4"/>
      <c r="DR330" s="4"/>
      <c r="DS330" s="4"/>
      <c r="DT330" s="4"/>
      <c r="DU330" s="4"/>
      <c r="DV330" s="4"/>
    </row>
    <row r="331">
      <c r="A331" s="2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4"/>
      <c r="DP331" s="4"/>
      <c r="DQ331" s="4"/>
      <c r="DR331" s="4"/>
      <c r="DS331" s="4"/>
      <c r="DT331" s="4"/>
      <c r="DU331" s="4"/>
      <c r="DV331" s="4"/>
    </row>
    <row r="332">
      <c r="A332" s="2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4"/>
      <c r="DP332" s="4"/>
      <c r="DQ332" s="4"/>
      <c r="DR332" s="4"/>
      <c r="DS332" s="4"/>
      <c r="DT332" s="4"/>
      <c r="DU332" s="4"/>
      <c r="DV332" s="4"/>
    </row>
    <row r="333">
      <c r="A333" s="2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4"/>
      <c r="DP333" s="4"/>
      <c r="DQ333" s="4"/>
      <c r="DR333" s="4"/>
      <c r="DS333" s="4"/>
      <c r="DT333" s="4"/>
      <c r="DU333" s="4"/>
      <c r="DV333" s="4"/>
    </row>
    <row r="334">
      <c r="A334" s="2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4"/>
      <c r="DP334" s="4"/>
      <c r="DQ334" s="4"/>
      <c r="DR334" s="4"/>
      <c r="DS334" s="4"/>
      <c r="DT334" s="4"/>
      <c r="DU334" s="4"/>
      <c r="DV334" s="4"/>
    </row>
    <row r="335">
      <c r="A335" s="2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4"/>
      <c r="DP335" s="4"/>
      <c r="DQ335" s="4"/>
      <c r="DR335" s="4"/>
      <c r="DS335" s="4"/>
      <c r="DT335" s="4"/>
      <c r="DU335" s="4"/>
      <c r="DV335" s="4"/>
    </row>
    <row r="336">
      <c r="A336" s="2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4"/>
      <c r="DP336" s="4"/>
      <c r="DQ336" s="4"/>
      <c r="DR336" s="4"/>
      <c r="DS336" s="4"/>
      <c r="DT336" s="4"/>
      <c r="DU336" s="4"/>
      <c r="DV336" s="4"/>
    </row>
    <row r="337">
      <c r="A337" s="2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4"/>
      <c r="DP337" s="4"/>
      <c r="DQ337" s="4"/>
      <c r="DR337" s="4"/>
      <c r="DS337" s="4"/>
      <c r="DT337" s="4"/>
      <c r="DU337" s="4"/>
      <c r="DV337" s="4"/>
    </row>
    <row r="338">
      <c r="A338" s="2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4"/>
      <c r="DP338" s="4"/>
      <c r="DQ338" s="4"/>
      <c r="DR338" s="4"/>
      <c r="DS338" s="4"/>
      <c r="DT338" s="4"/>
      <c r="DU338" s="4"/>
      <c r="DV338" s="4"/>
    </row>
    <row r="339">
      <c r="A339" s="2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4"/>
      <c r="DP339" s="4"/>
      <c r="DQ339" s="4"/>
      <c r="DR339" s="4"/>
      <c r="DS339" s="4"/>
      <c r="DT339" s="4"/>
      <c r="DU339" s="4"/>
      <c r="DV339" s="4"/>
    </row>
    <row r="340">
      <c r="A340" s="2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4"/>
      <c r="DP340" s="4"/>
      <c r="DQ340" s="4"/>
      <c r="DR340" s="4"/>
      <c r="DS340" s="4"/>
      <c r="DT340" s="4"/>
      <c r="DU340" s="4"/>
      <c r="DV340" s="4"/>
    </row>
    <row r="341">
      <c r="A341" s="2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4"/>
      <c r="DP341" s="4"/>
      <c r="DQ341" s="4"/>
      <c r="DR341" s="4"/>
      <c r="DS341" s="4"/>
      <c r="DT341" s="4"/>
      <c r="DU341" s="4"/>
      <c r="DV341" s="4"/>
    </row>
    <row r="342">
      <c r="A342" s="2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4"/>
      <c r="DP342" s="4"/>
      <c r="DQ342" s="4"/>
      <c r="DR342" s="4"/>
      <c r="DS342" s="4"/>
      <c r="DT342" s="4"/>
      <c r="DU342" s="4"/>
      <c r="DV342" s="4"/>
    </row>
    <row r="343">
      <c r="A343" s="2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4"/>
      <c r="DP343" s="4"/>
      <c r="DQ343" s="4"/>
      <c r="DR343" s="4"/>
      <c r="DS343" s="4"/>
      <c r="DT343" s="4"/>
      <c r="DU343" s="4"/>
      <c r="DV343" s="4"/>
    </row>
    <row r="344">
      <c r="A344" s="2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4"/>
      <c r="DP344" s="4"/>
      <c r="DQ344" s="4"/>
      <c r="DR344" s="4"/>
      <c r="DS344" s="4"/>
      <c r="DT344" s="4"/>
      <c r="DU344" s="4"/>
      <c r="DV344" s="4"/>
    </row>
    <row r="345">
      <c r="A345" s="2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4"/>
      <c r="DP345" s="4"/>
      <c r="DQ345" s="4"/>
      <c r="DR345" s="4"/>
      <c r="DS345" s="4"/>
      <c r="DT345" s="4"/>
      <c r="DU345" s="4"/>
      <c r="DV345" s="4"/>
    </row>
    <row r="346">
      <c r="A346" s="2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4"/>
      <c r="DP346" s="4"/>
      <c r="DQ346" s="4"/>
      <c r="DR346" s="4"/>
      <c r="DS346" s="4"/>
      <c r="DT346" s="4"/>
      <c r="DU346" s="4"/>
      <c r="DV346" s="4"/>
    </row>
    <row r="347">
      <c r="A347" s="2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4"/>
      <c r="DP347" s="4"/>
      <c r="DQ347" s="4"/>
      <c r="DR347" s="4"/>
      <c r="DS347" s="4"/>
      <c r="DT347" s="4"/>
      <c r="DU347" s="4"/>
      <c r="DV347" s="4"/>
    </row>
    <row r="348">
      <c r="A348" s="2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4"/>
      <c r="DP348" s="4"/>
      <c r="DQ348" s="4"/>
      <c r="DR348" s="4"/>
      <c r="DS348" s="4"/>
      <c r="DT348" s="4"/>
      <c r="DU348" s="4"/>
      <c r="DV348" s="4"/>
    </row>
    <row r="349">
      <c r="A349" s="2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4"/>
      <c r="DP349" s="4"/>
      <c r="DQ349" s="4"/>
      <c r="DR349" s="4"/>
      <c r="DS349" s="4"/>
      <c r="DT349" s="4"/>
      <c r="DU349" s="4"/>
      <c r="DV349" s="4"/>
    </row>
    <row r="350">
      <c r="A350" s="2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4"/>
      <c r="DP350" s="4"/>
      <c r="DQ350" s="4"/>
      <c r="DR350" s="4"/>
      <c r="DS350" s="4"/>
      <c r="DT350" s="4"/>
      <c r="DU350" s="4"/>
      <c r="DV350" s="4"/>
    </row>
    <row r="351">
      <c r="A351" s="2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4"/>
      <c r="DP351" s="4"/>
      <c r="DQ351" s="4"/>
      <c r="DR351" s="4"/>
      <c r="DS351" s="4"/>
      <c r="DT351" s="4"/>
      <c r="DU351" s="4"/>
      <c r="DV351" s="4"/>
    </row>
    <row r="352">
      <c r="A352" s="2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4"/>
      <c r="DP352" s="4"/>
      <c r="DQ352" s="4"/>
      <c r="DR352" s="4"/>
      <c r="DS352" s="4"/>
      <c r="DT352" s="4"/>
      <c r="DU352" s="4"/>
      <c r="DV352" s="4"/>
    </row>
    <row r="353">
      <c r="A353" s="2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4"/>
      <c r="DP353" s="4"/>
      <c r="DQ353" s="4"/>
      <c r="DR353" s="4"/>
      <c r="DS353" s="4"/>
      <c r="DT353" s="4"/>
      <c r="DU353" s="4"/>
      <c r="DV353" s="4"/>
    </row>
    <row r="354">
      <c r="A354" s="2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4"/>
      <c r="DP354" s="4"/>
      <c r="DQ354" s="4"/>
      <c r="DR354" s="4"/>
      <c r="DS354" s="4"/>
      <c r="DT354" s="4"/>
      <c r="DU354" s="4"/>
      <c r="DV354" s="4"/>
    </row>
    <row r="355">
      <c r="A355" s="2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4"/>
      <c r="DP355" s="4"/>
      <c r="DQ355" s="4"/>
      <c r="DR355" s="4"/>
      <c r="DS355" s="4"/>
      <c r="DT355" s="4"/>
      <c r="DU355" s="4"/>
      <c r="DV355" s="4"/>
    </row>
    <row r="356">
      <c r="A356" s="2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4"/>
      <c r="DP356" s="4"/>
      <c r="DQ356" s="4"/>
      <c r="DR356" s="4"/>
      <c r="DS356" s="4"/>
      <c r="DT356" s="4"/>
      <c r="DU356" s="4"/>
      <c r="DV356" s="4"/>
    </row>
    <row r="357">
      <c r="A357" s="2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4"/>
      <c r="DP357" s="4"/>
      <c r="DQ357" s="4"/>
      <c r="DR357" s="4"/>
      <c r="DS357" s="4"/>
      <c r="DT357" s="4"/>
      <c r="DU357" s="4"/>
      <c r="DV357" s="4"/>
    </row>
    <row r="358">
      <c r="A358" s="2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  <c r="CI358" s="4"/>
      <c r="CJ358" s="4"/>
      <c r="CK358" s="4"/>
      <c r="CL358" s="4"/>
      <c r="CM358" s="4"/>
      <c r="CN358" s="4"/>
      <c r="CO358" s="4"/>
      <c r="CP358" s="4"/>
      <c r="CQ358" s="4"/>
      <c r="CR358" s="4"/>
      <c r="CS358" s="4"/>
      <c r="CT358" s="4"/>
      <c r="CU358" s="4"/>
      <c r="CV358" s="4"/>
      <c r="CW358" s="4"/>
      <c r="CX358" s="4"/>
      <c r="CY358" s="4"/>
      <c r="CZ358" s="4"/>
      <c r="DA358" s="4"/>
      <c r="DB358" s="4"/>
      <c r="DC358" s="4"/>
      <c r="DD358" s="4"/>
      <c r="DE358" s="4"/>
      <c r="DF358" s="4"/>
      <c r="DG358" s="4"/>
      <c r="DH358" s="4"/>
      <c r="DI358" s="4"/>
      <c r="DJ358" s="4"/>
      <c r="DK358" s="4"/>
      <c r="DL358" s="4"/>
      <c r="DM358" s="4"/>
      <c r="DN358" s="4"/>
      <c r="DO358" s="4"/>
      <c r="DP358" s="4"/>
      <c r="DQ358" s="4"/>
      <c r="DR358" s="4"/>
      <c r="DS358" s="4"/>
      <c r="DT358" s="4"/>
      <c r="DU358" s="4"/>
      <c r="DV358" s="4"/>
    </row>
    <row r="359">
      <c r="A359" s="2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  <c r="CI359" s="4"/>
      <c r="CJ359" s="4"/>
      <c r="CK359" s="4"/>
      <c r="CL359" s="4"/>
      <c r="CM359" s="4"/>
      <c r="CN359" s="4"/>
      <c r="CO359" s="4"/>
      <c r="CP359" s="4"/>
      <c r="CQ359" s="4"/>
      <c r="CR359" s="4"/>
      <c r="CS359" s="4"/>
      <c r="CT359" s="4"/>
      <c r="CU359" s="4"/>
      <c r="CV359" s="4"/>
      <c r="CW359" s="4"/>
      <c r="CX359" s="4"/>
      <c r="CY359" s="4"/>
      <c r="CZ359" s="4"/>
      <c r="DA359" s="4"/>
      <c r="DB359" s="4"/>
      <c r="DC359" s="4"/>
      <c r="DD359" s="4"/>
      <c r="DE359" s="4"/>
      <c r="DF359" s="4"/>
      <c r="DG359" s="4"/>
      <c r="DH359" s="4"/>
      <c r="DI359" s="4"/>
      <c r="DJ359" s="4"/>
      <c r="DK359" s="4"/>
      <c r="DL359" s="4"/>
      <c r="DM359" s="4"/>
      <c r="DN359" s="4"/>
      <c r="DO359" s="4"/>
      <c r="DP359" s="4"/>
      <c r="DQ359" s="4"/>
      <c r="DR359" s="4"/>
      <c r="DS359" s="4"/>
      <c r="DT359" s="4"/>
      <c r="DU359" s="4"/>
      <c r="DV359" s="4"/>
    </row>
    <row r="360">
      <c r="A360" s="2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  <c r="CI360" s="4"/>
      <c r="CJ360" s="4"/>
      <c r="CK360" s="4"/>
      <c r="CL360" s="4"/>
      <c r="CM360" s="4"/>
      <c r="CN360" s="4"/>
      <c r="CO360" s="4"/>
      <c r="CP360" s="4"/>
      <c r="CQ360" s="4"/>
      <c r="CR360" s="4"/>
      <c r="CS360" s="4"/>
      <c r="CT360" s="4"/>
      <c r="CU360" s="4"/>
      <c r="CV360" s="4"/>
      <c r="CW360" s="4"/>
      <c r="CX360" s="4"/>
      <c r="CY360" s="4"/>
      <c r="CZ360" s="4"/>
      <c r="DA360" s="4"/>
      <c r="DB360" s="4"/>
      <c r="DC360" s="4"/>
      <c r="DD360" s="4"/>
      <c r="DE360" s="4"/>
      <c r="DF360" s="4"/>
      <c r="DG360" s="4"/>
      <c r="DH360" s="4"/>
      <c r="DI360" s="4"/>
      <c r="DJ360" s="4"/>
      <c r="DK360" s="4"/>
      <c r="DL360" s="4"/>
      <c r="DM360" s="4"/>
      <c r="DN360" s="4"/>
      <c r="DO360" s="4"/>
      <c r="DP360" s="4"/>
      <c r="DQ360" s="4"/>
      <c r="DR360" s="4"/>
      <c r="DS360" s="4"/>
      <c r="DT360" s="4"/>
      <c r="DU360" s="4"/>
      <c r="DV360" s="4"/>
    </row>
    <row r="361">
      <c r="A361" s="2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  <c r="CI361" s="4"/>
      <c r="CJ361" s="4"/>
      <c r="CK361" s="4"/>
      <c r="CL361" s="4"/>
      <c r="CM361" s="4"/>
      <c r="CN361" s="4"/>
      <c r="CO361" s="4"/>
      <c r="CP361" s="4"/>
      <c r="CQ361" s="4"/>
      <c r="CR361" s="4"/>
      <c r="CS361" s="4"/>
      <c r="CT361" s="4"/>
      <c r="CU361" s="4"/>
      <c r="CV361" s="4"/>
      <c r="CW361" s="4"/>
      <c r="CX361" s="4"/>
      <c r="CY361" s="4"/>
      <c r="CZ361" s="4"/>
      <c r="DA361" s="4"/>
      <c r="DB361" s="4"/>
      <c r="DC361" s="4"/>
      <c r="DD361" s="4"/>
      <c r="DE361" s="4"/>
      <c r="DF361" s="4"/>
      <c r="DG361" s="4"/>
      <c r="DH361" s="4"/>
      <c r="DI361" s="4"/>
      <c r="DJ361" s="4"/>
      <c r="DK361" s="4"/>
      <c r="DL361" s="4"/>
      <c r="DM361" s="4"/>
      <c r="DN361" s="4"/>
      <c r="DO361" s="4"/>
      <c r="DP361" s="4"/>
      <c r="DQ361" s="4"/>
      <c r="DR361" s="4"/>
      <c r="DS361" s="4"/>
      <c r="DT361" s="4"/>
      <c r="DU361" s="4"/>
      <c r="DV361" s="4"/>
    </row>
    <row r="362">
      <c r="A362" s="2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  <c r="CI362" s="4"/>
      <c r="CJ362" s="4"/>
      <c r="CK362" s="4"/>
      <c r="CL362" s="4"/>
      <c r="CM362" s="4"/>
      <c r="CN362" s="4"/>
      <c r="CO362" s="4"/>
      <c r="CP362" s="4"/>
      <c r="CQ362" s="4"/>
      <c r="CR362" s="4"/>
      <c r="CS362" s="4"/>
      <c r="CT362" s="4"/>
      <c r="CU362" s="4"/>
      <c r="CV362" s="4"/>
      <c r="CW362" s="4"/>
      <c r="CX362" s="4"/>
      <c r="CY362" s="4"/>
      <c r="CZ362" s="4"/>
      <c r="DA362" s="4"/>
      <c r="DB362" s="4"/>
      <c r="DC362" s="4"/>
      <c r="DD362" s="4"/>
      <c r="DE362" s="4"/>
      <c r="DF362" s="4"/>
      <c r="DG362" s="4"/>
      <c r="DH362" s="4"/>
      <c r="DI362" s="4"/>
      <c r="DJ362" s="4"/>
      <c r="DK362" s="4"/>
      <c r="DL362" s="4"/>
      <c r="DM362" s="4"/>
      <c r="DN362" s="4"/>
      <c r="DO362" s="4"/>
      <c r="DP362" s="4"/>
      <c r="DQ362" s="4"/>
      <c r="DR362" s="4"/>
      <c r="DS362" s="4"/>
      <c r="DT362" s="4"/>
      <c r="DU362" s="4"/>
      <c r="DV362" s="4"/>
    </row>
    <row r="363">
      <c r="A363" s="2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  <c r="CI363" s="4"/>
      <c r="CJ363" s="4"/>
      <c r="CK363" s="4"/>
      <c r="CL363" s="4"/>
      <c r="CM363" s="4"/>
      <c r="CN363" s="4"/>
      <c r="CO363" s="4"/>
      <c r="CP363" s="4"/>
      <c r="CQ363" s="4"/>
      <c r="CR363" s="4"/>
      <c r="CS363" s="4"/>
      <c r="CT363" s="4"/>
      <c r="CU363" s="4"/>
      <c r="CV363" s="4"/>
      <c r="CW363" s="4"/>
      <c r="CX363" s="4"/>
      <c r="CY363" s="4"/>
      <c r="CZ363" s="4"/>
      <c r="DA363" s="4"/>
      <c r="DB363" s="4"/>
      <c r="DC363" s="4"/>
      <c r="DD363" s="4"/>
      <c r="DE363" s="4"/>
      <c r="DF363" s="4"/>
      <c r="DG363" s="4"/>
      <c r="DH363" s="4"/>
      <c r="DI363" s="4"/>
      <c r="DJ363" s="4"/>
      <c r="DK363" s="4"/>
      <c r="DL363" s="4"/>
      <c r="DM363" s="4"/>
      <c r="DN363" s="4"/>
      <c r="DO363" s="4"/>
      <c r="DP363" s="4"/>
      <c r="DQ363" s="4"/>
      <c r="DR363" s="4"/>
      <c r="DS363" s="4"/>
      <c r="DT363" s="4"/>
      <c r="DU363" s="4"/>
      <c r="DV363" s="4"/>
    </row>
    <row r="364">
      <c r="A364" s="2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  <c r="CI364" s="4"/>
      <c r="CJ364" s="4"/>
      <c r="CK364" s="4"/>
      <c r="CL364" s="4"/>
      <c r="CM364" s="4"/>
      <c r="CN364" s="4"/>
      <c r="CO364" s="4"/>
      <c r="CP364" s="4"/>
      <c r="CQ364" s="4"/>
      <c r="CR364" s="4"/>
      <c r="CS364" s="4"/>
      <c r="CT364" s="4"/>
      <c r="CU364" s="4"/>
      <c r="CV364" s="4"/>
      <c r="CW364" s="4"/>
      <c r="CX364" s="4"/>
      <c r="CY364" s="4"/>
      <c r="CZ364" s="4"/>
      <c r="DA364" s="4"/>
      <c r="DB364" s="4"/>
      <c r="DC364" s="4"/>
      <c r="DD364" s="4"/>
      <c r="DE364" s="4"/>
      <c r="DF364" s="4"/>
      <c r="DG364" s="4"/>
      <c r="DH364" s="4"/>
      <c r="DI364" s="4"/>
      <c r="DJ364" s="4"/>
      <c r="DK364" s="4"/>
      <c r="DL364" s="4"/>
      <c r="DM364" s="4"/>
      <c r="DN364" s="4"/>
      <c r="DO364" s="4"/>
      <c r="DP364" s="4"/>
      <c r="DQ364" s="4"/>
      <c r="DR364" s="4"/>
      <c r="DS364" s="4"/>
      <c r="DT364" s="4"/>
      <c r="DU364" s="4"/>
      <c r="DV364" s="4"/>
    </row>
    <row r="365">
      <c r="A365" s="2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  <c r="CI365" s="4"/>
      <c r="CJ365" s="4"/>
      <c r="CK365" s="4"/>
      <c r="CL365" s="4"/>
      <c r="CM365" s="4"/>
      <c r="CN365" s="4"/>
      <c r="CO365" s="4"/>
      <c r="CP365" s="4"/>
      <c r="CQ365" s="4"/>
      <c r="CR365" s="4"/>
      <c r="CS365" s="4"/>
      <c r="CT365" s="4"/>
      <c r="CU365" s="4"/>
      <c r="CV365" s="4"/>
      <c r="CW365" s="4"/>
      <c r="CX365" s="4"/>
      <c r="CY365" s="4"/>
      <c r="CZ365" s="4"/>
      <c r="DA365" s="4"/>
      <c r="DB365" s="4"/>
      <c r="DC365" s="4"/>
      <c r="DD365" s="4"/>
      <c r="DE365" s="4"/>
      <c r="DF365" s="4"/>
      <c r="DG365" s="4"/>
      <c r="DH365" s="4"/>
      <c r="DI365" s="4"/>
      <c r="DJ365" s="4"/>
      <c r="DK365" s="4"/>
      <c r="DL365" s="4"/>
      <c r="DM365" s="4"/>
      <c r="DN365" s="4"/>
      <c r="DO365" s="4"/>
      <c r="DP365" s="4"/>
      <c r="DQ365" s="4"/>
      <c r="DR365" s="4"/>
      <c r="DS365" s="4"/>
      <c r="DT365" s="4"/>
      <c r="DU365" s="4"/>
      <c r="DV365" s="4"/>
    </row>
    <row r="366">
      <c r="A366" s="2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  <c r="CI366" s="4"/>
      <c r="CJ366" s="4"/>
      <c r="CK366" s="4"/>
      <c r="CL366" s="4"/>
      <c r="CM366" s="4"/>
      <c r="CN366" s="4"/>
      <c r="CO366" s="4"/>
      <c r="CP366" s="4"/>
      <c r="CQ366" s="4"/>
      <c r="CR366" s="4"/>
      <c r="CS366" s="4"/>
      <c r="CT366" s="4"/>
      <c r="CU366" s="4"/>
      <c r="CV366" s="4"/>
      <c r="CW366" s="4"/>
      <c r="CX366" s="4"/>
      <c r="CY366" s="4"/>
      <c r="CZ366" s="4"/>
      <c r="DA366" s="4"/>
      <c r="DB366" s="4"/>
      <c r="DC366" s="4"/>
      <c r="DD366" s="4"/>
      <c r="DE366" s="4"/>
      <c r="DF366" s="4"/>
      <c r="DG366" s="4"/>
      <c r="DH366" s="4"/>
      <c r="DI366" s="4"/>
      <c r="DJ366" s="4"/>
      <c r="DK366" s="4"/>
      <c r="DL366" s="4"/>
      <c r="DM366" s="4"/>
      <c r="DN366" s="4"/>
      <c r="DO366" s="4"/>
      <c r="DP366" s="4"/>
      <c r="DQ366" s="4"/>
      <c r="DR366" s="4"/>
      <c r="DS366" s="4"/>
      <c r="DT366" s="4"/>
      <c r="DU366" s="4"/>
      <c r="DV366" s="4"/>
    </row>
    <row r="367">
      <c r="A367" s="2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  <c r="CI367" s="4"/>
      <c r="CJ367" s="4"/>
      <c r="CK367" s="4"/>
      <c r="CL367" s="4"/>
      <c r="CM367" s="4"/>
      <c r="CN367" s="4"/>
      <c r="CO367" s="4"/>
      <c r="CP367" s="4"/>
      <c r="CQ367" s="4"/>
      <c r="CR367" s="4"/>
      <c r="CS367" s="4"/>
      <c r="CT367" s="4"/>
      <c r="CU367" s="4"/>
      <c r="CV367" s="4"/>
      <c r="CW367" s="4"/>
      <c r="CX367" s="4"/>
      <c r="CY367" s="4"/>
      <c r="CZ367" s="4"/>
      <c r="DA367" s="4"/>
      <c r="DB367" s="4"/>
      <c r="DC367" s="4"/>
      <c r="DD367" s="4"/>
      <c r="DE367" s="4"/>
      <c r="DF367" s="4"/>
      <c r="DG367" s="4"/>
      <c r="DH367" s="4"/>
      <c r="DI367" s="4"/>
      <c r="DJ367" s="4"/>
      <c r="DK367" s="4"/>
      <c r="DL367" s="4"/>
      <c r="DM367" s="4"/>
      <c r="DN367" s="4"/>
      <c r="DO367" s="4"/>
      <c r="DP367" s="4"/>
      <c r="DQ367" s="4"/>
      <c r="DR367" s="4"/>
      <c r="DS367" s="4"/>
      <c r="DT367" s="4"/>
      <c r="DU367" s="4"/>
      <c r="DV367" s="4"/>
    </row>
    <row r="368">
      <c r="A368" s="2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  <c r="CI368" s="4"/>
      <c r="CJ368" s="4"/>
      <c r="CK368" s="4"/>
      <c r="CL368" s="4"/>
      <c r="CM368" s="4"/>
      <c r="CN368" s="4"/>
      <c r="CO368" s="4"/>
      <c r="CP368" s="4"/>
      <c r="CQ368" s="4"/>
      <c r="CR368" s="4"/>
      <c r="CS368" s="4"/>
      <c r="CT368" s="4"/>
      <c r="CU368" s="4"/>
      <c r="CV368" s="4"/>
      <c r="CW368" s="4"/>
      <c r="CX368" s="4"/>
      <c r="CY368" s="4"/>
      <c r="CZ368" s="4"/>
      <c r="DA368" s="4"/>
      <c r="DB368" s="4"/>
      <c r="DC368" s="4"/>
      <c r="DD368" s="4"/>
      <c r="DE368" s="4"/>
      <c r="DF368" s="4"/>
      <c r="DG368" s="4"/>
      <c r="DH368" s="4"/>
      <c r="DI368" s="4"/>
      <c r="DJ368" s="4"/>
      <c r="DK368" s="4"/>
      <c r="DL368" s="4"/>
      <c r="DM368" s="4"/>
      <c r="DN368" s="4"/>
      <c r="DO368" s="4"/>
      <c r="DP368" s="4"/>
      <c r="DQ368" s="4"/>
      <c r="DR368" s="4"/>
      <c r="DS368" s="4"/>
      <c r="DT368" s="4"/>
      <c r="DU368" s="4"/>
      <c r="DV368" s="4"/>
    </row>
    <row r="369">
      <c r="A369" s="2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  <c r="CI369" s="4"/>
      <c r="CJ369" s="4"/>
      <c r="CK369" s="4"/>
      <c r="CL369" s="4"/>
      <c r="CM369" s="4"/>
      <c r="CN369" s="4"/>
      <c r="CO369" s="4"/>
      <c r="CP369" s="4"/>
      <c r="CQ369" s="4"/>
      <c r="CR369" s="4"/>
      <c r="CS369" s="4"/>
      <c r="CT369" s="4"/>
      <c r="CU369" s="4"/>
      <c r="CV369" s="4"/>
      <c r="CW369" s="4"/>
      <c r="CX369" s="4"/>
      <c r="CY369" s="4"/>
      <c r="CZ369" s="4"/>
      <c r="DA369" s="4"/>
      <c r="DB369" s="4"/>
      <c r="DC369" s="4"/>
      <c r="DD369" s="4"/>
      <c r="DE369" s="4"/>
      <c r="DF369" s="4"/>
      <c r="DG369" s="4"/>
      <c r="DH369" s="4"/>
      <c r="DI369" s="4"/>
      <c r="DJ369" s="4"/>
      <c r="DK369" s="4"/>
      <c r="DL369" s="4"/>
      <c r="DM369" s="4"/>
      <c r="DN369" s="4"/>
      <c r="DO369" s="4"/>
      <c r="DP369" s="4"/>
      <c r="DQ369" s="4"/>
      <c r="DR369" s="4"/>
      <c r="DS369" s="4"/>
      <c r="DT369" s="4"/>
      <c r="DU369" s="4"/>
      <c r="DV369" s="4"/>
    </row>
    <row r="370">
      <c r="A370" s="2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  <c r="CI370" s="4"/>
      <c r="CJ370" s="4"/>
      <c r="CK370" s="4"/>
      <c r="CL370" s="4"/>
      <c r="CM370" s="4"/>
      <c r="CN370" s="4"/>
      <c r="CO370" s="4"/>
      <c r="CP370" s="4"/>
      <c r="CQ370" s="4"/>
      <c r="CR370" s="4"/>
      <c r="CS370" s="4"/>
      <c r="CT370" s="4"/>
      <c r="CU370" s="4"/>
      <c r="CV370" s="4"/>
      <c r="CW370" s="4"/>
      <c r="CX370" s="4"/>
      <c r="CY370" s="4"/>
      <c r="CZ370" s="4"/>
      <c r="DA370" s="4"/>
      <c r="DB370" s="4"/>
      <c r="DC370" s="4"/>
      <c r="DD370" s="4"/>
      <c r="DE370" s="4"/>
      <c r="DF370" s="4"/>
      <c r="DG370" s="4"/>
      <c r="DH370" s="4"/>
      <c r="DI370" s="4"/>
      <c r="DJ370" s="4"/>
      <c r="DK370" s="4"/>
      <c r="DL370" s="4"/>
      <c r="DM370" s="4"/>
      <c r="DN370" s="4"/>
      <c r="DO370" s="4"/>
      <c r="DP370" s="4"/>
      <c r="DQ370" s="4"/>
      <c r="DR370" s="4"/>
      <c r="DS370" s="4"/>
      <c r="DT370" s="4"/>
      <c r="DU370" s="4"/>
      <c r="DV370" s="4"/>
    </row>
    <row r="371">
      <c r="A371" s="2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  <c r="CI371" s="4"/>
      <c r="CJ371" s="4"/>
      <c r="CK371" s="4"/>
      <c r="CL371" s="4"/>
      <c r="CM371" s="4"/>
      <c r="CN371" s="4"/>
      <c r="CO371" s="4"/>
      <c r="CP371" s="4"/>
      <c r="CQ371" s="4"/>
      <c r="CR371" s="4"/>
      <c r="CS371" s="4"/>
      <c r="CT371" s="4"/>
      <c r="CU371" s="4"/>
      <c r="CV371" s="4"/>
      <c r="CW371" s="4"/>
      <c r="CX371" s="4"/>
      <c r="CY371" s="4"/>
      <c r="CZ371" s="4"/>
      <c r="DA371" s="4"/>
      <c r="DB371" s="4"/>
      <c r="DC371" s="4"/>
      <c r="DD371" s="4"/>
      <c r="DE371" s="4"/>
      <c r="DF371" s="4"/>
      <c r="DG371" s="4"/>
      <c r="DH371" s="4"/>
      <c r="DI371" s="4"/>
      <c r="DJ371" s="4"/>
      <c r="DK371" s="4"/>
      <c r="DL371" s="4"/>
      <c r="DM371" s="4"/>
      <c r="DN371" s="4"/>
      <c r="DO371" s="4"/>
      <c r="DP371" s="4"/>
      <c r="DQ371" s="4"/>
      <c r="DR371" s="4"/>
      <c r="DS371" s="4"/>
      <c r="DT371" s="4"/>
      <c r="DU371" s="4"/>
      <c r="DV371" s="4"/>
    </row>
    <row r="372">
      <c r="A372" s="2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  <c r="CI372" s="4"/>
      <c r="CJ372" s="4"/>
      <c r="CK372" s="4"/>
      <c r="CL372" s="4"/>
      <c r="CM372" s="4"/>
      <c r="CN372" s="4"/>
      <c r="CO372" s="4"/>
      <c r="CP372" s="4"/>
      <c r="CQ372" s="4"/>
      <c r="CR372" s="4"/>
      <c r="CS372" s="4"/>
      <c r="CT372" s="4"/>
      <c r="CU372" s="4"/>
      <c r="CV372" s="4"/>
      <c r="CW372" s="4"/>
      <c r="CX372" s="4"/>
      <c r="CY372" s="4"/>
      <c r="CZ372" s="4"/>
      <c r="DA372" s="4"/>
      <c r="DB372" s="4"/>
      <c r="DC372" s="4"/>
      <c r="DD372" s="4"/>
      <c r="DE372" s="4"/>
      <c r="DF372" s="4"/>
      <c r="DG372" s="4"/>
      <c r="DH372" s="4"/>
      <c r="DI372" s="4"/>
      <c r="DJ372" s="4"/>
      <c r="DK372" s="4"/>
      <c r="DL372" s="4"/>
      <c r="DM372" s="4"/>
      <c r="DN372" s="4"/>
      <c r="DO372" s="4"/>
      <c r="DP372" s="4"/>
      <c r="DQ372" s="4"/>
      <c r="DR372" s="4"/>
      <c r="DS372" s="4"/>
      <c r="DT372" s="4"/>
      <c r="DU372" s="4"/>
      <c r="DV372" s="4"/>
    </row>
    <row r="373">
      <c r="A373" s="2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  <c r="CI373" s="4"/>
      <c r="CJ373" s="4"/>
      <c r="CK373" s="4"/>
      <c r="CL373" s="4"/>
      <c r="CM373" s="4"/>
      <c r="CN373" s="4"/>
      <c r="CO373" s="4"/>
      <c r="CP373" s="4"/>
      <c r="CQ373" s="4"/>
      <c r="CR373" s="4"/>
      <c r="CS373" s="4"/>
      <c r="CT373" s="4"/>
      <c r="CU373" s="4"/>
      <c r="CV373" s="4"/>
      <c r="CW373" s="4"/>
      <c r="CX373" s="4"/>
      <c r="CY373" s="4"/>
      <c r="CZ373" s="4"/>
      <c r="DA373" s="4"/>
      <c r="DB373" s="4"/>
      <c r="DC373" s="4"/>
      <c r="DD373" s="4"/>
      <c r="DE373" s="4"/>
      <c r="DF373" s="4"/>
      <c r="DG373" s="4"/>
      <c r="DH373" s="4"/>
      <c r="DI373" s="4"/>
      <c r="DJ373" s="4"/>
      <c r="DK373" s="4"/>
      <c r="DL373" s="4"/>
      <c r="DM373" s="4"/>
      <c r="DN373" s="4"/>
      <c r="DO373" s="4"/>
      <c r="DP373" s="4"/>
      <c r="DQ373" s="4"/>
      <c r="DR373" s="4"/>
      <c r="DS373" s="4"/>
      <c r="DT373" s="4"/>
      <c r="DU373" s="4"/>
      <c r="DV373" s="4"/>
    </row>
    <row r="374">
      <c r="A374" s="2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  <c r="CI374" s="4"/>
      <c r="CJ374" s="4"/>
      <c r="CK374" s="4"/>
      <c r="CL374" s="4"/>
      <c r="CM374" s="4"/>
      <c r="CN374" s="4"/>
      <c r="CO374" s="4"/>
      <c r="CP374" s="4"/>
      <c r="CQ374" s="4"/>
      <c r="CR374" s="4"/>
      <c r="CS374" s="4"/>
      <c r="CT374" s="4"/>
      <c r="CU374" s="4"/>
      <c r="CV374" s="4"/>
      <c r="CW374" s="4"/>
      <c r="CX374" s="4"/>
      <c r="CY374" s="4"/>
      <c r="CZ374" s="4"/>
      <c r="DA374" s="4"/>
      <c r="DB374" s="4"/>
      <c r="DC374" s="4"/>
      <c r="DD374" s="4"/>
      <c r="DE374" s="4"/>
      <c r="DF374" s="4"/>
      <c r="DG374" s="4"/>
      <c r="DH374" s="4"/>
      <c r="DI374" s="4"/>
      <c r="DJ374" s="4"/>
      <c r="DK374" s="4"/>
      <c r="DL374" s="4"/>
      <c r="DM374" s="4"/>
      <c r="DN374" s="4"/>
      <c r="DO374" s="4"/>
      <c r="DP374" s="4"/>
      <c r="DQ374" s="4"/>
      <c r="DR374" s="4"/>
      <c r="DS374" s="4"/>
      <c r="DT374" s="4"/>
      <c r="DU374" s="4"/>
      <c r="DV374" s="4"/>
    </row>
    <row r="375">
      <c r="A375" s="2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  <c r="CI375" s="4"/>
      <c r="CJ375" s="4"/>
      <c r="CK375" s="4"/>
      <c r="CL375" s="4"/>
      <c r="CM375" s="4"/>
      <c r="CN375" s="4"/>
      <c r="CO375" s="4"/>
      <c r="CP375" s="4"/>
      <c r="CQ375" s="4"/>
      <c r="CR375" s="4"/>
      <c r="CS375" s="4"/>
      <c r="CT375" s="4"/>
      <c r="CU375" s="4"/>
      <c r="CV375" s="4"/>
      <c r="CW375" s="4"/>
      <c r="CX375" s="4"/>
      <c r="CY375" s="4"/>
      <c r="CZ375" s="4"/>
      <c r="DA375" s="4"/>
      <c r="DB375" s="4"/>
      <c r="DC375" s="4"/>
      <c r="DD375" s="4"/>
      <c r="DE375" s="4"/>
      <c r="DF375" s="4"/>
      <c r="DG375" s="4"/>
      <c r="DH375" s="4"/>
      <c r="DI375" s="4"/>
      <c r="DJ375" s="4"/>
      <c r="DK375" s="4"/>
      <c r="DL375" s="4"/>
      <c r="DM375" s="4"/>
      <c r="DN375" s="4"/>
      <c r="DO375" s="4"/>
      <c r="DP375" s="4"/>
      <c r="DQ375" s="4"/>
      <c r="DR375" s="4"/>
      <c r="DS375" s="4"/>
      <c r="DT375" s="4"/>
      <c r="DU375" s="4"/>
      <c r="DV375" s="4"/>
    </row>
    <row r="376">
      <c r="A376" s="2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  <c r="CI376" s="4"/>
      <c r="CJ376" s="4"/>
      <c r="CK376" s="4"/>
      <c r="CL376" s="4"/>
      <c r="CM376" s="4"/>
      <c r="CN376" s="4"/>
      <c r="CO376" s="4"/>
      <c r="CP376" s="4"/>
      <c r="CQ376" s="4"/>
      <c r="CR376" s="4"/>
      <c r="CS376" s="4"/>
      <c r="CT376" s="4"/>
      <c r="CU376" s="4"/>
      <c r="CV376" s="4"/>
      <c r="CW376" s="4"/>
      <c r="CX376" s="4"/>
      <c r="CY376" s="4"/>
      <c r="CZ376" s="4"/>
      <c r="DA376" s="4"/>
      <c r="DB376" s="4"/>
      <c r="DC376" s="4"/>
      <c r="DD376" s="4"/>
      <c r="DE376" s="4"/>
      <c r="DF376" s="4"/>
      <c r="DG376" s="4"/>
      <c r="DH376" s="4"/>
      <c r="DI376" s="4"/>
      <c r="DJ376" s="4"/>
      <c r="DK376" s="4"/>
      <c r="DL376" s="4"/>
      <c r="DM376" s="4"/>
      <c r="DN376" s="4"/>
      <c r="DO376" s="4"/>
      <c r="DP376" s="4"/>
      <c r="DQ376" s="4"/>
      <c r="DR376" s="4"/>
      <c r="DS376" s="4"/>
      <c r="DT376" s="4"/>
      <c r="DU376" s="4"/>
      <c r="DV376" s="4"/>
    </row>
    <row r="377">
      <c r="A377" s="2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  <c r="CI377" s="4"/>
      <c r="CJ377" s="4"/>
      <c r="CK377" s="4"/>
      <c r="CL377" s="4"/>
      <c r="CM377" s="4"/>
      <c r="CN377" s="4"/>
      <c r="CO377" s="4"/>
      <c r="CP377" s="4"/>
      <c r="CQ377" s="4"/>
      <c r="CR377" s="4"/>
      <c r="CS377" s="4"/>
      <c r="CT377" s="4"/>
      <c r="CU377" s="4"/>
      <c r="CV377" s="4"/>
      <c r="CW377" s="4"/>
      <c r="CX377" s="4"/>
      <c r="CY377" s="4"/>
      <c r="CZ377" s="4"/>
      <c r="DA377" s="4"/>
      <c r="DB377" s="4"/>
      <c r="DC377" s="4"/>
      <c r="DD377" s="4"/>
      <c r="DE377" s="4"/>
      <c r="DF377" s="4"/>
      <c r="DG377" s="4"/>
      <c r="DH377" s="4"/>
      <c r="DI377" s="4"/>
      <c r="DJ377" s="4"/>
      <c r="DK377" s="4"/>
      <c r="DL377" s="4"/>
      <c r="DM377" s="4"/>
      <c r="DN377" s="4"/>
      <c r="DO377" s="4"/>
      <c r="DP377" s="4"/>
      <c r="DQ377" s="4"/>
      <c r="DR377" s="4"/>
      <c r="DS377" s="4"/>
      <c r="DT377" s="4"/>
      <c r="DU377" s="4"/>
      <c r="DV377" s="4"/>
    </row>
    <row r="378">
      <c r="A378" s="2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  <c r="CI378" s="4"/>
      <c r="CJ378" s="4"/>
      <c r="CK378" s="4"/>
      <c r="CL378" s="4"/>
      <c r="CM378" s="4"/>
      <c r="CN378" s="4"/>
      <c r="CO378" s="4"/>
      <c r="CP378" s="4"/>
      <c r="CQ378" s="4"/>
      <c r="CR378" s="4"/>
      <c r="CS378" s="4"/>
      <c r="CT378" s="4"/>
      <c r="CU378" s="4"/>
      <c r="CV378" s="4"/>
      <c r="CW378" s="4"/>
      <c r="CX378" s="4"/>
      <c r="CY378" s="4"/>
      <c r="CZ378" s="4"/>
      <c r="DA378" s="4"/>
      <c r="DB378" s="4"/>
      <c r="DC378" s="4"/>
      <c r="DD378" s="4"/>
      <c r="DE378" s="4"/>
      <c r="DF378" s="4"/>
      <c r="DG378" s="4"/>
      <c r="DH378" s="4"/>
      <c r="DI378" s="4"/>
      <c r="DJ378" s="4"/>
      <c r="DK378" s="4"/>
      <c r="DL378" s="4"/>
      <c r="DM378" s="4"/>
      <c r="DN378" s="4"/>
      <c r="DO378" s="4"/>
      <c r="DP378" s="4"/>
      <c r="DQ378" s="4"/>
      <c r="DR378" s="4"/>
      <c r="DS378" s="4"/>
      <c r="DT378" s="4"/>
      <c r="DU378" s="4"/>
      <c r="DV378" s="4"/>
    </row>
    <row r="379">
      <c r="A379" s="2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  <c r="CI379" s="4"/>
      <c r="CJ379" s="4"/>
      <c r="CK379" s="4"/>
      <c r="CL379" s="4"/>
      <c r="CM379" s="4"/>
      <c r="CN379" s="4"/>
      <c r="CO379" s="4"/>
      <c r="CP379" s="4"/>
      <c r="CQ379" s="4"/>
      <c r="CR379" s="4"/>
      <c r="CS379" s="4"/>
      <c r="CT379" s="4"/>
      <c r="CU379" s="4"/>
      <c r="CV379" s="4"/>
      <c r="CW379" s="4"/>
      <c r="CX379" s="4"/>
      <c r="CY379" s="4"/>
      <c r="CZ379" s="4"/>
      <c r="DA379" s="4"/>
      <c r="DB379" s="4"/>
      <c r="DC379" s="4"/>
      <c r="DD379" s="4"/>
      <c r="DE379" s="4"/>
      <c r="DF379" s="4"/>
      <c r="DG379" s="4"/>
      <c r="DH379" s="4"/>
      <c r="DI379" s="4"/>
      <c r="DJ379" s="4"/>
      <c r="DK379" s="4"/>
      <c r="DL379" s="4"/>
      <c r="DM379" s="4"/>
      <c r="DN379" s="4"/>
      <c r="DO379" s="4"/>
      <c r="DP379" s="4"/>
      <c r="DQ379" s="4"/>
      <c r="DR379" s="4"/>
      <c r="DS379" s="4"/>
      <c r="DT379" s="4"/>
      <c r="DU379" s="4"/>
      <c r="DV379" s="4"/>
    </row>
    <row r="380">
      <c r="A380" s="2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  <c r="CI380" s="4"/>
      <c r="CJ380" s="4"/>
      <c r="CK380" s="4"/>
      <c r="CL380" s="4"/>
      <c r="CM380" s="4"/>
      <c r="CN380" s="4"/>
      <c r="CO380" s="4"/>
      <c r="CP380" s="4"/>
      <c r="CQ380" s="4"/>
      <c r="CR380" s="4"/>
      <c r="CS380" s="4"/>
      <c r="CT380" s="4"/>
      <c r="CU380" s="4"/>
      <c r="CV380" s="4"/>
      <c r="CW380" s="4"/>
      <c r="CX380" s="4"/>
      <c r="CY380" s="4"/>
      <c r="CZ380" s="4"/>
      <c r="DA380" s="4"/>
      <c r="DB380" s="4"/>
      <c r="DC380" s="4"/>
      <c r="DD380" s="4"/>
      <c r="DE380" s="4"/>
      <c r="DF380" s="4"/>
      <c r="DG380" s="4"/>
      <c r="DH380" s="4"/>
      <c r="DI380" s="4"/>
      <c r="DJ380" s="4"/>
      <c r="DK380" s="4"/>
      <c r="DL380" s="4"/>
      <c r="DM380" s="4"/>
      <c r="DN380" s="4"/>
      <c r="DO380" s="4"/>
      <c r="DP380" s="4"/>
      <c r="DQ380" s="4"/>
      <c r="DR380" s="4"/>
      <c r="DS380" s="4"/>
      <c r="DT380" s="4"/>
      <c r="DU380" s="4"/>
      <c r="DV380" s="4"/>
    </row>
    <row r="381">
      <c r="A381" s="2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  <c r="CI381" s="4"/>
      <c r="CJ381" s="4"/>
      <c r="CK381" s="4"/>
      <c r="CL381" s="4"/>
      <c r="CM381" s="4"/>
      <c r="CN381" s="4"/>
      <c r="CO381" s="4"/>
      <c r="CP381" s="4"/>
      <c r="CQ381" s="4"/>
      <c r="CR381" s="4"/>
      <c r="CS381" s="4"/>
      <c r="CT381" s="4"/>
      <c r="CU381" s="4"/>
      <c r="CV381" s="4"/>
      <c r="CW381" s="4"/>
      <c r="CX381" s="4"/>
      <c r="CY381" s="4"/>
      <c r="CZ381" s="4"/>
      <c r="DA381" s="4"/>
      <c r="DB381" s="4"/>
      <c r="DC381" s="4"/>
      <c r="DD381" s="4"/>
      <c r="DE381" s="4"/>
      <c r="DF381" s="4"/>
      <c r="DG381" s="4"/>
      <c r="DH381" s="4"/>
      <c r="DI381" s="4"/>
      <c r="DJ381" s="4"/>
      <c r="DK381" s="4"/>
      <c r="DL381" s="4"/>
      <c r="DM381" s="4"/>
      <c r="DN381" s="4"/>
      <c r="DO381" s="4"/>
      <c r="DP381" s="4"/>
      <c r="DQ381" s="4"/>
      <c r="DR381" s="4"/>
      <c r="DS381" s="4"/>
      <c r="DT381" s="4"/>
      <c r="DU381" s="4"/>
      <c r="DV381" s="4"/>
    </row>
    <row r="382">
      <c r="A382" s="2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  <c r="CI382" s="4"/>
      <c r="CJ382" s="4"/>
      <c r="CK382" s="4"/>
      <c r="CL382" s="4"/>
      <c r="CM382" s="4"/>
      <c r="CN382" s="4"/>
      <c r="CO382" s="4"/>
      <c r="CP382" s="4"/>
      <c r="CQ382" s="4"/>
      <c r="CR382" s="4"/>
      <c r="CS382" s="4"/>
      <c r="CT382" s="4"/>
      <c r="CU382" s="4"/>
      <c r="CV382" s="4"/>
      <c r="CW382" s="4"/>
      <c r="CX382" s="4"/>
      <c r="CY382" s="4"/>
      <c r="CZ382" s="4"/>
      <c r="DA382" s="4"/>
      <c r="DB382" s="4"/>
      <c r="DC382" s="4"/>
      <c r="DD382" s="4"/>
      <c r="DE382" s="4"/>
      <c r="DF382" s="4"/>
      <c r="DG382" s="4"/>
      <c r="DH382" s="4"/>
      <c r="DI382" s="4"/>
      <c r="DJ382" s="4"/>
      <c r="DK382" s="4"/>
      <c r="DL382" s="4"/>
      <c r="DM382" s="4"/>
      <c r="DN382" s="4"/>
      <c r="DO382" s="4"/>
      <c r="DP382" s="4"/>
      <c r="DQ382" s="4"/>
      <c r="DR382" s="4"/>
      <c r="DS382" s="4"/>
      <c r="DT382" s="4"/>
      <c r="DU382" s="4"/>
      <c r="DV382" s="4"/>
    </row>
    <row r="383">
      <c r="A383" s="2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  <c r="CI383" s="4"/>
      <c r="CJ383" s="4"/>
      <c r="CK383" s="4"/>
      <c r="CL383" s="4"/>
      <c r="CM383" s="4"/>
      <c r="CN383" s="4"/>
      <c r="CO383" s="4"/>
      <c r="CP383" s="4"/>
      <c r="CQ383" s="4"/>
      <c r="CR383" s="4"/>
      <c r="CS383" s="4"/>
      <c r="CT383" s="4"/>
      <c r="CU383" s="4"/>
      <c r="CV383" s="4"/>
      <c r="CW383" s="4"/>
      <c r="CX383" s="4"/>
      <c r="CY383" s="4"/>
      <c r="CZ383" s="4"/>
      <c r="DA383" s="4"/>
      <c r="DB383" s="4"/>
      <c r="DC383" s="4"/>
      <c r="DD383" s="4"/>
      <c r="DE383" s="4"/>
      <c r="DF383" s="4"/>
      <c r="DG383" s="4"/>
      <c r="DH383" s="4"/>
      <c r="DI383" s="4"/>
      <c r="DJ383" s="4"/>
      <c r="DK383" s="4"/>
      <c r="DL383" s="4"/>
      <c r="DM383" s="4"/>
      <c r="DN383" s="4"/>
      <c r="DO383" s="4"/>
      <c r="DP383" s="4"/>
      <c r="DQ383" s="4"/>
      <c r="DR383" s="4"/>
      <c r="DS383" s="4"/>
      <c r="DT383" s="4"/>
      <c r="DU383" s="4"/>
      <c r="DV383" s="4"/>
    </row>
    <row r="384">
      <c r="A384" s="2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  <c r="CI384" s="4"/>
      <c r="CJ384" s="4"/>
      <c r="CK384" s="4"/>
      <c r="CL384" s="4"/>
      <c r="CM384" s="4"/>
      <c r="CN384" s="4"/>
      <c r="CO384" s="4"/>
      <c r="CP384" s="4"/>
      <c r="CQ384" s="4"/>
      <c r="CR384" s="4"/>
      <c r="CS384" s="4"/>
      <c r="CT384" s="4"/>
      <c r="CU384" s="4"/>
      <c r="CV384" s="4"/>
      <c r="CW384" s="4"/>
      <c r="CX384" s="4"/>
      <c r="CY384" s="4"/>
      <c r="CZ384" s="4"/>
      <c r="DA384" s="4"/>
      <c r="DB384" s="4"/>
      <c r="DC384" s="4"/>
      <c r="DD384" s="4"/>
      <c r="DE384" s="4"/>
      <c r="DF384" s="4"/>
      <c r="DG384" s="4"/>
      <c r="DH384" s="4"/>
      <c r="DI384" s="4"/>
      <c r="DJ384" s="4"/>
      <c r="DK384" s="4"/>
      <c r="DL384" s="4"/>
      <c r="DM384" s="4"/>
      <c r="DN384" s="4"/>
      <c r="DO384" s="4"/>
      <c r="DP384" s="4"/>
      <c r="DQ384" s="4"/>
      <c r="DR384" s="4"/>
      <c r="DS384" s="4"/>
      <c r="DT384" s="4"/>
      <c r="DU384" s="4"/>
      <c r="DV384" s="4"/>
    </row>
    <row r="385">
      <c r="A385" s="2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  <c r="CI385" s="4"/>
      <c r="CJ385" s="4"/>
      <c r="CK385" s="4"/>
      <c r="CL385" s="4"/>
      <c r="CM385" s="4"/>
      <c r="CN385" s="4"/>
      <c r="CO385" s="4"/>
      <c r="CP385" s="4"/>
      <c r="CQ385" s="4"/>
      <c r="CR385" s="4"/>
      <c r="CS385" s="4"/>
      <c r="CT385" s="4"/>
      <c r="CU385" s="4"/>
      <c r="CV385" s="4"/>
      <c r="CW385" s="4"/>
      <c r="CX385" s="4"/>
      <c r="CY385" s="4"/>
      <c r="CZ385" s="4"/>
      <c r="DA385" s="4"/>
      <c r="DB385" s="4"/>
      <c r="DC385" s="4"/>
      <c r="DD385" s="4"/>
      <c r="DE385" s="4"/>
      <c r="DF385" s="4"/>
      <c r="DG385" s="4"/>
      <c r="DH385" s="4"/>
      <c r="DI385" s="4"/>
      <c r="DJ385" s="4"/>
      <c r="DK385" s="4"/>
      <c r="DL385" s="4"/>
      <c r="DM385" s="4"/>
      <c r="DN385" s="4"/>
      <c r="DO385" s="4"/>
      <c r="DP385" s="4"/>
      <c r="DQ385" s="4"/>
      <c r="DR385" s="4"/>
      <c r="DS385" s="4"/>
      <c r="DT385" s="4"/>
      <c r="DU385" s="4"/>
      <c r="DV385" s="4"/>
    </row>
    <row r="386">
      <c r="A386" s="2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  <c r="CI386" s="4"/>
      <c r="CJ386" s="4"/>
      <c r="CK386" s="4"/>
      <c r="CL386" s="4"/>
      <c r="CM386" s="4"/>
      <c r="CN386" s="4"/>
      <c r="CO386" s="4"/>
      <c r="CP386" s="4"/>
      <c r="CQ386" s="4"/>
      <c r="CR386" s="4"/>
      <c r="CS386" s="4"/>
      <c r="CT386" s="4"/>
      <c r="CU386" s="4"/>
      <c r="CV386" s="4"/>
      <c r="CW386" s="4"/>
      <c r="CX386" s="4"/>
      <c r="CY386" s="4"/>
      <c r="CZ386" s="4"/>
      <c r="DA386" s="4"/>
      <c r="DB386" s="4"/>
      <c r="DC386" s="4"/>
      <c r="DD386" s="4"/>
      <c r="DE386" s="4"/>
      <c r="DF386" s="4"/>
      <c r="DG386" s="4"/>
      <c r="DH386" s="4"/>
      <c r="DI386" s="4"/>
      <c r="DJ386" s="4"/>
      <c r="DK386" s="4"/>
      <c r="DL386" s="4"/>
      <c r="DM386" s="4"/>
      <c r="DN386" s="4"/>
      <c r="DO386" s="4"/>
      <c r="DP386" s="4"/>
      <c r="DQ386" s="4"/>
      <c r="DR386" s="4"/>
      <c r="DS386" s="4"/>
      <c r="DT386" s="4"/>
      <c r="DU386" s="4"/>
      <c r="DV386" s="4"/>
    </row>
    <row r="387">
      <c r="A387" s="2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  <c r="CI387" s="4"/>
      <c r="CJ387" s="4"/>
      <c r="CK387" s="4"/>
      <c r="CL387" s="4"/>
      <c r="CM387" s="4"/>
      <c r="CN387" s="4"/>
      <c r="CO387" s="4"/>
      <c r="CP387" s="4"/>
      <c r="CQ387" s="4"/>
      <c r="CR387" s="4"/>
      <c r="CS387" s="4"/>
      <c r="CT387" s="4"/>
      <c r="CU387" s="4"/>
      <c r="CV387" s="4"/>
      <c r="CW387" s="4"/>
      <c r="CX387" s="4"/>
      <c r="CY387" s="4"/>
      <c r="CZ387" s="4"/>
      <c r="DA387" s="4"/>
      <c r="DB387" s="4"/>
      <c r="DC387" s="4"/>
      <c r="DD387" s="4"/>
      <c r="DE387" s="4"/>
      <c r="DF387" s="4"/>
      <c r="DG387" s="4"/>
      <c r="DH387" s="4"/>
      <c r="DI387" s="4"/>
      <c r="DJ387" s="4"/>
      <c r="DK387" s="4"/>
      <c r="DL387" s="4"/>
      <c r="DM387" s="4"/>
      <c r="DN387" s="4"/>
      <c r="DO387" s="4"/>
      <c r="DP387" s="4"/>
      <c r="DQ387" s="4"/>
      <c r="DR387" s="4"/>
      <c r="DS387" s="4"/>
      <c r="DT387" s="4"/>
      <c r="DU387" s="4"/>
      <c r="DV387" s="4"/>
    </row>
    <row r="388">
      <c r="A388" s="2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  <c r="CI388" s="4"/>
      <c r="CJ388" s="4"/>
      <c r="CK388" s="4"/>
      <c r="CL388" s="4"/>
      <c r="CM388" s="4"/>
      <c r="CN388" s="4"/>
      <c r="CO388" s="4"/>
      <c r="CP388" s="4"/>
      <c r="CQ388" s="4"/>
      <c r="CR388" s="4"/>
      <c r="CS388" s="4"/>
      <c r="CT388" s="4"/>
      <c r="CU388" s="4"/>
      <c r="CV388" s="4"/>
      <c r="CW388" s="4"/>
      <c r="CX388" s="4"/>
      <c r="CY388" s="4"/>
      <c r="CZ388" s="4"/>
      <c r="DA388" s="4"/>
      <c r="DB388" s="4"/>
      <c r="DC388" s="4"/>
      <c r="DD388" s="4"/>
      <c r="DE388" s="4"/>
      <c r="DF388" s="4"/>
      <c r="DG388" s="4"/>
      <c r="DH388" s="4"/>
      <c r="DI388" s="4"/>
      <c r="DJ388" s="4"/>
      <c r="DK388" s="4"/>
      <c r="DL388" s="4"/>
      <c r="DM388" s="4"/>
      <c r="DN388" s="4"/>
      <c r="DO388" s="4"/>
      <c r="DP388" s="4"/>
      <c r="DQ388" s="4"/>
      <c r="DR388" s="4"/>
      <c r="DS388" s="4"/>
      <c r="DT388" s="4"/>
      <c r="DU388" s="4"/>
      <c r="DV388" s="4"/>
    </row>
    <row r="389">
      <c r="A389" s="2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  <c r="CI389" s="4"/>
      <c r="CJ389" s="4"/>
      <c r="CK389" s="4"/>
      <c r="CL389" s="4"/>
      <c r="CM389" s="4"/>
      <c r="CN389" s="4"/>
      <c r="CO389" s="4"/>
      <c r="CP389" s="4"/>
      <c r="CQ389" s="4"/>
      <c r="CR389" s="4"/>
      <c r="CS389" s="4"/>
      <c r="CT389" s="4"/>
      <c r="CU389" s="4"/>
      <c r="CV389" s="4"/>
      <c r="CW389" s="4"/>
      <c r="CX389" s="4"/>
      <c r="CY389" s="4"/>
      <c r="CZ389" s="4"/>
      <c r="DA389" s="4"/>
      <c r="DB389" s="4"/>
      <c r="DC389" s="4"/>
      <c r="DD389" s="4"/>
      <c r="DE389" s="4"/>
      <c r="DF389" s="4"/>
      <c r="DG389" s="4"/>
      <c r="DH389" s="4"/>
      <c r="DI389" s="4"/>
      <c r="DJ389" s="4"/>
      <c r="DK389" s="4"/>
      <c r="DL389" s="4"/>
      <c r="DM389" s="4"/>
      <c r="DN389" s="4"/>
      <c r="DO389" s="4"/>
      <c r="DP389" s="4"/>
      <c r="DQ389" s="4"/>
      <c r="DR389" s="4"/>
      <c r="DS389" s="4"/>
      <c r="DT389" s="4"/>
      <c r="DU389" s="4"/>
      <c r="DV389" s="4"/>
    </row>
    <row r="390">
      <c r="A390" s="2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  <c r="CI390" s="4"/>
      <c r="CJ390" s="4"/>
      <c r="CK390" s="4"/>
      <c r="CL390" s="4"/>
      <c r="CM390" s="4"/>
      <c r="CN390" s="4"/>
      <c r="CO390" s="4"/>
      <c r="CP390" s="4"/>
      <c r="CQ390" s="4"/>
      <c r="CR390" s="4"/>
      <c r="CS390" s="4"/>
      <c r="CT390" s="4"/>
      <c r="CU390" s="4"/>
      <c r="CV390" s="4"/>
      <c r="CW390" s="4"/>
      <c r="CX390" s="4"/>
      <c r="CY390" s="4"/>
      <c r="CZ390" s="4"/>
      <c r="DA390" s="4"/>
      <c r="DB390" s="4"/>
      <c r="DC390" s="4"/>
      <c r="DD390" s="4"/>
      <c r="DE390" s="4"/>
      <c r="DF390" s="4"/>
      <c r="DG390" s="4"/>
      <c r="DH390" s="4"/>
      <c r="DI390" s="4"/>
      <c r="DJ390" s="4"/>
      <c r="DK390" s="4"/>
      <c r="DL390" s="4"/>
      <c r="DM390" s="4"/>
      <c r="DN390" s="4"/>
      <c r="DO390" s="4"/>
      <c r="DP390" s="4"/>
      <c r="DQ390" s="4"/>
      <c r="DR390" s="4"/>
      <c r="DS390" s="4"/>
      <c r="DT390" s="4"/>
      <c r="DU390" s="4"/>
      <c r="DV390" s="4"/>
    </row>
    <row r="391">
      <c r="A391" s="2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  <c r="CI391" s="4"/>
      <c r="CJ391" s="4"/>
      <c r="CK391" s="4"/>
      <c r="CL391" s="4"/>
      <c r="CM391" s="4"/>
      <c r="CN391" s="4"/>
      <c r="CO391" s="4"/>
      <c r="CP391" s="4"/>
      <c r="CQ391" s="4"/>
      <c r="CR391" s="4"/>
      <c r="CS391" s="4"/>
      <c r="CT391" s="4"/>
      <c r="CU391" s="4"/>
      <c r="CV391" s="4"/>
      <c r="CW391" s="4"/>
      <c r="CX391" s="4"/>
      <c r="CY391" s="4"/>
      <c r="CZ391" s="4"/>
      <c r="DA391" s="4"/>
      <c r="DB391" s="4"/>
      <c r="DC391" s="4"/>
      <c r="DD391" s="4"/>
      <c r="DE391" s="4"/>
      <c r="DF391" s="4"/>
      <c r="DG391" s="4"/>
      <c r="DH391" s="4"/>
      <c r="DI391" s="4"/>
      <c r="DJ391" s="4"/>
      <c r="DK391" s="4"/>
      <c r="DL391" s="4"/>
      <c r="DM391" s="4"/>
      <c r="DN391" s="4"/>
      <c r="DO391" s="4"/>
      <c r="DP391" s="4"/>
      <c r="DQ391" s="4"/>
      <c r="DR391" s="4"/>
      <c r="DS391" s="4"/>
      <c r="DT391" s="4"/>
      <c r="DU391" s="4"/>
      <c r="DV391" s="4"/>
    </row>
    <row r="392">
      <c r="A392" s="2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  <c r="CI392" s="4"/>
      <c r="CJ392" s="4"/>
      <c r="CK392" s="4"/>
      <c r="CL392" s="4"/>
      <c r="CM392" s="4"/>
      <c r="CN392" s="4"/>
      <c r="CO392" s="4"/>
      <c r="CP392" s="4"/>
      <c r="CQ392" s="4"/>
      <c r="CR392" s="4"/>
      <c r="CS392" s="4"/>
      <c r="CT392" s="4"/>
      <c r="CU392" s="4"/>
      <c r="CV392" s="4"/>
      <c r="CW392" s="4"/>
      <c r="CX392" s="4"/>
      <c r="CY392" s="4"/>
      <c r="CZ392" s="4"/>
      <c r="DA392" s="4"/>
      <c r="DB392" s="4"/>
      <c r="DC392" s="4"/>
      <c r="DD392" s="4"/>
      <c r="DE392" s="4"/>
      <c r="DF392" s="4"/>
      <c r="DG392" s="4"/>
      <c r="DH392" s="4"/>
      <c r="DI392" s="4"/>
      <c r="DJ392" s="4"/>
      <c r="DK392" s="4"/>
      <c r="DL392" s="4"/>
      <c r="DM392" s="4"/>
      <c r="DN392" s="4"/>
      <c r="DO392" s="4"/>
      <c r="DP392" s="4"/>
      <c r="DQ392" s="4"/>
      <c r="DR392" s="4"/>
      <c r="DS392" s="4"/>
      <c r="DT392" s="4"/>
      <c r="DU392" s="4"/>
      <c r="DV392" s="4"/>
    </row>
    <row r="393">
      <c r="A393" s="2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  <c r="CI393" s="4"/>
      <c r="CJ393" s="4"/>
      <c r="CK393" s="4"/>
      <c r="CL393" s="4"/>
      <c r="CM393" s="4"/>
      <c r="CN393" s="4"/>
      <c r="CO393" s="4"/>
      <c r="CP393" s="4"/>
      <c r="CQ393" s="4"/>
      <c r="CR393" s="4"/>
      <c r="CS393" s="4"/>
      <c r="CT393" s="4"/>
      <c r="CU393" s="4"/>
      <c r="CV393" s="4"/>
      <c r="CW393" s="4"/>
      <c r="CX393" s="4"/>
      <c r="CY393" s="4"/>
      <c r="CZ393" s="4"/>
      <c r="DA393" s="4"/>
      <c r="DB393" s="4"/>
      <c r="DC393" s="4"/>
      <c r="DD393" s="4"/>
      <c r="DE393" s="4"/>
      <c r="DF393" s="4"/>
      <c r="DG393" s="4"/>
      <c r="DH393" s="4"/>
      <c r="DI393" s="4"/>
      <c r="DJ393" s="4"/>
      <c r="DK393" s="4"/>
      <c r="DL393" s="4"/>
      <c r="DM393" s="4"/>
      <c r="DN393" s="4"/>
      <c r="DO393" s="4"/>
      <c r="DP393" s="4"/>
      <c r="DQ393" s="4"/>
      <c r="DR393" s="4"/>
      <c r="DS393" s="4"/>
      <c r="DT393" s="4"/>
      <c r="DU393" s="4"/>
      <c r="DV393" s="4"/>
    </row>
    <row r="394">
      <c r="A394" s="2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  <c r="CI394" s="4"/>
      <c r="CJ394" s="4"/>
      <c r="CK394" s="4"/>
      <c r="CL394" s="4"/>
      <c r="CM394" s="4"/>
      <c r="CN394" s="4"/>
      <c r="CO394" s="4"/>
      <c r="CP394" s="4"/>
      <c r="CQ394" s="4"/>
      <c r="CR394" s="4"/>
      <c r="CS394" s="4"/>
      <c r="CT394" s="4"/>
      <c r="CU394" s="4"/>
      <c r="CV394" s="4"/>
      <c r="CW394" s="4"/>
      <c r="CX394" s="4"/>
      <c r="CY394" s="4"/>
      <c r="CZ394" s="4"/>
      <c r="DA394" s="4"/>
      <c r="DB394" s="4"/>
      <c r="DC394" s="4"/>
      <c r="DD394" s="4"/>
      <c r="DE394" s="4"/>
      <c r="DF394" s="4"/>
      <c r="DG394" s="4"/>
      <c r="DH394" s="4"/>
      <c r="DI394" s="4"/>
      <c r="DJ394" s="4"/>
      <c r="DK394" s="4"/>
      <c r="DL394" s="4"/>
      <c r="DM394" s="4"/>
      <c r="DN394" s="4"/>
      <c r="DO394" s="4"/>
      <c r="DP394" s="4"/>
      <c r="DQ394" s="4"/>
      <c r="DR394" s="4"/>
      <c r="DS394" s="4"/>
      <c r="DT394" s="4"/>
      <c r="DU394" s="4"/>
      <c r="DV394" s="4"/>
    </row>
    <row r="395">
      <c r="A395" s="2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  <c r="CI395" s="4"/>
      <c r="CJ395" s="4"/>
      <c r="CK395" s="4"/>
      <c r="CL395" s="4"/>
      <c r="CM395" s="4"/>
      <c r="CN395" s="4"/>
      <c r="CO395" s="4"/>
      <c r="CP395" s="4"/>
      <c r="CQ395" s="4"/>
      <c r="CR395" s="4"/>
      <c r="CS395" s="4"/>
      <c r="CT395" s="4"/>
      <c r="CU395" s="4"/>
      <c r="CV395" s="4"/>
      <c r="CW395" s="4"/>
      <c r="CX395" s="4"/>
      <c r="CY395" s="4"/>
      <c r="CZ395" s="4"/>
      <c r="DA395" s="4"/>
      <c r="DB395" s="4"/>
      <c r="DC395" s="4"/>
      <c r="DD395" s="4"/>
      <c r="DE395" s="4"/>
      <c r="DF395" s="4"/>
      <c r="DG395" s="4"/>
      <c r="DH395" s="4"/>
      <c r="DI395" s="4"/>
      <c r="DJ395" s="4"/>
      <c r="DK395" s="4"/>
      <c r="DL395" s="4"/>
      <c r="DM395" s="4"/>
      <c r="DN395" s="4"/>
      <c r="DO395" s="4"/>
      <c r="DP395" s="4"/>
      <c r="DQ395" s="4"/>
      <c r="DR395" s="4"/>
      <c r="DS395" s="4"/>
      <c r="DT395" s="4"/>
      <c r="DU395" s="4"/>
      <c r="DV395" s="4"/>
    </row>
    <row r="396">
      <c r="A396" s="2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  <c r="CI396" s="4"/>
      <c r="CJ396" s="4"/>
      <c r="CK396" s="4"/>
      <c r="CL396" s="4"/>
      <c r="CM396" s="4"/>
      <c r="CN396" s="4"/>
      <c r="CO396" s="4"/>
      <c r="CP396" s="4"/>
      <c r="CQ396" s="4"/>
      <c r="CR396" s="4"/>
      <c r="CS396" s="4"/>
      <c r="CT396" s="4"/>
      <c r="CU396" s="4"/>
      <c r="CV396" s="4"/>
      <c r="CW396" s="4"/>
      <c r="CX396" s="4"/>
      <c r="CY396" s="4"/>
      <c r="CZ396" s="4"/>
      <c r="DA396" s="4"/>
      <c r="DB396" s="4"/>
      <c r="DC396" s="4"/>
      <c r="DD396" s="4"/>
      <c r="DE396" s="4"/>
      <c r="DF396" s="4"/>
      <c r="DG396" s="4"/>
      <c r="DH396" s="4"/>
      <c r="DI396" s="4"/>
      <c r="DJ396" s="4"/>
      <c r="DK396" s="4"/>
      <c r="DL396" s="4"/>
      <c r="DM396" s="4"/>
      <c r="DN396" s="4"/>
      <c r="DO396" s="4"/>
      <c r="DP396" s="4"/>
      <c r="DQ396" s="4"/>
      <c r="DR396" s="4"/>
      <c r="DS396" s="4"/>
      <c r="DT396" s="4"/>
      <c r="DU396" s="4"/>
      <c r="DV396" s="4"/>
    </row>
    <row r="397">
      <c r="A397" s="2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  <c r="CI397" s="4"/>
      <c r="CJ397" s="4"/>
      <c r="CK397" s="4"/>
      <c r="CL397" s="4"/>
      <c r="CM397" s="4"/>
      <c r="CN397" s="4"/>
      <c r="CO397" s="4"/>
      <c r="CP397" s="4"/>
      <c r="CQ397" s="4"/>
      <c r="CR397" s="4"/>
      <c r="CS397" s="4"/>
      <c r="CT397" s="4"/>
      <c r="CU397" s="4"/>
      <c r="CV397" s="4"/>
      <c r="CW397" s="4"/>
      <c r="CX397" s="4"/>
      <c r="CY397" s="4"/>
      <c r="CZ397" s="4"/>
      <c r="DA397" s="4"/>
      <c r="DB397" s="4"/>
      <c r="DC397" s="4"/>
      <c r="DD397" s="4"/>
      <c r="DE397" s="4"/>
      <c r="DF397" s="4"/>
      <c r="DG397" s="4"/>
      <c r="DH397" s="4"/>
      <c r="DI397" s="4"/>
      <c r="DJ397" s="4"/>
      <c r="DK397" s="4"/>
      <c r="DL397" s="4"/>
      <c r="DM397" s="4"/>
      <c r="DN397" s="4"/>
      <c r="DO397" s="4"/>
      <c r="DP397" s="4"/>
      <c r="DQ397" s="4"/>
      <c r="DR397" s="4"/>
      <c r="DS397" s="4"/>
      <c r="DT397" s="4"/>
      <c r="DU397" s="4"/>
      <c r="DV397" s="4"/>
    </row>
    <row r="398">
      <c r="A398" s="2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  <c r="CI398" s="4"/>
      <c r="CJ398" s="4"/>
      <c r="CK398" s="4"/>
      <c r="CL398" s="4"/>
      <c r="CM398" s="4"/>
      <c r="CN398" s="4"/>
      <c r="CO398" s="4"/>
      <c r="CP398" s="4"/>
      <c r="CQ398" s="4"/>
      <c r="CR398" s="4"/>
      <c r="CS398" s="4"/>
      <c r="CT398" s="4"/>
      <c r="CU398" s="4"/>
      <c r="CV398" s="4"/>
      <c r="CW398" s="4"/>
      <c r="CX398" s="4"/>
      <c r="CY398" s="4"/>
      <c r="CZ398" s="4"/>
      <c r="DA398" s="4"/>
      <c r="DB398" s="4"/>
      <c r="DC398" s="4"/>
      <c r="DD398" s="4"/>
      <c r="DE398" s="4"/>
      <c r="DF398" s="4"/>
      <c r="DG398" s="4"/>
      <c r="DH398" s="4"/>
      <c r="DI398" s="4"/>
      <c r="DJ398" s="4"/>
      <c r="DK398" s="4"/>
      <c r="DL398" s="4"/>
      <c r="DM398" s="4"/>
      <c r="DN398" s="4"/>
      <c r="DO398" s="4"/>
      <c r="DP398" s="4"/>
      <c r="DQ398" s="4"/>
      <c r="DR398" s="4"/>
      <c r="DS398" s="4"/>
      <c r="DT398" s="4"/>
      <c r="DU398" s="4"/>
      <c r="DV398" s="4"/>
    </row>
    <row r="399">
      <c r="A399" s="2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  <c r="CI399" s="4"/>
      <c r="CJ399" s="4"/>
      <c r="CK399" s="4"/>
      <c r="CL399" s="4"/>
      <c r="CM399" s="4"/>
      <c r="CN399" s="4"/>
      <c r="CO399" s="4"/>
      <c r="CP399" s="4"/>
      <c r="CQ399" s="4"/>
      <c r="CR399" s="4"/>
      <c r="CS399" s="4"/>
      <c r="CT399" s="4"/>
      <c r="CU399" s="4"/>
      <c r="CV399" s="4"/>
      <c r="CW399" s="4"/>
      <c r="CX399" s="4"/>
      <c r="CY399" s="4"/>
      <c r="CZ399" s="4"/>
      <c r="DA399" s="4"/>
      <c r="DB399" s="4"/>
      <c r="DC399" s="4"/>
      <c r="DD399" s="4"/>
      <c r="DE399" s="4"/>
      <c r="DF399" s="4"/>
      <c r="DG399" s="4"/>
      <c r="DH399" s="4"/>
      <c r="DI399" s="4"/>
      <c r="DJ399" s="4"/>
      <c r="DK399" s="4"/>
      <c r="DL399" s="4"/>
      <c r="DM399" s="4"/>
      <c r="DN399" s="4"/>
      <c r="DO399" s="4"/>
      <c r="DP399" s="4"/>
      <c r="DQ399" s="4"/>
      <c r="DR399" s="4"/>
      <c r="DS399" s="4"/>
      <c r="DT399" s="4"/>
      <c r="DU399" s="4"/>
      <c r="DV399" s="4"/>
    </row>
    <row r="400">
      <c r="A400" s="2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  <c r="CI400" s="4"/>
      <c r="CJ400" s="4"/>
      <c r="CK400" s="4"/>
      <c r="CL400" s="4"/>
      <c r="CM400" s="4"/>
      <c r="CN400" s="4"/>
      <c r="CO400" s="4"/>
      <c r="CP400" s="4"/>
      <c r="CQ400" s="4"/>
      <c r="CR400" s="4"/>
      <c r="CS400" s="4"/>
      <c r="CT400" s="4"/>
      <c r="CU400" s="4"/>
      <c r="CV400" s="4"/>
      <c r="CW400" s="4"/>
      <c r="CX400" s="4"/>
      <c r="CY400" s="4"/>
      <c r="CZ400" s="4"/>
      <c r="DA400" s="4"/>
      <c r="DB400" s="4"/>
      <c r="DC400" s="4"/>
      <c r="DD400" s="4"/>
      <c r="DE400" s="4"/>
      <c r="DF400" s="4"/>
      <c r="DG400" s="4"/>
      <c r="DH400" s="4"/>
      <c r="DI400" s="4"/>
      <c r="DJ400" s="4"/>
      <c r="DK400" s="4"/>
      <c r="DL400" s="4"/>
      <c r="DM400" s="4"/>
      <c r="DN400" s="4"/>
      <c r="DO400" s="4"/>
      <c r="DP400" s="4"/>
      <c r="DQ400" s="4"/>
      <c r="DR400" s="4"/>
      <c r="DS400" s="4"/>
      <c r="DT400" s="4"/>
      <c r="DU400" s="4"/>
      <c r="DV400" s="4"/>
    </row>
    <row r="401">
      <c r="A401" s="2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  <c r="CI401" s="4"/>
      <c r="CJ401" s="4"/>
      <c r="CK401" s="4"/>
      <c r="CL401" s="4"/>
      <c r="CM401" s="4"/>
      <c r="CN401" s="4"/>
      <c r="CO401" s="4"/>
      <c r="CP401" s="4"/>
      <c r="CQ401" s="4"/>
      <c r="CR401" s="4"/>
      <c r="CS401" s="4"/>
      <c r="CT401" s="4"/>
      <c r="CU401" s="4"/>
      <c r="CV401" s="4"/>
      <c r="CW401" s="4"/>
      <c r="CX401" s="4"/>
      <c r="CY401" s="4"/>
      <c r="CZ401" s="4"/>
      <c r="DA401" s="4"/>
      <c r="DB401" s="4"/>
      <c r="DC401" s="4"/>
      <c r="DD401" s="4"/>
      <c r="DE401" s="4"/>
      <c r="DF401" s="4"/>
      <c r="DG401" s="4"/>
      <c r="DH401" s="4"/>
      <c r="DI401" s="4"/>
      <c r="DJ401" s="4"/>
      <c r="DK401" s="4"/>
      <c r="DL401" s="4"/>
      <c r="DM401" s="4"/>
      <c r="DN401" s="4"/>
      <c r="DO401" s="4"/>
      <c r="DP401" s="4"/>
      <c r="DQ401" s="4"/>
      <c r="DR401" s="4"/>
      <c r="DS401" s="4"/>
      <c r="DT401" s="4"/>
      <c r="DU401" s="4"/>
      <c r="DV401" s="4"/>
    </row>
    <row r="402">
      <c r="A402" s="2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  <c r="CI402" s="4"/>
      <c r="CJ402" s="4"/>
      <c r="CK402" s="4"/>
      <c r="CL402" s="4"/>
      <c r="CM402" s="4"/>
      <c r="CN402" s="4"/>
      <c r="CO402" s="4"/>
      <c r="CP402" s="4"/>
      <c r="CQ402" s="4"/>
      <c r="CR402" s="4"/>
      <c r="CS402" s="4"/>
      <c r="CT402" s="4"/>
      <c r="CU402" s="4"/>
      <c r="CV402" s="4"/>
      <c r="CW402" s="4"/>
      <c r="CX402" s="4"/>
      <c r="CY402" s="4"/>
      <c r="CZ402" s="4"/>
      <c r="DA402" s="4"/>
      <c r="DB402" s="4"/>
      <c r="DC402" s="4"/>
      <c r="DD402" s="4"/>
      <c r="DE402" s="4"/>
      <c r="DF402" s="4"/>
      <c r="DG402" s="4"/>
      <c r="DH402" s="4"/>
      <c r="DI402" s="4"/>
      <c r="DJ402" s="4"/>
      <c r="DK402" s="4"/>
      <c r="DL402" s="4"/>
      <c r="DM402" s="4"/>
      <c r="DN402" s="4"/>
      <c r="DO402" s="4"/>
      <c r="DP402" s="4"/>
      <c r="DQ402" s="4"/>
      <c r="DR402" s="4"/>
      <c r="DS402" s="4"/>
      <c r="DT402" s="4"/>
      <c r="DU402" s="4"/>
      <c r="DV402" s="4"/>
    </row>
    <row r="403">
      <c r="A403" s="2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  <c r="CI403" s="4"/>
      <c r="CJ403" s="4"/>
      <c r="CK403" s="4"/>
      <c r="CL403" s="4"/>
      <c r="CM403" s="4"/>
      <c r="CN403" s="4"/>
      <c r="CO403" s="4"/>
      <c r="CP403" s="4"/>
      <c r="CQ403" s="4"/>
      <c r="CR403" s="4"/>
      <c r="CS403" s="4"/>
      <c r="CT403" s="4"/>
      <c r="CU403" s="4"/>
      <c r="CV403" s="4"/>
      <c r="CW403" s="4"/>
      <c r="CX403" s="4"/>
      <c r="CY403" s="4"/>
      <c r="CZ403" s="4"/>
      <c r="DA403" s="4"/>
      <c r="DB403" s="4"/>
      <c r="DC403" s="4"/>
      <c r="DD403" s="4"/>
      <c r="DE403" s="4"/>
      <c r="DF403" s="4"/>
      <c r="DG403" s="4"/>
      <c r="DH403" s="4"/>
      <c r="DI403" s="4"/>
      <c r="DJ403" s="4"/>
      <c r="DK403" s="4"/>
      <c r="DL403" s="4"/>
      <c r="DM403" s="4"/>
      <c r="DN403" s="4"/>
      <c r="DO403" s="4"/>
      <c r="DP403" s="4"/>
      <c r="DQ403" s="4"/>
      <c r="DR403" s="4"/>
      <c r="DS403" s="4"/>
      <c r="DT403" s="4"/>
      <c r="DU403" s="4"/>
      <c r="DV403" s="4"/>
    </row>
    <row r="404">
      <c r="A404" s="2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  <c r="CI404" s="4"/>
      <c r="CJ404" s="4"/>
      <c r="CK404" s="4"/>
      <c r="CL404" s="4"/>
      <c r="CM404" s="4"/>
      <c r="CN404" s="4"/>
      <c r="CO404" s="4"/>
      <c r="CP404" s="4"/>
      <c r="CQ404" s="4"/>
      <c r="CR404" s="4"/>
      <c r="CS404" s="4"/>
      <c r="CT404" s="4"/>
      <c r="CU404" s="4"/>
      <c r="CV404" s="4"/>
      <c r="CW404" s="4"/>
      <c r="CX404" s="4"/>
      <c r="CY404" s="4"/>
      <c r="CZ404" s="4"/>
      <c r="DA404" s="4"/>
      <c r="DB404" s="4"/>
      <c r="DC404" s="4"/>
      <c r="DD404" s="4"/>
      <c r="DE404" s="4"/>
      <c r="DF404" s="4"/>
      <c r="DG404" s="4"/>
      <c r="DH404" s="4"/>
      <c r="DI404" s="4"/>
      <c r="DJ404" s="4"/>
      <c r="DK404" s="4"/>
      <c r="DL404" s="4"/>
      <c r="DM404" s="4"/>
      <c r="DN404" s="4"/>
      <c r="DO404" s="4"/>
      <c r="DP404" s="4"/>
      <c r="DQ404" s="4"/>
      <c r="DR404" s="4"/>
      <c r="DS404" s="4"/>
      <c r="DT404" s="4"/>
      <c r="DU404" s="4"/>
      <c r="DV404" s="4"/>
    </row>
    <row r="405">
      <c r="A405" s="2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  <c r="CI405" s="4"/>
      <c r="CJ405" s="4"/>
      <c r="CK405" s="4"/>
      <c r="CL405" s="4"/>
      <c r="CM405" s="4"/>
      <c r="CN405" s="4"/>
      <c r="CO405" s="4"/>
      <c r="CP405" s="4"/>
      <c r="CQ405" s="4"/>
      <c r="CR405" s="4"/>
      <c r="CS405" s="4"/>
      <c r="CT405" s="4"/>
      <c r="CU405" s="4"/>
      <c r="CV405" s="4"/>
      <c r="CW405" s="4"/>
      <c r="CX405" s="4"/>
      <c r="CY405" s="4"/>
      <c r="CZ405" s="4"/>
      <c r="DA405" s="4"/>
      <c r="DB405" s="4"/>
      <c r="DC405" s="4"/>
      <c r="DD405" s="4"/>
      <c r="DE405" s="4"/>
      <c r="DF405" s="4"/>
      <c r="DG405" s="4"/>
      <c r="DH405" s="4"/>
      <c r="DI405" s="4"/>
      <c r="DJ405" s="4"/>
      <c r="DK405" s="4"/>
      <c r="DL405" s="4"/>
      <c r="DM405" s="4"/>
      <c r="DN405" s="4"/>
      <c r="DO405" s="4"/>
      <c r="DP405" s="4"/>
      <c r="DQ405" s="4"/>
      <c r="DR405" s="4"/>
      <c r="DS405" s="4"/>
      <c r="DT405" s="4"/>
      <c r="DU405" s="4"/>
      <c r="DV405" s="4"/>
    </row>
    <row r="406">
      <c r="A406" s="2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  <c r="CI406" s="4"/>
      <c r="CJ406" s="4"/>
      <c r="CK406" s="4"/>
      <c r="CL406" s="4"/>
      <c r="CM406" s="4"/>
      <c r="CN406" s="4"/>
      <c r="CO406" s="4"/>
      <c r="CP406" s="4"/>
      <c r="CQ406" s="4"/>
      <c r="CR406" s="4"/>
      <c r="CS406" s="4"/>
      <c r="CT406" s="4"/>
      <c r="CU406" s="4"/>
      <c r="CV406" s="4"/>
      <c r="CW406" s="4"/>
      <c r="CX406" s="4"/>
      <c r="CY406" s="4"/>
      <c r="CZ406" s="4"/>
      <c r="DA406" s="4"/>
      <c r="DB406" s="4"/>
      <c r="DC406" s="4"/>
      <c r="DD406" s="4"/>
      <c r="DE406" s="4"/>
      <c r="DF406" s="4"/>
      <c r="DG406" s="4"/>
      <c r="DH406" s="4"/>
      <c r="DI406" s="4"/>
      <c r="DJ406" s="4"/>
      <c r="DK406" s="4"/>
      <c r="DL406" s="4"/>
      <c r="DM406" s="4"/>
      <c r="DN406" s="4"/>
      <c r="DO406" s="4"/>
      <c r="DP406" s="4"/>
      <c r="DQ406" s="4"/>
      <c r="DR406" s="4"/>
      <c r="DS406" s="4"/>
      <c r="DT406" s="4"/>
      <c r="DU406" s="4"/>
      <c r="DV406" s="4"/>
    </row>
    <row r="407">
      <c r="A407" s="2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  <c r="CI407" s="4"/>
      <c r="CJ407" s="4"/>
      <c r="CK407" s="4"/>
      <c r="CL407" s="4"/>
      <c r="CM407" s="4"/>
      <c r="CN407" s="4"/>
      <c r="CO407" s="4"/>
      <c r="CP407" s="4"/>
      <c r="CQ407" s="4"/>
      <c r="CR407" s="4"/>
      <c r="CS407" s="4"/>
      <c r="CT407" s="4"/>
      <c r="CU407" s="4"/>
      <c r="CV407" s="4"/>
      <c r="CW407" s="4"/>
      <c r="CX407" s="4"/>
      <c r="CY407" s="4"/>
      <c r="CZ407" s="4"/>
      <c r="DA407" s="4"/>
      <c r="DB407" s="4"/>
      <c r="DC407" s="4"/>
      <c r="DD407" s="4"/>
      <c r="DE407" s="4"/>
      <c r="DF407" s="4"/>
      <c r="DG407" s="4"/>
      <c r="DH407" s="4"/>
      <c r="DI407" s="4"/>
      <c r="DJ407" s="4"/>
      <c r="DK407" s="4"/>
      <c r="DL407" s="4"/>
      <c r="DM407" s="4"/>
      <c r="DN407" s="4"/>
      <c r="DO407" s="4"/>
      <c r="DP407" s="4"/>
      <c r="DQ407" s="4"/>
      <c r="DR407" s="4"/>
      <c r="DS407" s="4"/>
      <c r="DT407" s="4"/>
      <c r="DU407" s="4"/>
      <c r="DV407" s="4"/>
    </row>
    <row r="408">
      <c r="A408" s="2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  <c r="CI408" s="4"/>
      <c r="CJ408" s="4"/>
      <c r="CK408" s="4"/>
      <c r="CL408" s="4"/>
      <c r="CM408" s="4"/>
      <c r="CN408" s="4"/>
      <c r="CO408" s="4"/>
      <c r="CP408" s="4"/>
      <c r="CQ408" s="4"/>
      <c r="CR408" s="4"/>
      <c r="CS408" s="4"/>
      <c r="CT408" s="4"/>
      <c r="CU408" s="4"/>
      <c r="CV408" s="4"/>
      <c r="CW408" s="4"/>
      <c r="CX408" s="4"/>
      <c r="CY408" s="4"/>
      <c r="CZ408" s="4"/>
      <c r="DA408" s="4"/>
      <c r="DB408" s="4"/>
      <c r="DC408" s="4"/>
      <c r="DD408" s="4"/>
      <c r="DE408" s="4"/>
      <c r="DF408" s="4"/>
      <c r="DG408" s="4"/>
      <c r="DH408" s="4"/>
      <c r="DI408" s="4"/>
      <c r="DJ408" s="4"/>
      <c r="DK408" s="4"/>
      <c r="DL408" s="4"/>
      <c r="DM408" s="4"/>
      <c r="DN408" s="4"/>
      <c r="DO408" s="4"/>
      <c r="DP408" s="4"/>
      <c r="DQ408" s="4"/>
      <c r="DR408" s="4"/>
      <c r="DS408" s="4"/>
      <c r="DT408" s="4"/>
      <c r="DU408" s="4"/>
      <c r="DV408" s="4"/>
    </row>
    <row r="409">
      <c r="A409" s="2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  <c r="CI409" s="4"/>
      <c r="CJ409" s="4"/>
      <c r="CK409" s="4"/>
      <c r="CL409" s="4"/>
      <c r="CM409" s="4"/>
      <c r="CN409" s="4"/>
      <c r="CO409" s="4"/>
      <c r="CP409" s="4"/>
      <c r="CQ409" s="4"/>
      <c r="CR409" s="4"/>
      <c r="CS409" s="4"/>
      <c r="CT409" s="4"/>
      <c r="CU409" s="4"/>
      <c r="CV409" s="4"/>
      <c r="CW409" s="4"/>
      <c r="CX409" s="4"/>
      <c r="CY409" s="4"/>
      <c r="CZ409" s="4"/>
      <c r="DA409" s="4"/>
      <c r="DB409" s="4"/>
      <c r="DC409" s="4"/>
      <c r="DD409" s="4"/>
      <c r="DE409" s="4"/>
      <c r="DF409" s="4"/>
      <c r="DG409" s="4"/>
      <c r="DH409" s="4"/>
      <c r="DI409" s="4"/>
      <c r="DJ409" s="4"/>
      <c r="DK409" s="4"/>
      <c r="DL409" s="4"/>
      <c r="DM409" s="4"/>
      <c r="DN409" s="4"/>
      <c r="DO409" s="4"/>
      <c r="DP409" s="4"/>
      <c r="DQ409" s="4"/>
      <c r="DR409" s="4"/>
      <c r="DS409" s="4"/>
      <c r="DT409" s="4"/>
      <c r="DU409" s="4"/>
      <c r="DV409" s="4"/>
    </row>
    <row r="410">
      <c r="A410" s="2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  <c r="CI410" s="4"/>
      <c r="CJ410" s="4"/>
      <c r="CK410" s="4"/>
      <c r="CL410" s="4"/>
      <c r="CM410" s="4"/>
      <c r="CN410" s="4"/>
      <c r="CO410" s="4"/>
      <c r="CP410" s="4"/>
      <c r="CQ410" s="4"/>
      <c r="CR410" s="4"/>
      <c r="CS410" s="4"/>
      <c r="CT410" s="4"/>
      <c r="CU410" s="4"/>
      <c r="CV410" s="4"/>
      <c r="CW410" s="4"/>
      <c r="CX410" s="4"/>
      <c r="CY410" s="4"/>
      <c r="CZ410" s="4"/>
      <c r="DA410" s="4"/>
      <c r="DB410" s="4"/>
      <c r="DC410" s="4"/>
      <c r="DD410" s="4"/>
      <c r="DE410" s="4"/>
      <c r="DF410" s="4"/>
      <c r="DG410" s="4"/>
      <c r="DH410" s="4"/>
      <c r="DI410" s="4"/>
      <c r="DJ410" s="4"/>
      <c r="DK410" s="4"/>
      <c r="DL410" s="4"/>
      <c r="DM410" s="4"/>
      <c r="DN410" s="4"/>
      <c r="DO410" s="4"/>
      <c r="DP410" s="4"/>
      <c r="DQ410" s="4"/>
      <c r="DR410" s="4"/>
      <c r="DS410" s="4"/>
      <c r="DT410" s="4"/>
      <c r="DU410" s="4"/>
      <c r="DV410" s="4"/>
    </row>
    <row r="411">
      <c r="A411" s="2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  <c r="CI411" s="4"/>
      <c r="CJ411" s="4"/>
      <c r="CK411" s="4"/>
      <c r="CL411" s="4"/>
      <c r="CM411" s="4"/>
      <c r="CN411" s="4"/>
      <c r="CO411" s="4"/>
      <c r="CP411" s="4"/>
      <c r="CQ411" s="4"/>
      <c r="CR411" s="4"/>
      <c r="CS411" s="4"/>
      <c r="CT411" s="4"/>
      <c r="CU411" s="4"/>
      <c r="CV411" s="4"/>
      <c r="CW411" s="4"/>
      <c r="CX411" s="4"/>
      <c r="CY411" s="4"/>
      <c r="CZ411" s="4"/>
      <c r="DA411" s="4"/>
      <c r="DB411" s="4"/>
      <c r="DC411" s="4"/>
      <c r="DD411" s="4"/>
      <c r="DE411" s="4"/>
      <c r="DF411" s="4"/>
      <c r="DG411" s="4"/>
      <c r="DH411" s="4"/>
      <c r="DI411" s="4"/>
      <c r="DJ411" s="4"/>
      <c r="DK411" s="4"/>
      <c r="DL411" s="4"/>
      <c r="DM411" s="4"/>
      <c r="DN411" s="4"/>
      <c r="DO411" s="4"/>
      <c r="DP411" s="4"/>
      <c r="DQ411" s="4"/>
      <c r="DR411" s="4"/>
      <c r="DS411" s="4"/>
      <c r="DT411" s="4"/>
      <c r="DU411" s="4"/>
      <c r="DV411" s="4"/>
    </row>
    <row r="412">
      <c r="A412" s="2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  <c r="CI412" s="4"/>
      <c r="CJ412" s="4"/>
      <c r="CK412" s="4"/>
      <c r="CL412" s="4"/>
      <c r="CM412" s="4"/>
      <c r="CN412" s="4"/>
      <c r="CO412" s="4"/>
      <c r="CP412" s="4"/>
      <c r="CQ412" s="4"/>
      <c r="CR412" s="4"/>
      <c r="CS412" s="4"/>
      <c r="CT412" s="4"/>
      <c r="CU412" s="4"/>
      <c r="CV412" s="4"/>
      <c r="CW412" s="4"/>
      <c r="CX412" s="4"/>
      <c r="CY412" s="4"/>
      <c r="CZ412" s="4"/>
      <c r="DA412" s="4"/>
      <c r="DB412" s="4"/>
      <c r="DC412" s="4"/>
      <c r="DD412" s="4"/>
      <c r="DE412" s="4"/>
      <c r="DF412" s="4"/>
      <c r="DG412" s="4"/>
      <c r="DH412" s="4"/>
      <c r="DI412" s="4"/>
      <c r="DJ412" s="4"/>
      <c r="DK412" s="4"/>
      <c r="DL412" s="4"/>
      <c r="DM412" s="4"/>
      <c r="DN412" s="4"/>
      <c r="DO412" s="4"/>
      <c r="DP412" s="4"/>
      <c r="DQ412" s="4"/>
      <c r="DR412" s="4"/>
      <c r="DS412" s="4"/>
      <c r="DT412" s="4"/>
      <c r="DU412" s="4"/>
      <c r="DV412" s="4"/>
    </row>
    <row r="413">
      <c r="A413" s="2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  <c r="CI413" s="4"/>
      <c r="CJ413" s="4"/>
      <c r="CK413" s="4"/>
      <c r="CL413" s="4"/>
      <c r="CM413" s="4"/>
      <c r="CN413" s="4"/>
      <c r="CO413" s="4"/>
      <c r="CP413" s="4"/>
      <c r="CQ413" s="4"/>
      <c r="CR413" s="4"/>
      <c r="CS413" s="4"/>
      <c r="CT413" s="4"/>
      <c r="CU413" s="4"/>
      <c r="CV413" s="4"/>
      <c r="CW413" s="4"/>
      <c r="CX413" s="4"/>
      <c r="CY413" s="4"/>
      <c r="CZ413" s="4"/>
      <c r="DA413" s="4"/>
      <c r="DB413" s="4"/>
      <c r="DC413" s="4"/>
      <c r="DD413" s="4"/>
      <c r="DE413" s="4"/>
      <c r="DF413" s="4"/>
      <c r="DG413" s="4"/>
      <c r="DH413" s="4"/>
      <c r="DI413" s="4"/>
      <c r="DJ413" s="4"/>
      <c r="DK413" s="4"/>
      <c r="DL413" s="4"/>
      <c r="DM413" s="4"/>
      <c r="DN413" s="4"/>
      <c r="DO413" s="4"/>
      <c r="DP413" s="4"/>
      <c r="DQ413" s="4"/>
      <c r="DR413" s="4"/>
      <c r="DS413" s="4"/>
      <c r="DT413" s="4"/>
      <c r="DU413" s="4"/>
      <c r="DV413" s="4"/>
    </row>
    <row r="414">
      <c r="A414" s="2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  <c r="CI414" s="4"/>
      <c r="CJ414" s="4"/>
      <c r="CK414" s="4"/>
      <c r="CL414" s="4"/>
      <c r="CM414" s="4"/>
      <c r="CN414" s="4"/>
      <c r="CO414" s="4"/>
      <c r="CP414" s="4"/>
      <c r="CQ414" s="4"/>
      <c r="CR414" s="4"/>
      <c r="CS414" s="4"/>
      <c r="CT414" s="4"/>
      <c r="CU414" s="4"/>
      <c r="CV414" s="4"/>
      <c r="CW414" s="4"/>
      <c r="CX414" s="4"/>
      <c r="CY414" s="4"/>
      <c r="CZ414" s="4"/>
      <c r="DA414" s="4"/>
      <c r="DB414" s="4"/>
      <c r="DC414" s="4"/>
      <c r="DD414" s="4"/>
      <c r="DE414" s="4"/>
      <c r="DF414" s="4"/>
      <c r="DG414" s="4"/>
      <c r="DH414" s="4"/>
      <c r="DI414" s="4"/>
      <c r="DJ414" s="4"/>
      <c r="DK414" s="4"/>
      <c r="DL414" s="4"/>
      <c r="DM414" s="4"/>
      <c r="DN414" s="4"/>
      <c r="DO414" s="4"/>
      <c r="DP414" s="4"/>
      <c r="DQ414" s="4"/>
      <c r="DR414" s="4"/>
      <c r="DS414" s="4"/>
      <c r="DT414" s="4"/>
      <c r="DU414" s="4"/>
      <c r="DV414" s="4"/>
    </row>
    <row r="415">
      <c r="A415" s="2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  <c r="CI415" s="4"/>
      <c r="CJ415" s="4"/>
      <c r="CK415" s="4"/>
      <c r="CL415" s="4"/>
      <c r="CM415" s="4"/>
      <c r="CN415" s="4"/>
      <c r="CO415" s="4"/>
      <c r="CP415" s="4"/>
      <c r="CQ415" s="4"/>
      <c r="CR415" s="4"/>
      <c r="CS415" s="4"/>
      <c r="CT415" s="4"/>
      <c r="CU415" s="4"/>
      <c r="CV415" s="4"/>
      <c r="CW415" s="4"/>
      <c r="CX415" s="4"/>
      <c r="CY415" s="4"/>
      <c r="CZ415" s="4"/>
      <c r="DA415" s="4"/>
      <c r="DB415" s="4"/>
      <c r="DC415" s="4"/>
      <c r="DD415" s="4"/>
      <c r="DE415" s="4"/>
      <c r="DF415" s="4"/>
      <c r="DG415" s="4"/>
      <c r="DH415" s="4"/>
      <c r="DI415" s="4"/>
      <c r="DJ415" s="4"/>
      <c r="DK415" s="4"/>
      <c r="DL415" s="4"/>
      <c r="DM415" s="4"/>
      <c r="DN415" s="4"/>
      <c r="DO415" s="4"/>
      <c r="DP415" s="4"/>
      <c r="DQ415" s="4"/>
      <c r="DR415" s="4"/>
      <c r="DS415" s="4"/>
      <c r="DT415" s="4"/>
      <c r="DU415" s="4"/>
      <c r="DV415" s="4"/>
    </row>
    <row r="416">
      <c r="A416" s="2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  <c r="CI416" s="4"/>
      <c r="CJ416" s="4"/>
      <c r="CK416" s="4"/>
      <c r="CL416" s="4"/>
      <c r="CM416" s="4"/>
      <c r="CN416" s="4"/>
      <c r="CO416" s="4"/>
      <c r="CP416" s="4"/>
      <c r="CQ416" s="4"/>
      <c r="CR416" s="4"/>
      <c r="CS416" s="4"/>
      <c r="CT416" s="4"/>
      <c r="CU416" s="4"/>
      <c r="CV416" s="4"/>
      <c r="CW416" s="4"/>
      <c r="CX416" s="4"/>
      <c r="CY416" s="4"/>
      <c r="CZ416" s="4"/>
      <c r="DA416" s="4"/>
      <c r="DB416" s="4"/>
      <c r="DC416" s="4"/>
      <c r="DD416" s="4"/>
      <c r="DE416" s="4"/>
      <c r="DF416" s="4"/>
      <c r="DG416" s="4"/>
      <c r="DH416" s="4"/>
      <c r="DI416" s="4"/>
      <c r="DJ416" s="4"/>
      <c r="DK416" s="4"/>
      <c r="DL416" s="4"/>
      <c r="DM416" s="4"/>
      <c r="DN416" s="4"/>
      <c r="DO416" s="4"/>
      <c r="DP416" s="4"/>
      <c r="DQ416" s="4"/>
      <c r="DR416" s="4"/>
      <c r="DS416" s="4"/>
      <c r="DT416" s="4"/>
      <c r="DU416" s="4"/>
      <c r="DV416" s="4"/>
    </row>
    <row r="417">
      <c r="A417" s="2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  <c r="CI417" s="4"/>
      <c r="CJ417" s="4"/>
      <c r="CK417" s="4"/>
      <c r="CL417" s="4"/>
      <c r="CM417" s="4"/>
      <c r="CN417" s="4"/>
      <c r="CO417" s="4"/>
      <c r="CP417" s="4"/>
      <c r="CQ417" s="4"/>
      <c r="CR417" s="4"/>
      <c r="CS417" s="4"/>
      <c r="CT417" s="4"/>
      <c r="CU417" s="4"/>
      <c r="CV417" s="4"/>
      <c r="CW417" s="4"/>
      <c r="CX417" s="4"/>
      <c r="CY417" s="4"/>
      <c r="CZ417" s="4"/>
      <c r="DA417" s="4"/>
      <c r="DB417" s="4"/>
      <c r="DC417" s="4"/>
      <c r="DD417" s="4"/>
      <c r="DE417" s="4"/>
      <c r="DF417" s="4"/>
      <c r="DG417" s="4"/>
      <c r="DH417" s="4"/>
      <c r="DI417" s="4"/>
      <c r="DJ417" s="4"/>
      <c r="DK417" s="4"/>
      <c r="DL417" s="4"/>
      <c r="DM417" s="4"/>
      <c r="DN417" s="4"/>
      <c r="DO417" s="4"/>
      <c r="DP417" s="4"/>
      <c r="DQ417" s="4"/>
      <c r="DR417" s="4"/>
      <c r="DS417" s="4"/>
      <c r="DT417" s="4"/>
      <c r="DU417" s="4"/>
      <c r="DV417" s="4"/>
    </row>
    <row r="418">
      <c r="A418" s="2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  <c r="CI418" s="4"/>
      <c r="CJ418" s="4"/>
      <c r="CK418" s="4"/>
      <c r="CL418" s="4"/>
      <c r="CM418" s="4"/>
      <c r="CN418" s="4"/>
      <c r="CO418" s="4"/>
      <c r="CP418" s="4"/>
      <c r="CQ418" s="4"/>
      <c r="CR418" s="4"/>
      <c r="CS418" s="4"/>
      <c r="CT418" s="4"/>
      <c r="CU418" s="4"/>
      <c r="CV418" s="4"/>
      <c r="CW418" s="4"/>
      <c r="CX418" s="4"/>
      <c r="CY418" s="4"/>
      <c r="CZ418" s="4"/>
      <c r="DA418" s="4"/>
      <c r="DB418" s="4"/>
      <c r="DC418" s="4"/>
      <c r="DD418" s="4"/>
      <c r="DE418" s="4"/>
      <c r="DF418" s="4"/>
      <c r="DG418" s="4"/>
      <c r="DH418" s="4"/>
      <c r="DI418" s="4"/>
      <c r="DJ418" s="4"/>
      <c r="DK418" s="4"/>
      <c r="DL418" s="4"/>
      <c r="DM418" s="4"/>
      <c r="DN418" s="4"/>
      <c r="DO418" s="4"/>
      <c r="DP418" s="4"/>
      <c r="DQ418" s="4"/>
      <c r="DR418" s="4"/>
      <c r="DS418" s="4"/>
      <c r="DT418" s="4"/>
      <c r="DU418" s="4"/>
      <c r="DV418" s="4"/>
    </row>
    <row r="419">
      <c r="A419" s="2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  <c r="CI419" s="4"/>
      <c r="CJ419" s="4"/>
      <c r="CK419" s="4"/>
      <c r="CL419" s="4"/>
      <c r="CM419" s="4"/>
      <c r="CN419" s="4"/>
      <c r="CO419" s="4"/>
      <c r="CP419" s="4"/>
      <c r="CQ419" s="4"/>
      <c r="CR419" s="4"/>
      <c r="CS419" s="4"/>
      <c r="CT419" s="4"/>
      <c r="CU419" s="4"/>
      <c r="CV419" s="4"/>
      <c r="CW419" s="4"/>
      <c r="CX419" s="4"/>
      <c r="CY419" s="4"/>
      <c r="CZ419" s="4"/>
      <c r="DA419" s="4"/>
      <c r="DB419" s="4"/>
      <c r="DC419" s="4"/>
      <c r="DD419" s="4"/>
      <c r="DE419" s="4"/>
      <c r="DF419" s="4"/>
      <c r="DG419" s="4"/>
      <c r="DH419" s="4"/>
      <c r="DI419" s="4"/>
      <c r="DJ419" s="4"/>
      <c r="DK419" s="4"/>
      <c r="DL419" s="4"/>
      <c r="DM419" s="4"/>
      <c r="DN419" s="4"/>
      <c r="DO419" s="4"/>
      <c r="DP419" s="4"/>
      <c r="DQ419" s="4"/>
      <c r="DR419" s="4"/>
      <c r="DS419" s="4"/>
      <c r="DT419" s="4"/>
      <c r="DU419" s="4"/>
      <c r="DV419" s="4"/>
    </row>
    <row r="420">
      <c r="A420" s="2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  <c r="CI420" s="4"/>
      <c r="CJ420" s="4"/>
      <c r="CK420" s="4"/>
      <c r="CL420" s="4"/>
      <c r="CM420" s="4"/>
      <c r="CN420" s="4"/>
      <c r="CO420" s="4"/>
      <c r="CP420" s="4"/>
      <c r="CQ420" s="4"/>
      <c r="CR420" s="4"/>
      <c r="CS420" s="4"/>
      <c r="CT420" s="4"/>
      <c r="CU420" s="4"/>
      <c r="CV420" s="4"/>
      <c r="CW420" s="4"/>
      <c r="CX420" s="4"/>
      <c r="CY420" s="4"/>
      <c r="CZ420" s="4"/>
      <c r="DA420" s="4"/>
      <c r="DB420" s="4"/>
      <c r="DC420" s="4"/>
      <c r="DD420" s="4"/>
      <c r="DE420" s="4"/>
      <c r="DF420" s="4"/>
      <c r="DG420" s="4"/>
      <c r="DH420" s="4"/>
      <c r="DI420" s="4"/>
      <c r="DJ420" s="4"/>
      <c r="DK420" s="4"/>
      <c r="DL420" s="4"/>
      <c r="DM420" s="4"/>
      <c r="DN420" s="4"/>
      <c r="DO420" s="4"/>
      <c r="DP420" s="4"/>
      <c r="DQ420" s="4"/>
      <c r="DR420" s="4"/>
      <c r="DS420" s="4"/>
      <c r="DT420" s="4"/>
      <c r="DU420" s="4"/>
      <c r="DV420" s="4"/>
    </row>
    <row r="421">
      <c r="A421" s="2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  <c r="CI421" s="4"/>
      <c r="CJ421" s="4"/>
      <c r="CK421" s="4"/>
      <c r="CL421" s="4"/>
      <c r="CM421" s="4"/>
      <c r="CN421" s="4"/>
      <c r="CO421" s="4"/>
      <c r="CP421" s="4"/>
      <c r="CQ421" s="4"/>
      <c r="CR421" s="4"/>
      <c r="CS421" s="4"/>
      <c r="CT421" s="4"/>
      <c r="CU421" s="4"/>
      <c r="CV421" s="4"/>
      <c r="CW421" s="4"/>
      <c r="CX421" s="4"/>
      <c r="CY421" s="4"/>
      <c r="CZ421" s="4"/>
      <c r="DA421" s="4"/>
      <c r="DB421" s="4"/>
      <c r="DC421" s="4"/>
      <c r="DD421" s="4"/>
      <c r="DE421" s="4"/>
      <c r="DF421" s="4"/>
      <c r="DG421" s="4"/>
      <c r="DH421" s="4"/>
      <c r="DI421" s="4"/>
      <c r="DJ421" s="4"/>
      <c r="DK421" s="4"/>
      <c r="DL421" s="4"/>
      <c r="DM421" s="4"/>
      <c r="DN421" s="4"/>
      <c r="DO421" s="4"/>
      <c r="DP421" s="4"/>
      <c r="DQ421" s="4"/>
      <c r="DR421" s="4"/>
      <c r="DS421" s="4"/>
      <c r="DT421" s="4"/>
      <c r="DU421" s="4"/>
      <c r="DV421" s="4"/>
    </row>
    <row r="422">
      <c r="A422" s="2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  <c r="CI422" s="4"/>
      <c r="CJ422" s="4"/>
      <c r="CK422" s="4"/>
      <c r="CL422" s="4"/>
      <c r="CM422" s="4"/>
      <c r="CN422" s="4"/>
      <c r="CO422" s="4"/>
      <c r="CP422" s="4"/>
      <c r="CQ422" s="4"/>
      <c r="CR422" s="4"/>
      <c r="CS422" s="4"/>
      <c r="CT422" s="4"/>
      <c r="CU422" s="4"/>
      <c r="CV422" s="4"/>
      <c r="CW422" s="4"/>
      <c r="CX422" s="4"/>
      <c r="CY422" s="4"/>
      <c r="CZ422" s="4"/>
      <c r="DA422" s="4"/>
      <c r="DB422" s="4"/>
      <c r="DC422" s="4"/>
      <c r="DD422" s="4"/>
      <c r="DE422" s="4"/>
      <c r="DF422" s="4"/>
      <c r="DG422" s="4"/>
      <c r="DH422" s="4"/>
      <c r="DI422" s="4"/>
      <c r="DJ422" s="4"/>
      <c r="DK422" s="4"/>
      <c r="DL422" s="4"/>
      <c r="DM422" s="4"/>
      <c r="DN422" s="4"/>
      <c r="DO422" s="4"/>
      <c r="DP422" s="4"/>
      <c r="DQ422" s="4"/>
      <c r="DR422" s="4"/>
      <c r="DS422" s="4"/>
      <c r="DT422" s="4"/>
      <c r="DU422" s="4"/>
      <c r="DV422" s="4"/>
    </row>
    <row r="423">
      <c r="A423" s="2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  <c r="CI423" s="4"/>
      <c r="CJ423" s="4"/>
      <c r="CK423" s="4"/>
      <c r="CL423" s="4"/>
      <c r="CM423" s="4"/>
      <c r="CN423" s="4"/>
      <c r="CO423" s="4"/>
      <c r="CP423" s="4"/>
      <c r="CQ423" s="4"/>
      <c r="CR423" s="4"/>
      <c r="CS423" s="4"/>
      <c r="CT423" s="4"/>
      <c r="CU423" s="4"/>
      <c r="CV423" s="4"/>
      <c r="CW423" s="4"/>
      <c r="CX423" s="4"/>
      <c r="CY423" s="4"/>
      <c r="CZ423" s="4"/>
      <c r="DA423" s="4"/>
      <c r="DB423" s="4"/>
      <c r="DC423" s="4"/>
      <c r="DD423" s="4"/>
      <c r="DE423" s="4"/>
      <c r="DF423" s="4"/>
      <c r="DG423" s="4"/>
      <c r="DH423" s="4"/>
      <c r="DI423" s="4"/>
      <c r="DJ423" s="4"/>
      <c r="DK423" s="4"/>
      <c r="DL423" s="4"/>
      <c r="DM423" s="4"/>
      <c r="DN423" s="4"/>
      <c r="DO423" s="4"/>
      <c r="DP423" s="4"/>
      <c r="DQ423" s="4"/>
      <c r="DR423" s="4"/>
      <c r="DS423" s="4"/>
      <c r="DT423" s="4"/>
      <c r="DU423" s="4"/>
      <c r="DV423" s="4"/>
    </row>
    <row r="424">
      <c r="A424" s="2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  <c r="CI424" s="4"/>
      <c r="CJ424" s="4"/>
      <c r="CK424" s="4"/>
      <c r="CL424" s="4"/>
      <c r="CM424" s="4"/>
      <c r="CN424" s="4"/>
      <c r="CO424" s="4"/>
      <c r="CP424" s="4"/>
      <c r="CQ424" s="4"/>
      <c r="CR424" s="4"/>
      <c r="CS424" s="4"/>
      <c r="CT424" s="4"/>
      <c r="CU424" s="4"/>
      <c r="CV424" s="4"/>
      <c r="CW424" s="4"/>
      <c r="CX424" s="4"/>
      <c r="CY424" s="4"/>
      <c r="CZ424" s="4"/>
      <c r="DA424" s="4"/>
      <c r="DB424" s="4"/>
      <c r="DC424" s="4"/>
      <c r="DD424" s="4"/>
      <c r="DE424" s="4"/>
      <c r="DF424" s="4"/>
      <c r="DG424" s="4"/>
      <c r="DH424" s="4"/>
      <c r="DI424" s="4"/>
      <c r="DJ424" s="4"/>
      <c r="DK424" s="4"/>
      <c r="DL424" s="4"/>
      <c r="DM424" s="4"/>
      <c r="DN424" s="4"/>
      <c r="DO424" s="4"/>
      <c r="DP424" s="4"/>
      <c r="DQ424" s="4"/>
      <c r="DR424" s="4"/>
      <c r="DS424" s="4"/>
      <c r="DT424" s="4"/>
      <c r="DU424" s="4"/>
      <c r="DV424" s="4"/>
    </row>
    <row r="425">
      <c r="A425" s="2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  <c r="CI425" s="4"/>
      <c r="CJ425" s="4"/>
      <c r="CK425" s="4"/>
      <c r="CL425" s="4"/>
      <c r="CM425" s="4"/>
      <c r="CN425" s="4"/>
      <c r="CO425" s="4"/>
      <c r="CP425" s="4"/>
      <c r="CQ425" s="4"/>
      <c r="CR425" s="4"/>
      <c r="CS425" s="4"/>
      <c r="CT425" s="4"/>
      <c r="CU425" s="4"/>
      <c r="CV425" s="4"/>
      <c r="CW425" s="4"/>
      <c r="CX425" s="4"/>
      <c r="CY425" s="4"/>
      <c r="CZ425" s="4"/>
      <c r="DA425" s="4"/>
      <c r="DB425" s="4"/>
      <c r="DC425" s="4"/>
      <c r="DD425" s="4"/>
      <c r="DE425" s="4"/>
      <c r="DF425" s="4"/>
      <c r="DG425" s="4"/>
      <c r="DH425" s="4"/>
      <c r="DI425" s="4"/>
      <c r="DJ425" s="4"/>
      <c r="DK425" s="4"/>
      <c r="DL425" s="4"/>
      <c r="DM425" s="4"/>
      <c r="DN425" s="4"/>
      <c r="DO425" s="4"/>
      <c r="DP425" s="4"/>
      <c r="DQ425" s="4"/>
      <c r="DR425" s="4"/>
      <c r="DS425" s="4"/>
      <c r="DT425" s="4"/>
      <c r="DU425" s="4"/>
      <c r="DV425" s="4"/>
    </row>
    <row r="426">
      <c r="A426" s="2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  <c r="CI426" s="4"/>
      <c r="CJ426" s="4"/>
      <c r="CK426" s="4"/>
      <c r="CL426" s="4"/>
      <c r="CM426" s="4"/>
      <c r="CN426" s="4"/>
      <c r="CO426" s="4"/>
      <c r="CP426" s="4"/>
      <c r="CQ426" s="4"/>
      <c r="CR426" s="4"/>
      <c r="CS426" s="4"/>
      <c r="CT426" s="4"/>
      <c r="CU426" s="4"/>
      <c r="CV426" s="4"/>
      <c r="CW426" s="4"/>
      <c r="CX426" s="4"/>
      <c r="CY426" s="4"/>
      <c r="CZ426" s="4"/>
      <c r="DA426" s="4"/>
      <c r="DB426" s="4"/>
      <c r="DC426" s="4"/>
      <c r="DD426" s="4"/>
      <c r="DE426" s="4"/>
      <c r="DF426" s="4"/>
      <c r="DG426" s="4"/>
      <c r="DH426" s="4"/>
      <c r="DI426" s="4"/>
      <c r="DJ426" s="4"/>
      <c r="DK426" s="4"/>
      <c r="DL426" s="4"/>
      <c r="DM426" s="4"/>
      <c r="DN426" s="4"/>
      <c r="DO426" s="4"/>
      <c r="DP426" s="4"/>
      <c r="DQ426" s="4"/>
      <c r="DR426" s="4"/>
      <c r="DS426" s="4"/>
      <c r="DT426" s="4"/>
      <c r="DU426" s="4"/>
      <c r="DV426" s="4"/>
    </row>
    <row r="427">
      <c r="A427" s="2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  <c r="CI427" s="4"/>
      <c r="CJ427" s="4"/>
      <c r="CK427" s="4"/>
      <c r="CL427" s="4"/>
      <c r="CM427" s="4"/>
      <c r="CN427" s="4"/>
      <c r="CO427" s="4"/>
      <c r="CP427" s="4"/>
      <c r="CQ427" s="4"/>
      <c r="CR427" s="4"/>
      <c r="CS427" s="4"/>
      <c r="CT427" s="4"/>
      <c r="CU427" s="4"/>
      <c r="CV427" s="4"/>
      <c r="CW427" s="4"/>
      <c r="CX427" s="4"/>
      <c r="CY427" s="4"/>
      <c r="CZ427" s="4"/>
      <c r="DA427" s="4"/>
      <c r="DB427" s="4"/>
      <c r="DC427" s="4"/>
      <c r="DD427" s="4"/>
      <c r="DE427" s="4"/>
      <c r="DF427" s="4"/>
      <c r="DG427" s="4"/>
      <c r="DH427" s="4"/>
      <c r="DI427" s="4"/>
      <c r="DJ427" s="4"/>
      <c r="DK427" s="4"/>
      <c r="DL427" s="4"/>
      <c r="DM427" s="4"/>
      <c r="DN427" s="4"/>
      <c r="DO427" s="4"/>
      <c r="DP427" s="4"/>
      <c r="DQ427" s="4"/>
      <c r="DR427" s="4"/>
      <c r="DS427" s="4"/>
      <c r="DT427" s="4"/>
      <c r="DU427" s="4"/>
      <c r="DV427" s="4"/>
    </row>
    <row r="428">
      <c r="A428" s="2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  <c r="CI428" s="4"/>
      <c r="CJ428" s="4"/>
      <c r="CK428" s="4"/>
      <c r="CL428" s="4"/>
      <c r="CM428" s="4"/>
      <c r="CN428" s="4"/>
      <c r="CO428" s="4"/>
      <c r="CP428" s="4"/>
      <c r="CQ428" s="4"/>
      <c r="CR428" s="4"/>
      <c r="CS428" s="4"/>
      <c r="CT428" s="4"/>
      <c r="CU428" s="4"/>
      <c r="CV428" s="4"/>
      <c r="CW428" s="4"/>
      <c r="CX428" s="4"/>
      <c r="CY428" s="4"/>
      <c r="CZ428" s="4"/>
      <c r="DA428" s="4"/>
      <c r="DB428" s="4"/>
      <c r="DC428" s="4"/>
      <c r="DD428" s="4"/>
      <c r="DE428" s="4"/>
      <c r="DF428" s="4"/>
      <c r="DG428" s="4"/>
      <c r="DH428" s="4"/>
      <c r="DI428" s="4"/>
      <c r="DJ428" s="4"/>
      <c r="DK428" s="4"/>
      <c r="DL428" s="4"/>
      <c r="DM428" s="4"/>
      <c r="DN428" s="4"/>
      <c r="DO428" s="4"/>
      <c r="DP428" s="4"/>
      <c r="DQ428" s="4"/>
      <c r="DR428" s="4"/>
      <c r="DS428" s="4"/>
      <c r="DT428" s="4"/>
      <c r="DU428" s="4"/>
      <c r="DV428" s="4"/>
    </row>
    <row r="429">
      <c r="A429" s="2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  <c r="CI429" s="4"/>
      <c r="CJ429" s="4"/>
      <c r="CK429" s="4"/>
      <c r="CL429" s="4"/>
      <c r="CM429" s="4"/>
      <c r="CN429" s="4"/>
      <c r="CO429" s="4"/>
      <c r="CP429" s="4"/>
      <c r="CQ429" s="4"/>
      <c r="CR429" s="4"/>
      <c r="CS429" s="4"/>
      <c r="CT429" s="4"/>
      <c r="CU429" s="4"/>
      <c r="CV429" s="4"/>
      <c r="CW429" s="4"/>
      <c r="CX429" s="4"/>
      <c r="CY429" s="4"/>
      <c r="CZ429" s="4"/>
      <c r="DA429" s="4"/>
      <c r="DB429" s="4"/>
      <c r="DC429" s="4"/>
      <c r="DD429" s="4"/>
      <c r="DE429" s="4"/>
      <c r="DF429" s="4"/>
      <c r="DG429" s="4"/>
      <c r="DH429" s="4"/>
      <c r="DI429" s="4"/>
      <c r="DJ429" s="4"/>
      <c r="DK429" s="4"/>
      <c r="DL429" s="4"/>
      <c r="DM429" s="4"/>
      <c r="DN429" s="4"/>
      <c r="DO429" s="4"/>
      <c r="DP429" s="4"/>
      <c r="DQ429" s="4"/>
      <c r="DR429" s="4"/>
      <c r="DS429" s="4"/>
      <c r="DT429" s="4"/>
      <c r="DU429" s="4"/>
      <c r="DV429" s="4"/>
    </row>
    <row r="430">
      <c r="A430" s="2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  <c r="CI430" s="4"/>
      <c r="CJ430" s="4"/>
      <c r="CK430" s="4"/>
      <c r="CL430" s="4"/>
      <c r="CM430" s="4"/>
      <c r="CN430" s="4"/>
      <c r="CO430" s="4"/>
      <c r="CP430" s="4"/>
      <c r="CQ430" s="4"/>
      <c r="CR430" s="4"/>
      <c r="CS430" s="4"/>
      <c r="CT430" s="4"/>
      <c r="CU430" s="4"/>
      <c r="CV430" s="4"/>
      <c r="CW430" s="4"/>
      <c r="CX430" s="4"/>
      <c r="CY430" s="4"/>
      <c r="CZ430" s="4"/>
      <c r="DA430" s="4"/>
      <c r="DB430" s="4"/>
      <c r="DC430" s="4"/>
      <c r="DD430" s="4"/>
      <c r="DE430" s="4"/>
      <c r="DF430" s="4"/>
      <c r="DG430" s="4"/>
      <c r="DH430" s="4"/>
      <c r="DI430" s="4"/>
      <c r="DJ430" s="4"/>
      <c r="DK430" s="4"/>
      <c r="DL430" s="4"/>
      <c r="DM430" s="4"/>
      <c r="DN430" s="4"/>
      <c r="DO430" s="4"/>
      <c r="DP430" s="4"/>
      <c r="DQ430" s="4"/>
      <c r="DR430" s="4"/>
      <c r="DS430" s="4"/>
      <c r="DT430" s="4"/>
      <c r="DU430" s="4"/>
      <c r="DV430" s="4"/>
    </row>
    <row r="431">
      <c r="A431" s="2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  <c r="CI431" s="4"/>
      <c r="CJ431" s="4"/>
      <c r="CK431" s="4"/>
      <c r="CL431" s="4"/>
      <c r="CM431" s="4"/>
      <c r="CN431" s="4"/>
      <c r="CO431" s="4"/>
      <c r="CP431" s="4"/>
      <c r="CQ431" s="4"/>
      <c r="CR431" s="4"/>
      <c r="CS431" s="4"/>
      <c r="CT431" s="4"/>
      <c r="CU431" s="4"/>
      <c r="CV431" s="4"/>
      <c r="CW431" s="4"/>
      <c r="CX431" s="4"/>
      <c r="CY431" s="4"/>
      <c r="CZ431" s="4"/>
      <c r="DA431" s="4"/>
      <c r="DB431" s="4"/>
      <c r="DC431" s="4"/>
      <c r="DD431" s="4"/>
      <c r="DE431" s="4"/>
      <c r="DF431" s="4"/>
      <c r="DG431" s="4"/>
      <c r="DH431" s="4"/>
      <c r="DI431" s="4"/>
      <c r="DJ431" s="4"/>
      <c r="DK431" s="4"/>
      <c r="DL431" s="4"/>
      <c r="DM431" s="4"/>
      <c r="DN431" s="4"/>
      <c r="DO431" s="4"/>
      <c r="DP431" s="4"/>
      <c r="DQ431" s="4"/>
      <c r="DR431" s="4"/>
      <c r="DS431" s="4"/>
      <c r="DT431" s="4"/>
      <c r="DU431" s="4"/>
      <c r="DV431" s="4"/>
    </row>
    <row r="432">
      <c r="A432" s="2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  <c r="CI432" s="4"/>
      <c r="CJ432" s="4"/>
      <c r="CK432" s="4"/>
      <c r="CL432" s="4"/>
      <c r="CM432" s="4"/>
      <c r="CN432" s="4"/>
      <c r="CO432" s="4"/>
      <c r="CP432" s="4"/>
      <c r="CQ432" s="4"/>
      <c r="CR432" s="4"/>
      <c r="CS432" s="4"/>
      <c r="CT432" s="4"/>
      <c r="CU432" s="4"/>
      <c r="CV432" s="4"/>
      <c r="CW432" s="4"/>
      <c r="CX432" s="4"/>
      <c r="CY432" s="4"/>
      <c r="CZ432" s="4"/>
      <c r="DA432" s="4"/>
      <c r="DB432" s="4"/>
      <c r="DC432" s="4"/>
      <c r="DD432" s="4"/>
      <c r="DE432" s="4"/>
      <c r="DF432" s="4"/>
      <c r="DG432" s="4"/>
      <c r="DH432" s="4"/>
      <c r="DI432" s="4"/>
      <c r="DJ432" s="4"/>
      <c r="DK432" s="4"/>
      <c r="DL432" s="4"/>
      <c r="DM432" s="4"/>
      <c r="DN432" s="4"/>
      <c r="DO432" s="4"/>
      <c r="DP432" s="4"/>
      <c r="DQ432" s="4"/>
      <c r="DR432" s="4"/>
      <c r="DS432" s="4"/>
      <c r="DT432" s="4"/>
      <c r="DU432" s="4"/>
      <c r="DV432" s="4"/>
    </row>
    <row r="433">
      <c r="A433" s="2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  <c r="CI433" s="4"/>
      <c r="CJ433" s="4"/>
      <c r="CK433" s="4"/>
      <c r="CL433" s="4"/>
      <c r="CM433" s="4"/>
      <c r="CN433" s="4"/>
      <c r="CO433" s="4"/>
      <c r="CP433" s="4"/>
      <c r="CQ433" s="4"/>
      <c r="CR433" s="4"/>
      <c r="CS433" s="4"/>
      <c r="CT433" s="4"/>
      <c r="CU433" s="4"/>
      <c r="CV433" s="4"/>
      <c r="CW433" s="4"/>
      <c r="CX433" s="4"/>
      <c r="CY433" s="4"/>
      <c r="CZ433" s="4"/>
      <c r="DA433" s="4"/>
      <c r="DB433" s="4"/>
      <c r="DC433" s="4"/>
      <c r="DD433" s="4"/>
      <c r="DE433" s="4"/>
      <c r="DF433" s="4"/>
      <c r="DG433" s="4"/>
      <c r="DH433" s="4"/>
      <c r="DI433" s="4"/>
      <c r="DJ433" s="4"/>
      <c r="DK433" s="4"/>
      <c r="DL433" s="4"/>
      <c r="DM433" s="4"/>
      <c r="DN433" s="4"/>
      <c r="DO433" s="4"/>
      <c r="DP433" s="4"/>
      <c r="DQ433" s="4"/>
      <c r="DR433" s="4"/>
      <c r="DS433" s="4"/>
      <c r="DT433" s="4"/>
      <c r="DU433" s="4"/>
      <c r="DV433" s="4"/>
    </row>
    <row r="434">
      <c r="A434" s="2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  <c r="CI434" s="4"/>
      <c r="CJ434" s="4"/>
      <c r="CK434" s="4"/>
      <c r="CL434" s="4"/>
      <c r="CM434" s="4"/>
      <c r="CN434" s="4"/>
      <c r="CO434" s="4"/>
      <c r="CP434" s="4"/>
      <c r="CQ434" s="4"/>
      <c r="CR434" s="4"/>
      <c r="CS434" s="4"/>
      <c r="CT434" s="4"/>
      <c r="CU434" s="4"/>
      <c r="CV434" s="4"/>
      <c r="CW434" s="4"/>
      <c r="CX434" s="4"/>
      <c r="CY434" s="4"/>
      <c r="CZ434" s="4"/>
      <c r="DA434" s="4"/>
      <c r="DB434" s="4"/>
      <c r="DC434" s="4"/>
      <c r="DD434" s="4"/>
      <c r="DE434" s="4"/>
      <c r="DF434" s="4"/>
      <c r="DG434" s="4"/>
      <c r="DH434" s="4"/>
      <c r="DI434" s="4"/>
      <c r="DJ434" s="4"/>
      <c r="DK434" s="4"/>
      <c r="DL434" s="4"/>
      <c r="DM434" s="4"/>
      <c r="DN434" s="4"/>
      <c r="DO434" s="4"/>
      <c r="DP434" s="4"/>
      <c r="DQ434" s="4"/>
      <c r="DR434" s="4"/>
      <c r="DS434" s="4"/>
      <c r="DT434" s="4"/>
      <c r="DU434" s="4"/>
      <c r="DV434" s="4"/>
    </row>
    <row r="435">
      <c r="A435" s="2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  <c r="CI435" s="4"/>
      <c r="CJ435" s="4"/>
      <c r="CK435" s="4"/>
      <c r="CL435" s="4"/>
      <c r="CM435" s="4"/>
      <c r="CN435" s="4"/>
      <c r="CO435" s="4"/>
      <c r="CP435" s="4"/>
      <c r="CQ435" s="4"/>
      <c r="CR435" s="4"/>
      <c r="CS435" s="4"/>
      <c r="CT435" s="4"/>
      <c r="CU435" s="4"/>
      <c r="CV435" s="4"/>
      <c r="CW435" s="4"/>
      <c r="CX435" s="4"/>
      <c r="CY435" s="4"/>
      <c r="CZ435" s="4"/>
      <c r="DA435" s="4"/>
      <c r="DB435" s="4"/>
      <c r="DC435" s="4"/>
      <c r="DD435" s="4"/>
      <c r="DE435" s="4"/>
      <c r="DF435" s="4"/>
      <c r="DG435" s="4"/>
      <c r="DH435" s="4"/>
      <c r="DI435" s="4"/>
      <c r="DJ435" s="4"/>
      <c r="DK435" s="4"/>
      <c r="DL435" s="4"/>
      <c r="DM435" s="4"/>
      <c r="DN435" s="4"/>
      <c r="DO435" s="4"/>
      <c r="DP435" s="4"/>
      <c r="DQ435" s="4"/>
      <c r="DR435" s="4"/>
      <c r="DS435" s="4"/>
      <c r="DT435" s="4"/>
      <c r="DU435" s="4"/>
      <c r="DV435" s="4"/>
    </row>
    <row r="436">
      <c r="A436" s="2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  <c r="CI436" s="4"/>
      <c r="CJ436" s="4"/>
      <c r="CK436" s="4"/>
      <c r="CL436" s="4"/>
      <c r="CM436" s="4"/>
      <c r="CN436" s="4"/>
      <c r="CO436" s="4"/>
      <c r="CP436" s="4"/>
      <c r="CQ436" s="4"/>
      <c r="CR436" s="4"/>
      <c r="CS436" s="4"/>
      <c r="CT436" s="4"/>
      <c r="CU436" s="4"/>
      <c r="CV436" s="4"/>
      <c r="CW436" s="4"/>
      <c r="CX436" s="4"/>
      <c r="CY436" s="4"/>
      <c r="CZ436" s="4"/>
      <c r="DA436" s="4"/>
      <c r="DB436" s="4"/>
      <c r="DC436" s="4"/>
      <c r="DD436" s="4"/>
      <c r="DE436" s="4"/>
      <c r="DF436" s="4"/>
      <c r="DG436" s="4"/>
      <c r="DH436" s="4"/>
      <c r="DI436" s="4"/>
      <c r="DJ436" s="4"/>
      <c r="DK436" s="4"/>
      <c r="DL436" s="4"/>
      <c r="DM436" s="4"/>
      <c r="DN436" s="4"/>
      <c r="DO436" s="4"/>
      <c r="DP436" s="4"/>
      <c r="DQ436" s="4"/>
      <c r="DR436" s="4"/>
      <c r="DS436" s="4"/>
      <c r="DT436" s="4"/>
      <c r="DU436" s="4"/>
      <c r="DV436" s="4"/>
    </row>
    <row r="437">
      <c r="A437" s="2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  <c r="CI437" s="4"/>
      <c r="CJ437" s="4"/>
      <c r="CK437" s="4"/>
      <c r="CL437" s="4"/>
      <c r="CM437" s="4"/>
      <c r="CN437" s="4"/>
      <c r="CO437" s="4"/>
      <c r="CP437" s="4"/>
      <c r="CQ437" s="4"/>
      <c r="CR437" s="4"/>
      <c r="CS437" s="4"/>
      <c r="CT437" s="4"/>
      <c r="CU437" s="4"/>
      <c r="CV437" s="4"/>
      <c r="CW437" s="4"/>
      <c r="CX437" s="4"/>
      <c r="CY437" s="4"/>
      <c r="CZ437" s="4"/>
      <c r="DA437" s="4"/>
      <c r="DB437" s="4"/>
      <c r="DC437" s="4"/>
      <c r="DD437" s="4"/>
      <c r="DE437" s="4"/>
      <c r="DF437" s="4"/>
      <c r="DG437" s="4"/>
      <c r="DH437" s="4"/>
      <c r="DI437" s="4"/>
      <c r="DJ437" s="4"/>
      <c r="DK437" s="4"/>
      <c r="DL437" s="4"/>
      <c r="DM437" s="4"/>
      <c r="DN437" s="4"/>
      <c r="DO437" s="4"/>
      <c r="DP437" s="4"/>
      <c r="DQ437" s="4"/>
      <c r="DR437" s="4"/>
      <c r="DS437" s="4"/>
      <c r="DT437" s="4"/>
      <c r="DU437" s="4"/>
      <c r="DV437" s="4"/>
    </row>
    <row r="438">
      <c r="A438" s="2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  <c r="CI438" s="4"/>
      <c r="CJ438" s="4"/>
      <c r="CK438" s="4"/>
      <c r="CL438" s="4"/>
      <c r="CM438" s="4"/>
      <c r="CN438" s="4"/>
      <c r="CO438" s="4"/>
      <c r="CP438" s="4"/>
      <c r="CQ438" s="4"/>
      <c r="CR438" s="4"/>
      <c r="CS438" s="4"/>
      <c r="CT438" s="4"/>
      <c r="CU438" s="4"/>
      <c r="CV438" s="4"/>
      <c r="CW438" s="4"/>
      <c r="CX438" s="4"/>
      <c r="CY438" s="4"/>
      <c r="CZ438" s="4"/>
      <c r="DA438" s="4"/>
      <c r="DB438" s="4"/>
      <c r="DC438" s="4"/>
      <c r="DD438" s="4"/>
      <c r="DE438" s="4"/>
      <c r="DF438" s="4"/>
      <c r="DG438" s="4"/>
      <c r="DH438" s="4"/>
      <c r="DI438" s="4"/>
      <c r="DJ438" s="4"/>
      <c r="DK438" s="4"/>
      <c r="DL438" s="4"/>
      <c r="DM438" s="4"/>
      <c r="DN438" s="4"/>
      <c r="DO438" s="4"/>
      <c r="DP438" s="4"/>
      <c r="DQ438" s="4"/>
      <c r="DR438" s="4"/>
      <c r="DS438" s="4"/>
      <c r="DT438" s="4"/>
      <c r="DU438" s="4"/>
      <c r="DV438" s="4"/>
    </row>
    <row r="439">
      <c r="A439" s="2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  <c r="CI439" s="4"/>
      <c r="CJ439" s="4"/>
      <c r="CK439" s="4"/>
      <c r="CL439" s="4"/>
      <c r="CM439" s="4"/>
      <c r="CN439" s="4"/>
      <c r="CO439" s="4"/>
      <c r="CP439" s="4"/>
      <c r="CQ439" s="4"/>
      <c r="CR439" s="4"/>
      <c r="CS439" s="4"/>
      <c r="CT439" s="4"/>
      <c r="CU439" s="4"/>
      <c r="CV439" s="4"/>
      <c r="CW439" s="4"/>
      <c r="CX439" s="4"/>
      <c r="CY439" s="4"/>
      <c r="CZ439" s="4"/>
      <c r="DA439" s="4"/>
      <c r="DB439" s="4"/>
      <c r="DC439" s="4"/>
      <c r="DD439" s="4"/>
      <c r="DE439" s="4"/>
      <c r="DF439" s="4"/>
      <c r="DG439" s="4"/>
      <c r="DH439" s="4"/>
      <c r="DI439" s="4"/>
      <c r="DJ439" s="4"/>
      <c r="DK439" s="4"/>
      <c r="DL439" s="4"/>
      <c r="DM439" s="4"/>
      <c r="DN439" s="4"/>
      <c r="DO439" s="4"/>
      <c r="DP439" s="4"/>
      <c r="DQ439" s="4"/>
      <c r="DR439" s="4"/>
      <c r="DS439" s="4"/>
      <c r="DT439" s="4"/>
      <c r="DU439" s="4"/>
      <c r="DV439" s="4"/>
    </row>
    <row r="440">
      <c r="A440" s="2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  <c r="CI440" s="4"/>
      <c r="CJ440" s="4"/>
      <c r="CK440" s="4"/>
      <c r="CL440" s="4"/>
      <c r="CM440" s="4"/>
      <c r="CN440" s="4"/>
      <c r="CO440" s="4"/>
      <c r="CP440" s="4"/>
      <c r="CQ440" s="4"/>
      <c r="CR440" s="4"/>
      <c r="CS440" s="4"/>
      <c r="CT440" s="4"/>
      <c r="CU440" s="4"/>
      <c r="CV440" s="4"/>
      <c r="CW440" s="4"/>
      <c r="CX440" s="4"/>
      <c r="CY440" s="4"/>
      <c r="CZ440" s="4"/>
      <c r="DA440" s="4"/>
      <c r="DB440" s="4"/>
      <c r="DC440" s="4"/>
      <c r="DD440" s="4"/>
      <c r="DE440" s="4"/>
      <c r="DF440" s="4"/>
      <c r="DG440" s="4"/>
      <c r="DH440" s="4"/>
      <c r="DI440" s="4"/>
      <c r="DJ440" s="4"/>
      <c r="DK440" s="4"/>
      <c r="DL440" s="4"/>
      <c r="DM440" s="4"/>
      <c r="DN440" s="4"/>
      <c r="DO440" s="4"/>
      <c r="DP440" s="4"/>
      <c r="DQ440" s="4"/>
      <c r="DR440" s="4"/>
      <c r="DS440" s="4"/>
      <c r="DT440" s="4"/>
      <c r="DU440" s="4"/>
      <c r="DV440" s="4"/>
    </row>
    <row r="441">
      <c r="A441" s="2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  <c r="CI441" s="4"/>
      <c r="CJ441" s="4"/>
      <c r="CK441" s="4"/>
      <c r="CL441" s="4"/>
      <c r="CM441" s="4"/>
      <c r="CN441" s="4"/>
      <c r="CO441" s="4"/>
      <c r="CP441" s="4"/>
      <c r="CQ441" s="4"/>
      <c r="CR441" s="4"/>
      <c r="CS441" s="4"/>
      <c r="CT441" s="4"/>
      <c r="CU441" s="4"/>
      <c r="CV441" s="4"/>
      <c r="CW441" s="4"/>
      <c r="CX441" s="4"/>
      <c r="CY441" s="4"/>
      <c r="CZ441" s="4"/>
      <c r="DA441" s="4"/>
      <c r="DB441" s="4"/>
      <c r="DC441" s="4"/>
      <c r="DD441" s="4"/>
      <c r="DE441" s="4"/>
      <c r="DF441" s="4"/>
      <c r="DG441" s="4"/>
      <c r="DH441" s="4"/>
      <c r="DI441" s="4"/>
      <c r="DJ441" s="4"/>
      <c r="DK441" s="4"/>
      <c r="DL441" s="4"/>
      <c r="DM441" s="4"/>
      <c r="DN441" s="4"/>
      <c r="DO441" s="4"/>
      <c r="DP441" s="4"/>
      <c r="DQ441" s="4"/>
      <c r="DR441" s="4"/>
      <c r="DS441" s="4"/>
      <c r="DT441" s="4"/>
      <c r="DU441" s="4"/>
      <c r="DV441" s="4"/>
    </row>
    <row r="442">
      <c r="A442" s="2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  <c r="CI442" s="4"/>
      <c r="CJ442" s="4"/>
      <c r="CK442" s="4"/>
      <c r="CL442" s="4"/>
      <c r="CM442" s="4"/>
      <c r="CN442" s="4"/>
      <c r="CO442" s="4"/>
      <c r="CP442" s="4"/>
      <c r="CQ442" s="4"/>
      <c r="CR442" s="4"/>
      <c r="CS442" s="4"/>
      <c r="CT442" s="4"/>
      <c r="CU442" s="4"/>
      <c r="CV442" s="4"/>
      <c r="CW442" s="4"/>
      <c r="CX442" s="4"/>
      <c r="CY442" s="4"/>
      <c r="CZ442" s="4"/>
      <c r="DA442" s="4"/>
      <c r="DB442" s="4"/>
      <c r="DC442" s="4"/>
      <c r="DD442" s="4"/>
      <c r="DE442" s="4"/>
      <c r="DF442" s="4"/>
      <c r="DG442" s="4"/>
      <c r="DH442" s="4"/>
      <c r="DI442" s="4"/>
      <c r="DJ442" s="4"/>
      <c r="DK442" s="4"/>
      <c r="DL442" s="4"/>
      <c r="DM442" s="4"/>
      <c r="DN442" s="4"/>
      <c r="DO442" s="4"/>
      <c r="DP442" s="4"/>
      <c r="DQ442" s="4"/>
      <c r="DR442" s="4"/>
      <c r="DS442" s="4"/>
      <c r="DT442" s="4"/>
      <c r="DU442" s="4"/>
      <c r="DV442" s="4"/>
    </row>
    <row r="443">
      <c r="A443" s="2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  <c r="CI443" s="4"/>
      <c r="CJ443" s="4"/>
      <c r="CK443" s="4"/>
      <c r="CL443" s="4"/>
      <c r="CM443" s="4"/>
      <c r="CN443" s="4"/>
      <c r="CO443" s="4"/>
      <c r="CP443" s="4"/>
      <c r="CQ443" s="4"/>
      <c r="CR443" s="4"/>
      <c r="CS443" s="4"/>
      <c r="CT443" s="4"/>
      <c r="CU443" s="4"/>
      <c r="CV443" s="4"/>
      <c r="CW443" s="4"/>
      <c r="CX443" s="4"/>
      <c r="CY443" s="4"/>
      <c r="CZ443" s="4"/>
      <c r="DA443" s="4"/>
      <c r="DB443" s="4"/>
      <c r="DC443" s="4"/>
      <c r="DD443" s="4"/>
      <c r="DE443" s="4"/>
      <c r="DF443" s="4"/>
      <c r="DG443" s="4"/>
      <c r="DH443" s="4"/>
      <c r="DI443" s="4"/>
      <c r="DJ443" s="4"/>
      <c r="DK443" s="4"/>
      <c r="DL443" s="4"/>
      <c r="DM443" s="4"/>
      <c r="DN443" s="4"/>
      <c r="DO443" s="4"/>
      <c r="DP443" s="4"/>
      <c r="DQ443" s="4"/>
      <c r="DR443" s="4"/>
      <c r="DS443" s="4"/>
      <c r="DT443" s="4"/>
      <c r="DU443" s="4"/>
      <c r="DV443" s="4"/>
    </row>
    <row r="444">
      <c r="A444" s="2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  <c r="CI444" s="4"/>
      <c r="CJ444" s="4"/>
      <c r="CK444" s="4"/>
      <c r="CL444" s="4"/>
      <c r="CM444" s="4"/>
      <c r="CN444" s="4"/>
      <c r="CO444" s="4"/>
      <c r="CP444" s="4"/>
      <c r="CQ444" s="4"/>
      <c r="CR444" s="4"/>
      <c r="CS444" s="4"/>
      <c r="CT444" s="4"/>
      <c r="CU444" s="4"/>
      <c r="CV444" s="4"/>
      <c r="CW444" s="4"/>
      <c r="CX444" s="4"/>
      <c r="CY444" s="4"/>
      <c r="CZ444" s="4"/>
      <c r="DA444" s="4"/>
      <c r="DB444" s="4"/>
      <c r="DC444" s="4"/>
      <c r="DD444" s="4"/>
      <c r="DE444" s="4"/>
      <c r="DF444" s="4"/>
      <c r="DG444" s="4"/>
      <c r="DH444" s="4"/>
      <c r="DI444" s="4"/>
      <c r="DJ444" s="4"/>
      <c r="DK444" s="4"/>
      <c r="DL444" s="4"/>
      <c r="DM444" s="4"/>
      <c r="DN444" s="4"/>
      <c r="DO444" s="4"/>
      <c r="DP444" s="4"/>
      <c r="DQ444" s="4"/>
      <c r="DR444" s="4"/>
      <c r="DS444" s="4"/>
      <c r="DT444" s="4"/>
      <c r="DU444" s="4"/>
      <c r="DV444" s="4"/>
    </row>
    <row r="445">
      <c r="A445" s="2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  <c r="CI445" s="4"/>
      <c r="CJ445" s="4"/>
      <c r="CK445" s="4"/>
      <c r="CL445" s="4"/>
      <c r="CM445" s="4"/>
      <c r="CN445" s="4"/>
      <c r="CO445" s="4"/>
      <c r="CP445" s="4"/>
      <c r="CQ445" s="4"/>
      <c r="CR445" s="4"/>
      <c r="CS445" s="4"/>
      <c r="CT445" s="4"/>
      <c r="CU445" s="4"/>
      <c r="CV445" s="4"/>
      <c r="CW445" s="4"/>
      <c r="CX445" s="4"/>
      <c r="CY445" s="4"/>
      <c r="CZ445" s="4"/>
      <c r="DA445" s="4"/>
      <c r="DB445" s="4"/>
      <c r="DC445" s="4"/>
      <c r="DD445" s="4"/>
      <c r="DE445" s="4"/>
      <c r="DF445" s="4"/>
      <c r="DG445" s="4"/>
      <c r="DH445" s="4"/>
      <c r="DI445" s="4"/>
      <c r="DJ445" s="4"/>
      <c r="DK445" s="4"/>
      <c r="DL445" s="4"/>
      <c r="DM445" s="4"/>
      <c r="DN445" s="4"/>
      <c r="DO445" s="4"/>
      <c r="DP445" s="4"/>
      <c r="DQ445" s="4"/>
      <c r="DR445" s="4"/>
      <c r="DS445" s="4"/>
      <c r="DT445" s="4"/>
      <c r="DU445" s="4"/>
      <c r="DV445" s="4"/>
    </row>
    <row r="446">
      <c r="A446" s="2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  <c r="CI446" s="4"/>
      <c r="CJ446" s="4"/>
      <c r="CK446" s="4"/>
      <c r="CL446" s="4"/>
      <c r="CM446" s="4"/>
      <c r="CN446" s="4"/>
      <c r="CO446" s="4"/>
      <c r="CP446" s="4"/>
      <c r="CQ446" s="4"/>
      <c r="CR446" s="4"/>
      <c r="CS446" s="4"/>
      <c r="CT446" s="4"/>
      <c r="CU446" s="4"/>
      <c r="CV446" s="4"/>
      <c r="CW446" s="4"/>
      <c r="CX446" s="4"/>
      <c r="CY446" s="4"/>
      <c r="CZ446" s="4"/>
      <c r="DA446" s="4"/>
      <c r="DB446" s="4"/>
      <c r="DC446" s="4"/>
      <c r="DD446" s="4"/>
      <c r="DE446" s="4"/>
      <c r="DF446" s="4"/>
      <c r="DG446" s="4"/>
      <c r="DH446" s="4"/>
      <c r="DI446" s="4"/>
      <c r="DJ446" s="4"/>
      <c r="DK446" s="4"/>
      <c r="DL446" s="4"/>
      <c r="DM446" s="4"/>
      <c r="DN446" s="4"/>
      <c r="DO446" s="4"/>
      <c r="DP446" s="4"/>
      <c r="DQ446" s="4"/>
      <c r="DR446" s="4"/>
      <c r="DS446" s="4"/>
      <c r="DT446" s="4"/>
      <c r="DU446" s="4"/>
      <c r="DV446" s="4"/>
    </row>
    <row r="447">
      <c r="A447" s="2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  <c r="CI447" s="4"/>
      <c r="CJ447" s="4"/>
      <c r="CK447" s="4"/>
      <c r="CL447" s="4"/>
      <c r="CM447" s="4"/>
      <c r="CN447" s="4"/>
      <c r="CO447" s="4"/>
      <c r="CP447" s="4"/>
      <c r="CQ447" s="4"/>
      <c r="CR447" s="4"/>
      <c r="CS447" s="4"/>
      <c r="CT447" s="4"/>
      <c r="CU447" s="4"/>
      <c r="CV447" s="4"/>
      <c r="CW447" s="4"/>
      <c r="CX447" s="4"/>
      <c r="CY447" s="4"/>
      <c r="CZ447" s="4"/>
      <c r="DA447" s="4"/>
      <c r="DB447" s="4"/>
      <c r="DC447" s="4"/>
      <c r="DD447" s="4"/>
      <c r="DE447" s="4"/>
      <c r="DF447" s="4"/>
      <c r="DG447" s="4"/>
      <c r="DH447" s="4"/>
      <c r="DI447" s="4"/>
      <c r="DJ447" s="4"/>
      <c r="DK447" s="4"/>
      <c r="DL447" s="4"/>
      <c r="DM447" s="4"/>
      <c r="DN447" s="4"/>
      <c r="DO447" s="4"/>
      <c r="DP447" s="4"/>
      <c r="DQ447" s="4"/>
      <c r="DR447" s="4"/>
      <c r="DS447" s="4"/>
      <c r="DT447" s="4"/>
      <c r="DU447" s="4"/>
      <c r="DV447" s="4"/>
    </row>
    <row r="448">
      <c r="A448" s="2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  <c r="CI448" s="4"/>
      <c r="CJ448" s="4"/>
      <c r="CK448" s="4"/>
      <c r="CL448" s="4"/>
      <c r="CM448" s="4"/>
      <c r="CN448" s="4"/>
      <c r="CO448" s="4"/>
      <c r="CP448" s="4"/>
      <c r="CQ448" s="4"/>
      <c r="CR448" s="4"/>
      <c r="CS448" s="4"/>
      <c r="CT448" s="4"/>
      <c r="CU448" s="4"/>
      <c r="CV448" s="4"/>
      <c r="CW448" s="4"/>
      <c r="CX448" s="4"/>
      <c r="CY448" s="4"/>
      <c r="CZ448" s="4"/>
      <c r="DA448" s="4"/>
      <c r="DB448" s="4"/>
      <c r="DC448" s="4"/>
      <c r="DD448" s="4"/>
      <c r="DE448" s="4"/>
      <c r="DF448" s="4"/>
      <c r="DG448" s="4"/>
      <c r="DH448" s="4"/>
      <c r="DI448" s="4"/>
      <c r="DJ448" s="4"/>
      <c r="DK448" s="4"/>
      <c r="DL448" s="4"/>
      <c r="DM448" s="4"/>
      <c r="DN448" s="4"/>
      <c r="DO448" s="4"/>
      <c r="DP448" s="4"/>
      <c r="DQ448" s="4"/>
      <c r="DR448" s="4"/>
      <c r="DS448" s="4"/>
      <c r="DT448" s="4"/>
      <c r="DU448" s="4"/>
      <c r="DV448" s="4"/>
    </row>
    <row r="449">
      <c r="A449" s="2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  <c r="CI449" s="4"/>
      <c r="CJ449" s="4"/>
      <c r="CK449" s="4"/>
      <c r="CL449" s="4"/>
      <c r="CM449" s="4"/>
      <c r="CN449" s="4"/>
      <c r="CO449" s="4"/>
      <c r="CP449" s="4"/>
      <c r="CQ449" s="4"/>
      <c r="CR449" s="4"/>
      <c r="CS449" s="4"/>
      <c r="CT449" s="4"/>
      <c r="CU449" s="4"/>
      <c r="CV449" s="4"/>
      <c r="CW449" s="4"/>
      <c r="CX449" s="4"/>
      <c r="CY449" s="4"/>
      <c r="CZ449" s="4"/>
      <c r="DA449" s="4"/>
      <c r="DB449" s="4"/>
      <c r="DC449" s="4"/>
      <c r="DD449" s="4"/>
      <c r="DE449" s="4"/>
      <c r="DF449" s="4"/>
      <c r="DG449" s="4"/>
      <c r="DH449" s="4"/>
      <c r="DI449" s="4"/>
      <c r="DJ449" s="4"/>
      <c r="DK449" s="4"/>
      <c r="DL449" s="4"/>
      <c r="DM449" s="4"/>
      <c r="DN449" s="4"/>
      <c r="DO449" s="4"/>
      <c r="DP449" s="4"/>
      <c r="DQ449" s="4"/>
      <c r="DR449" s="4"/>
      <c r="DS449" s="4"/>
      <c r="DT449" s="4"/>
      <c r="DU449" s="4"/>
      <c r="DV449" s="4"/>
    </row>
    <row r="450">
      <c r="A450" s="2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  <c r="CI450" s="4"/>
      <c r="CJ450" s="4"/>
      <c r="CK450" s="4"/>
      <c r="CL450" s="4"/>
      <c r="CM450" s="4"/>
      <c r="CN450" s="4"/>
      <c r="CO450" s="4"/>
      <c r="CP450" s="4"/>
      <c r="CQ450" s="4"/>
      <c r="CR450" s="4"/>
      <c r="CS450" s="4"/>
      <c r="CT450" s="4"/>
      <c r="CU450" s="4"/>
      <c r="CV450" s="4"/>
      <c r="CW450" s="4"/>
      <c r="CX450" s="4"/>
      <c r="CY450" s="4"/>
      <c r="CZ450" s="4"/>
      <c r="DA450" s="4"/>
      <c r="DB450" s="4"/>
      <c r="DC450" s="4"/>
      <c r="DD450" s="4"/>
      <c r="DE450" s="4"/>
      <c r="DF450" s="4"/>
      <c r="DG450" s="4"/>
      <c r="DH450" s="4"/>
      <c r="DI450" s="4"/>
      <c r="DJ450" s="4"/>
      <c r="DK450" s="4"/>
      <c r="DL450" s="4"/>
      <c r="DM450" s="4"/>
      <c r="DN450" s="4"/>
      <c r="DO450" s="4"/>
      <c r="DP450" s="4"/>
      <c r="DQ450" s="4"/>
      <c r="DR450" s="4"/>
      <c r="DS450" s="4"/>
      <c r="DT450" s="4"/>
      <c r="DU450" s="4"/>
      <c r="DV450" s="4"/>
    </row>
    <row r="451">
      <c r="A451" s="2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  <c r="CI451" s="4"/>
      <c r="CJ451" s="4"/>
      <c r="CK451" s="4"/>
      <c r="CL451" s="4"/>
      <c r="CM451" s="4"/>
      <c r="CN451" s="4"/>
      <c r="CO451" s="4"/>
      <c r="CP451" s="4"/>
      <c r="CQ451" s="4"/>
      <c r="CR451" s="4"/>
      <c r="CS451" s="4"/>
      <c r="CT451" s="4"/>
      <c r="CU451" s="4"/>
      <c r="CV451" s="4"/>
      <c r="CW451" s="4"/>
      <c r="CX451" s="4"/>
      <c r="CY451" s="4"/>
      <c r="CZ451" s="4"/>
      <c r="DA451" s="4"/>
      <c r="DB451" s="4"/>
      <c r="DC451" s="4"/>
      <c r="DD451" s="4"/>
      <c r="DE451" s="4"/>
      <c r="DF451" s="4"/>
      <c r="DG451" s="4"/>
      <c r="DH451" s="4"/>
      <c r="DI451" s="4"/>
      <c r="DJ451" s="4"/>
      <c r="DK451" s="4"/>
      <c r="DL451" s="4"/>
      <c r="DM451" s="4"/>
      <c r="DN451" s="4"/>
      <c r="DO451" s="4"/>
      <c r="DP451" s="4"/>
      <c r="DQ451" s="4"/>
      <c r="DR451" s="4"/>
      <c r="DS451" s="4"/>
      <c r="DT451" s="4"/>
      <c r="DU451" s="4"/>
      <c r="DV451" s="4"/>
    </row>
    <row r="452">
      <c r="A452" s="2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  <c r="CI452" s="4"/>
      <c r="CJ452" s="4"/>
      <c r="CK452" s="4"/>
      <c r="CL452" s="4"/>
      <c r="CM452" s="4"/>
      <c r="CN452" s="4"/>
      <c r="CO452" s="4"/>
      <c r="CP452" s="4"/>
      <c r="CQ452" s="4"/>
      <c r="CR452" s="4"/>
      <c r="CS452" s="4"/>
      <c r="CT452" s="4"/>
      <c r="CU452" s="4"/>
      <c r="CV452" s="4"/>
      <c r="CW452" s="4"/>
      <c r="CX452" s="4"/>
      <c r="CY452" s="4"/>
      <c r="CZ452" s="4"/>
      <c r="DA452" s="4"/>
      <c r="DB452" s="4"/>
      <c r="DC452" s="4"/>
      <c r="DD452" s="4"/>
      <c r="DE452" s="4"/>
      <c r="DF452" s="4"/>
      <c r="DG452" s="4"/>
      <c r="DH452" s="4"/>
      <c r="DI452" s="4"/>
      <c r="DJ452" s="4"/>
      <c r="DK452" s="4"/>
      <c r="DL452" s="4"/>
      <c r="DM452" s="4"/>
      <c r="DN452" s="4"/>
      <c r="DO452" s="4"/>
      <c r="DP452" s="4"/>
      <c r="DQ452" s="4"/>
      <c r="DR452" s="4"/>
      <c r="DS452" s="4"/>
      <c r="DT452" s="4"/>
      <c r="DU452" s="4"/>
      <c r="DV452" s="4"/>
    </row>
    <row r="453">
      <c r="A453" s="2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  <c r="CI453" s="4"/>
      <c r="CJ453" s="4"/>
      <c r="CK453" s="4"/>
      <c r="CL453" s="4"/>
      <c r="CM453" s="4"/>
      <c r="CN453" s="4"/>
      <c r="CO453" s="4"/>
      <c r="CP453" s="4"/>
      <c r="CQ453" s="4"/>
      <c r="CR453" s="4"/>
      <c r="CS453" s="4"/>
      <c r="CT453" s="4"/>
      <c r="CU453" s="4"/>
      <c r="CV453" s="4"/>
      <c r="CW453" s="4"/>
      <c r="CX453" s="4"/>
      <c r="CY453" s="4"/>
      <c r="CZ453" s="4"/>
      <c r="DA453" s="4"/>
      <c r="DB453" s="4"/>
      <c r="DC453" s="4"/>
      <c r="DD453" s="4"/>
      <c r="DE453" s="4"/>
      <c r="DF453" s="4"/>
      <c r="DG453" s="4"/>
      <c r="DH453" s="4"/>
      <c r="DI453" s="4"/>
      <c r="DJ453" s="4"/>
      <c r="DK453" s="4"/>
      <c r="DL453" s="4"/>
      <c r="DM453" s="4"/>
      <c r="DN453" s="4"/>
      <c r="DO453" s="4"/>
      <c r="DP453" s="4"/>
      <c r="DQ453" s="4"/>
      <c r="DR453" s="4"/>
      <c r="DS453" s="4"/>
      <c r="DT453" s="4"/>
      <c r="DU453" s="4"/>
      <c r="DV453" s="4"/>
    </row>
    <row r="454">
      <c r="A454" s="2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  <c r="CI454" s="4"/>
      <c r="CJ454" s="4"/>
      <c r="CK454" s="4"/>
      <c r="CL454" s="4"/>
      <c r="CM454" s="4"/>
      <c r="CN454" s="4"/>
      <c r="CO454" s="4"/>
      <c r="CP454" s="4"/>
      <c r="CQ454" s="4"/>
      <c r="CR454" s="4"/>
      <c r="CS454" s="4"/>
      <c r="CT454" s="4"/>
      <c r="CU454" s="4"/>
      <c r="CV454" s="4"/>
      <c r="CW454" s="4"/>
      <c r="CX454" s="4"/>
      <c r="CY454" s="4"/>
      <c r="CZ454" s="4"/>
      <c r="DA454" s="4"/>
      <c r="DB454" s="4"/>
      <c r="DC454" s="4"/>
      <c r="DD454" s="4"/>
      <c r="DE454" s="4"/>
      <c r="DF454" s="4"/>
      <c r="DG454" s="4"/>
      <c r="DH454" s="4"/>
      <c r="DI454" s="4"/>
      <c r="DJ454" s="4"/>
      <c r="DK454" s="4"/>
      <c r="DL454" s="4"/>
      <c r="DM454" s="4"/>
      <c r="DN454" s="4"/>
      <c r="DO454" s="4"/>
      <c r="DP454" s="4"/>
      <c r="DQ454" s="4"/>
      <c r="DR454" s="4"/>
      <c r="DS454" s="4"/>
      <c r="DT454" s="4"/>
      <c r="DU454" s="4"/>
      <c r="DV454" s="4"/>
    </row>
    <row r="455">
      <c r="A455" s="2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  <c r="CI455" s="4"/>
      <c r="CJ455" s="4"/>
      <c r="CK455" s="4"/>
      <c r="CL455" s="4"/>
      <c r="CM455" s="4"/>
      <c r="CN455" s="4"/>
      <c r="CO455" s="4"/>
      <c r="CP455" s="4"/>
      <c r="CQ455" s="4"/>
      <c r="CR455" s="4"/>
      <c r="CS455" s="4"/>
      <c r="CT455" s="4"/>
      <c r="CU455" s="4"/>
      <c r="CV455" s="4"/>
      <c r="CW455" s="4"/>
      <c r="CX455" s="4"/>
      <c r="CY455" s="4"/>
      <c r="CZ455" s="4"/>
      <c r="DA455" s="4"/>
      <c r="DB455" s="4"/>
      <c r="DC455" s="4"/>
      <c r="DD455" s="4"/>
      <c r="DE455" s="4"/>
      <c r="DF455" s="4"/>
      <c r="DG455" s="4"/>
      <c r="DH455" s="4"/>
      <c r="DI455" s="4"/>
      <c r="DJ455" s="4"/>
      <c r="DK455" s="4"/>
      <c r="DL455" s="4"/>
      <c r="DM455" s="4"/>
      <c r="DN455" s="4"/>
      <c r="DO455" s="4"/>
      <c r="DP455" s="4"/>
      <c r="DQ455" s="4"/>
      <c r="DR455" s="4"/>
      <c r="DS455" s="4"/>
      <c r="DT455" s="4"/>
      <c r="DU455" s="4"/>
      <c r="DV455" s="4"/>
    </row>
    <row r="456">
      <c r="A456" s="2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  <c r="CI456" s="4"/>
      <c r="CJ456" s="4"/>
      <c r="CK456" s="4"/>
      <c r="CL456" s="4"/>
      <c r="CM456" s="4"/>
      <c r="CN456" s="4"/>
      <c r="CO456" s="4"/>
      <c r="CP456" s="4"/>
      <c r="CQ456" s="4"/>
      <c r="CR456" s="4"/>
      <c r="CS456" s="4"/>
      <c r="CT456" s="4"/>
      <c r="CU456" s="4"/>
      <c r="CV456" s="4"/>
      <c r="CW456" s="4"/>
      <c r="CX456" s="4"/>
      <c r="CY456" s="4"/>
      <c r="CZ456" s="4"/>
      <c r="DA456" s="4"/>
      <c r="DB456" s="4"/>
      <c r="DC456" s="4"/>
      <c r="DD456" s="4"/>
      <c r="DE456" s="4"/>
      <c r="DF456" s="4"/>
      <c r="DG456" s="4"/>
      <c r="DH456" s="4"/>
      <c r="DI456" s="4"/>
      <c r="DJ456" s="4"/>
      <c r="DK456" s="4"/>
      <c r="DL456" s="4"/>
      <c r="DM456" s="4"/>
      <c r="DN456" s="4"/>
      <c r="DO456" s="4"/>
      <c r="DP456" s="4"/>
      <c r="DQ456" s="4"/>
      <c r="DR456" s="4"/>
      <c r="DS456" s="4"/>
      <c r="DT456" s="4"/>
      <c r="DU456" s="4"/>
      <c r="DV456" s="4"/>
    </row>
    <row r="457">
      <c r="A457" s="2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  <c r="CI457" s="4"/>
      <c r="CJ457" s="4"/>
      <c r="CK457" s="4"/>
      <c r="CL457" s="4"/>
      <c r="CM457" s="4"/>
      <c r="CN457" s="4"/>
      <c r="CO457" s="4"/>
      <c r="CP457" s="4"/>
      <c r="CQ457" s="4"/>
      <c r="CR457" s="4"/>
      <c r="CS457" s="4"/>
      <c r="CT457" s="4"/>
      <c r="CU457" s="4"/>
      <c r="CV457" s="4"/>
      <c r="CW457" s="4"/>
      <c r="CX457" s="4"/>
      <c r="CY457" s="4"/>
      <c r="CZ457" s="4"/>
      <c r="DA457" s="4"/>
      <c r="DB457" s="4"/>
      <c r="DC457" s="4"/>
      <c r="DD457" s="4"/>
      <c r="DE457" s="4"/>
      <c r="DF457" s="4"/>
      <c r="DG457" s="4"/>
      <c r="DH457" s="4"/>
      <c r="DI457" s="4"/>
      <c r="DJ457" s="4"/>
      <c r="DK457" s="4"/>
      <c r="DL457" s="4"/>
      <c r="DM457" s="4"/>
      <c r="DN457" s="4"/>
      <c r="DO457" s="4"/>
      <c r="DP457" s="4"/>
      <c r="DQ457" s="4"/>
      <c r="DR457" s="4"/>
      <c r="DS457" s="4"/>
      <c r="DT457" s="4"/>
      <c r="DU457" s="4"/>
      <c r="DV457" s="4"/>
    </row>
    <row r="458">
      <c r="A458" s="2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  <c r="CI458" s="4"/>
      <c r="CJ458" s="4"/>
      <c r="CK458" s="4"/>
      <c r="CL458" s="4"/>
      <c r="CM458" s="4"/>
      <c r="CN458" s="4"/>
      <c r="CO458" s="4"/>
      <c r="CP458" s="4"/>
      <c r="CQ458" s="4"/>
      <c r="CR458" s="4"/>
      <c r="CS458" s="4"/>
      <c r="CT458" s="4"/>
      <c r="CU458" s="4"/>
      <c r="CV458" s="4"/>
      <c r="CW458" s="4"/>
      <c r="CX458" s="4"/>
      <c r="CY458" s="4"/>
      <c r="CZ458" s="4"/>
      <c r="DA458" s="4"/>
      <c r="DB458" s="4"/>
      <c r="DC458" s="4"/>
      <c r="DD458" s="4"/>
      <c r="DE458" s="4"/>
      <c r="DF458" s="4"/>
      <c r="DG458" s="4"/>
      <c r="DH458" s="4"/>
      <c r="DI458" s="4"/>
      <c r="DJ458" s="4"/>
      <c r="DK458" s="4"/>
      <c r="DL458" s="4"/>
      <c r="DM458" s="4"/>
      <c r="DN458" s="4"/>
      <c r="DO458" s="4"/>
      <c r="DP458" s="4"/>
      <c r="DQ458" s="4"/>
      <c r="DR458" s="4"/>
      <c r="DS458" s="4"/>
      <c r="DT458" s="4"/>
      <c r="DU458" s="4"/>
      <c r="DV458" s="4"/>
    </row>
    <row r="459">
      <c r="A459" s="2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  <c r="CI459" s="4"/>
      <c r="CJ459" s="4"/>
      <c r="CK459" s="4"/>
      <c r="CL459" s="4"/>
      <c r="CM459" s="4"/>
      <c r="CN459" s="4"/>
      <c r="CO459" s="4"/>
      <c r="CP459" s="4"/>
      <c r="CQ459" s="4"/>
      <c r="CR459" s="4"/>
      <c r="CS459" s="4"/>
      <c r="CT459" s="4"/>
      <c r="CU459" s="4"/>
      <c r="CV459" s="4"/>
      <c r="CW459" s="4"/>
      <c r="CX459" s="4"/>
      <c r="CY459" s="4"/>
      <c r="CZ459" s="4"/>
      <c r="DA459" s="4"/>
      <c r="DB459" s="4"/>
      <c r="DC459" s="4"/>
      <c r="DD459" s="4"/>
      <c r="DE459" s="4"/>
      <c r="DF459" s="4"/>
      <c r="DG459" s="4"/>
      <c r="DH459" s="4"/>
      <c r="DI459" s="4"/>
      <c r="DJ459" s="4"/>
      <c r="DK459" s="4"/>
      <c r="DL459" s="4"/>
      <c r="DM459" s="4"/>
      <c r="DN459" s="4"/>
      <c r="DO459" s="4"/>
      <c r="DP459" s="4"/>
      <c r="DQ459" s="4"/>
      <c r="DR459" s="4"/>
      <c r="DS459" s="4"/>
      <c r="DT459" s="4"/>
      <c r="DU459" s="4"/>
      <c r="DV459" s="4"/>
    </row>
    <row r="460">
      <c r="A460" s="2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  <c r="CI460" s="4"/>
      <c r="CJ460" s="4"/>
      <c r="CK460" s="4"/>
      <c r="CL460" s="4"/>
      <c r="CM460" s="4"/>
      <c r="CN460" s="4"/>
      <c r="CO460" s="4"/>
      <c r="CP460" s="4"/>
      <c r="CQ460" s="4"/>
      <c r="CR460" s="4"/>
      <c r="CS460" s="4"/>
      <c r="CT460" s="4"/>
      <c r="CU460" s="4"/>
      <c r="CV460" s="4"/>
      <c r="CW460" s="4"/>
      <c r="CX460" s="4"/>
      <c r="CY460" s="4"/>
      <c r="CZ460" s="4"/>
      <c r="DA460" s="4"/>
      <c r="DB460" s="4"/>
      <c r="DC460" s="4"/>
      <c r="DD460" s="4"/>
      <c r="DE460" s="4"/>
      <c r="DF460" s="4"/>
      <c r="DG460" s="4"/>
      <c r="DH460" s="4"/>
      <c r="DI460" s="4"/>
      <c r="DJ460" s="4"/>
      <c r="DK460" s="4"/>
      <c r="DL460" s="4"/>
      <c r="DM460" s="4"/>
      <c r="DN460" s="4"/>
      <c r="DO460" s="4"/>
      <c r="DP460" s="4"/>
      <c r="DQ460" s="4"/>
      <c r="DR460" s="4"/>
      <c r="DS460" s="4"/>
      <c r="DT460" s="4"/>
      <c r="DU460" s="4"/>
      <c r="DV460" s="4"/>
    </row>
    <row r="461">
      <c r="A461" s="2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  <c r="CI461" s="4"/>
      <c r="CJ461" s="4"/>
      <c r="CK461" s="4"/>
      <c r="CL461" s="4"/>
      <c r="CM461" s="4"/>
      <c r="CN461" s="4"/>
      <c r="CO461" s="4"/>
      <c r="CP461" s="4"/>
      <c r="CQ461" s="4"/>
      <c r="CR461" s="4"/>
      <c r="CS461" s="4"/>
      <c r="CT461" s="4"/>
      <c r="CU461" s="4"/>
      <c r="CV461" s="4"/>
      <c r="CW461" s="4"/>
      <c r="CX461" s="4"/>
      <c r="CY461" s="4"/>
      <c r="CZ461" s="4"/>
      <c r="DA461" s="4"/>
      <c r="DB461" s="4"/>
      <c r="DC461" s="4"/>
      <c r="DD461" s="4"/>
      <c r="DE461" s="4"/>
      <c r="DF461" s="4"/>
      <c r="DG461" s="4"/>
      <c r="DH461" s="4"/>
      <c r="DI461" s="4"/>
      <c r="DJ461" s="4"/>
      <c r="DK461" s="4"/>
      <c r="DL461" s="4"/>
      <c r="DM461" s="4"/>
      <c r="DN461" s="4"/>
      <c r="DO461" s="4"/>
      <c r="DP461" s="4"/>
      <c r="DQ461" s="4"/>
      <c r="DR461" s="4"/>
      <c r="DS461" s="4"/>
      <c r="DT461" s="4"/>
      <c r="DU461" s="4"/>
      <c r="DV461" s="4"/>
    </row>
    <row r="462">
      <c r="A462" s="2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  <c r="CI462" s="4"/>
      <c r="CJ462" s="4"/>
      <c r="CK462" s="4"/>
      <c r="CL462" s="4"/>
      <c r="CM462" s="4"/>
      <c r="CN462" s="4"/>
      <c r="CO462" s="4"/>
      <c r="CP462" s="4"/>
      <c r="CQ462" s="4"/>
      <c r="CR462" s="4"/>
      <c r="CS462" s="4"/>
      <c r="CT462" s="4"/>
      <c r="CU462" s="4"/>
      <c r="CV462" s="4"/>
      <c r="CW462" s="4"/>
      <c r="CX462" s="4"/>
      <c r="CY462" s="4"/>
      <c r="CZ462" s="4"/>
      <c r="DA462" s="4"/>
      <c r="DB462" s="4"/>
      <c r="DC462" s="4"/>
      <c r="DD462" s="4"/>
      <c r="DE462" s="4"/>
      <c r="DF462" s="4"/>
      <c r="DG462" s="4"/>
      <c r="DH462" s="4"/>
      <c r="DI462" s="4"/>
      <c r="DJ462" s="4"/>
      <c r="DK462" s="4"/>
      <c r="DL462" s="4"/>
      <c r="DM462" s="4"/>
      <c r="DN462" s="4"/>
      <c r="DO462" s="4"/>
      <c r="DP462" s="4"/>
      <c r="DQ462" s="4"/>
      <c r="DR462" s="4"/>
      <c r="DS462" s="4"/>
      <c r="DT462" s="4"/>
      <c r="DU462" s="4"/>
      <c r="DV462" s="4"/>
    </row>
    <row r="463">
      <c r="A463" s="2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  <c r="CI463" s="4"/>
      <c r="CJ463" s="4"/>
      <c r="CK463" s="4"/>
      <c r="CL463" s="4"/>
      <c r="CM463" s="4"/>
      <c r="CN463" s="4"/>
      <c r="CO463" s="4"/>
      <c r="CP463" s="4"/>
      <c r="CQ463" s="4"/>
      <c r="CR463" s="4"/>
      <c r="CS463" s="4"/>
      <c r="CT463" s="4"/>
      <c r="CU463" s="4"/>
      <c r="CV463" s="4"/>
      <c r="CW463" s="4"/>
      <c r="CX463" s="4"/>
      <c r="CY463" s="4"/>
      <c r="CZ463" s="4"/>
      <c r="DA463" s="4"/>
      <c r="DB463" s="4"/>
      <c r="DC463" s="4"/>
      <c r="DD463" s="4"/>
      <c r="DE463" s="4"/>
      <c r="DF463" s="4"/>
      <c r="DG463" s="4"/>
      <c r="DH463" s="4"/>
      <c r="DI463" s="4"/>
      <c r="DJ463" s="4"/>
      <c r="DK463" s="4"/>
      <c r="DL463" s="4"/>
      <c r="DM463" s="4"/>
      <c r="DN463" s="4"/>
      <c r="DO463" s="4"/>
      <c r="DP463" s="4"/>
      <c r="DQ463" s="4"/>
      <c r="DR463" s="4"/>
      <c r="DS463" s="4"/>
      <c r="DT463" s="4"/>
      <c r="DU463" s="4"/>
      <c r="DV463" s="4"/>
    </row>
    <row r="464">
      <c r="A464" s="2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  <c r="CI464" s="4"/>
      <c r="CJ464" s="4"/>
      <c r="CK464" s="4"/>
      <c r="CL464" s="4"/>
      <c r="CM464" s="4"/>
      <c r="CN464" s="4"/>
      <c r="CO464" s="4"/>
      <c r="CP464" s="4"/>
      <c r="CQ464" s="4"/>
      <c r="CR464" s="4"/>
      <c r="CS464" s="4"/>
      <c r="CT464" s="4"/>
      <c r="CU464" s="4"/>
      <c r="CV464" s="4"/>
      <c r="CW464" s="4"/>
      <c r="CX464" s="4"/>
      <c r="CY464" s="4"/>
      <c r="CZ464" s="4"/>
      <c r="DA464" s="4"/>
      <c r="DB464" s="4"/>
      <c r="DC464" s="4"/>
      <c r="DD464" s="4"/>
      <c r="DE464" s="4"/>
      <c r="DF464" s="4"/>
      <c r="DG464" s="4"/>
      <c r="DH464" s="4"/>
      <c r="DI464" s="4"/>
      <c r="DJ464" s="4"/>
      <c r="DK464" s="4"/>
      <c r="DL464" s="4"/>
      <c r="DM464" s="4"/>
      <c r="DN464" s="4"/>
      <c r="DO464" s="4"/>
      <c r="DP464" s="4"/>
      <c r="DQ464" s="4"/>
      <c r="DR464" s="4"/>
      <c r="DS464" s="4"/>
      <c r="DT464" s="4"/>
      <c r="DU464" s="4"/>
      <c r="DV464" s="4"/>
    </row>
    <row r="465">
      <c r="A465" s="2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  <c r="CI465" s="4"/>
      <c r="CJ465" s="4"/>
      <c r="CK465" s="4"/>
      <c r="CL465" s="4"/>
      <c r="CM465" s="4"/>
      <c r="CN465" s="4"/>
      <c r="CO465" s="4"/>
      <c r="CP465" s="4"/>
      <c r="CQ465" s="4"/>
      <c r="CR465" s="4"/>
      <c r="CS465" s="4"/>
      <c r="CT465" s="4"/>
      <c r="CU465" s="4"/>
      <c r="CV465" s="4"/>
      <c r="CW465" s="4"/>
      <c r="CX465" s="4"/>
      <c r="CY465" s="4"/>
      <c r="CZ465" s="4"/>
      <c r="DA465" s="4"/>
      <c r="DB465" s="4"/>
      <c r="DC465" s="4"/>
      <c r="DD465" s="4"/>
      <c r="DE465" s="4"/>
      <c r="DF465" s="4"/>
      <c r="DG465" s="4"/>
      <c r="DH465" s="4"/>
      <c r="DI465" s="4"/>
      <c r="DJ465" s="4"/>
      <c r="DK465" s="4"/>
      <c r="DL465" s="4"/>
      <c r="DM465" s="4"/>
      <c r="DN465" s="4"/>
      <c r="DO465" s="4"/>
      <c r="DP465" s="4"/>
      <c r="DQ465" s="4"/>
      <c r="DR465" s="4"/>
      <c r="DS465" s="4"/>
      <c r="DT465" s="4"/>
      <c r="DU465" s="4"/>
      <c r="DV465" s="4"/>
    </row>
    <row r="466">
      <c r="A466" s="2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  <c r="CI466" s="4"/>
      <c r="CJ466" s="4"/>
      <c r="CK466" s="4"/>
      <c r="CL466" s="4"/>
      <c r="CM466" s="4"/>
      <c r="CN466" s="4"/>
      <c r="CO466" s="4"/>
      <c r="CP466" s="4"/>
      <c r="CQ466" s="4"/>
      <c r="CR466" s="4"/>
      <c r="CS466" s="4"/>
      <c r="CT466" s="4"/>
      <c r="CU466" s="4"/>
      <c r="CV466" s="4"/>
      <c r="CW466" s="4"/>
      <c r="CX466" s="4"/>
      <c r="CY466" s="4"/>
      <c r="CZ466" s="4"/>
      <c r="DA466" s="4"/>
      <c r="DB466" s="4"/>
      <c r="DC466" s="4"/>
      <c r="DD466" s="4"/>
      <c r="DE466" s="4"/>
      <c r="DF466" s="4"/>
      <c r="DG466" s="4"/>
      <c r="DH466" s="4"/>
      <c r="DI466" s="4"/>
      <c r="DJ466" s="4"/>
      <c r="DK466" s="4"/>
      <c r="DL466" s="4"/>
      <c r="DM466" s="4"/>
      <c r="DN466" s="4"/>
      <c r="DO466" s="4"/>
      <c r="DP466" s="4"/>
      <c r="DQ466" s="4"/>
      <c r="DR466" s="4"/>
      <c r="DS466" s="4"/>
      <c r="DT466" s="4"/>
      <c r="DU466" s="4"/>
      <c r="DV466" s="4"/>
    </row>
    <row r="467">
      <c r="A467" s="2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  <c r="CI467" s="4"/>
      <c r="CJ467" s="4"/>
      <c r="CK467" s="4"/>
      <c r="CL467" s="4"/>
      <c r="CM467" s="4"/>
      <c r="CN467" s="4"/>
      <c r="CO467" s="4"/>
      <c r="CP467" s="4"/>
      <c r="CQ467" s="4"/>
      <c r="CR467" s="4"/>
      <c r="CS467" s="4"/>
      <c r="CT467" s="4"/>
      <c r="CU467" s="4"/>
      <c r="CV467" s="4"/>
      <c r="CW467" s="4"/>
      <c r="CX467" s="4"/>
      <c r="CY467" s="4"/>
      <c r="CZ467" s="4"/>
      <c r="DA467" s="4"/>
      <c r="DB467" s="4"/>
      <c r="DC467" s="4"/>
      <c r="DD467" s="4"/>
      <c r="DE467" s="4"/>
      <c r="DF467" s="4"/>
      <c r="DG467" s="4"/>
      <c r="DH467" s="4"/>
      <c r="DI467" s="4"/>
      <c r="DJ467" s="4"/>
      <c r="DK467" s="4"/>
      <c r="DL467" s="4"/>
      <c r="DM467" s="4"/>
      <c r="DN467" s="4"/>
      <c r="DO467" s="4"/>
      <c r="DP467" s="4"/>
      <c r="DQ467" s="4"/>
      <c r="DR467" s="4"/>
      <c r="DS467" s="4"/>
      <c r="DT467" s="4"/>
      <c r="DU467" s="4"/>
      <c r="DV467" s="4"/>
    </row>
    <row r="468">
      <c r="A468" s="2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  <c r="CI468" s="4"/>
      <c r="CJ468" s="4"/>
      <c r="CK468" s="4"/>
      <c r="CL468" s="4"/>
      <c r="CM468" s="4"/>
      <c r="CN468" s="4"/>
      <c r="CO468" s="4"/>
      <c r="CP468" s="4"/>
      <c r="CQ468" s="4"/>
      <c r="CR468" s="4"/>
      <c r="CS468" s="4"/>
      <c r="CT468" s="4"/>
      <c r="CU468" s="4"/>
      <c r="CV468" s="4"/>
      <c r="CW468" s="4"/>
      <c r="CX468" s="4"/>
      <c r="CY468" s="4"/>
      <c r="CZ468" s="4"/>
      <c r="DA468" s="4"/>
      <c r="DB468" s="4"/>
      <c r="DC468" s="4"/>
      <c r="DD468" s="4"/>
      <c r="DE468" s="4"/>
      <c r="DF468" s="4"/>
      <c r="DG468" s="4"/>
      <c r="DH468" s="4"/>
      <c r="DI468" s="4"/>
      <c r="DJ468" s="4"/>
      <c r="DK468" s="4"/>
      <c r="DL468" s="4"/>
      <c r="DM468" s="4"/>
      <c r="DN468" s="4"/>
      <c r="DO468" s="4"/>
      <c r="DP468" s="4"/>
      <c r="DQ468" s="4"/>
      <c r="DR468" s="4"/>
      <c r="DS468" s="4"/>
      <c r="DT468" s="4"/>
      <c r="DU468" s="4"/>
      <c r="DV468" s="4"/>
    </row>
    <row r="469">
      <c r="A469" s="2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  <c r="CI469" s="4"/>
      <c r="CJ469" s="4"/>
      <c r="CK469" s="4"/>
      <c r="CL469" s="4"/>
      <c r="CM469" s="4"/>
      <c r="CN469" s="4"/>
      <c r="CO469" s="4"/>
      <c r="CP469" s="4"/>
      <c r="CQ469" s="4"/>
      <c r="CR469" s="4"/>
      <c r="CS469" s="4"/>
      <c r="CT469" s="4"/>
      <c r="CU469" s="4"/>
      <c r="CV469" s="4"/>
      <c r="CW469" s="4"/>
      <c r="CX469" s="4"/>
      <c r="CY469" s="4"/>
      <c r="CZ469" s="4"/>
      <c r="DA469" s="4"/>
      <c r="DB469" s="4"/>
      <c r="DC469" s="4"/>
      <c r="DD469" s="4"/>
      <c r="DE469" s="4"/>
      <c r="DF469" s="4"/>
      <c r="DG469" s="4"/>
      <c r="DH469" s="4"/>
      <c r="DI469" s="4"/>
      <c r="DJ469" s="4"/>
      <c r="DK469" s="4"/>
      <c r="DL469" s="4"/>
      <c r="DM469" s="4"/>
      <c r="DN469" s="4"/>
      <c r="DO469" s="4"/>
      <c r="DP469" s="4"/>
      <c r="DQ469" s="4"/>
      <c r="DR469" s="4"/>
      <c r="DS469" s="4"/>
      <c r="DT469" s="4"/>
      <c r="DU469" s="4"/>
      <c r="DV469" s="4"/>
    </row>
    <row r="470">
      <c r="A470" s="2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  <c r="CI470" s="4"/>
      <c r="CJ470" s="4"/>
      <c r="CK470" s="4"/>
      <c r="CL470" s="4"/>
      <c r="CM470" s="4"/>
      <c r="CN470" s="4"/>
      <c r="CO470" s="4"/>
      <c r="CP470" s="4"/>
      <c r="CQ470" s="4"/>
      <c r="CR470" s="4"/>
      <c r="CS470" s="4"/>
      <c r="CT470" s="4"/>
      <c r="CU470" s="4"/>
      <c r="CV470" s="4"/>
      <c r="CW470" s="4"/>
      <c r="CX470" s="4"/>
      <c r="CY470" s="4"/>
      <c r="CZ470" s="4"/>
      <c r="DA470" s="4"/>
      <c r="DB470" s="4"/>
      <c r="DC470" s="4"/>
      <c r="DD470" s="4"/>
      <c r="DE470" s="4"/>
      <c r="DF470" s="4"/>
      <c r="DG470" s="4"/>
      <c r="DH470" s="4"/>
      <c r="DI470" s="4"/>
      <c r="DJ470" s="4"/>
      <c r="DK470" s="4"/>
      <c r="DL470" s="4"/>
      <c r="DM470" s="4"/>
      <c r="DN470" s="4"/>
      <c r="DO470" s="4"/>
      <c r="DP470" s="4"/>
      <c r="DQ470" s="4"/>
      <c r="DR470" s="4"/>
      <c r="DS470" s="4"/>
      <c r="DT470" s="4"/>
      <c r="DU470" s="4"/>
      <c r="DV470" s="4"/>
    </row>
    <row r="471">
      <c r="A471" s="2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  <c r="CI471" s="4"/>
      <c r="CJ471" s="4"/>
      <c r="CK471" s="4"/>
      <c r="CL471" s="4"/>
      <c r="CM471" s="4"/>
      <c r="CN471" s="4"/>
      <c r="CO471" s="4"/>
      <c r="CP471" s="4"/>
      <c r="CQ471" s="4"/>
      <c r="CR471" s="4"/>
      <c r="CS471" s="4"/>
      <c r="CT471" s="4"/>
      <c r="CU471" s="4"/>
      <c r="CV471" s="4"/>
      <c r="CW471" s="4"/>
      <c r="CX471" s="4"/>
      <c r="CY471" s="4"/>
      <c r="CZ471" s="4"/>
      <c r="DA471" s="4"/>
      <c r="DB471" s="4"/>
      <c r="DC471" s="4"/>
      <c r="DD471" s="4"/>
      <c r="DE471" s="4"/>
      <c r="DF471" s="4"/>
      <c r="DG471" s="4"/>
      <c r="DH471" s="4"/>
      <c r="DI471" s="4"/>
      <c r="DJ471" s="4"/>
      <c r="DK471" s="4"/>
      <c r="DL471" s="4"/>
      <c r="DM471" s="4"/>
      <c r="DN471" s="4"/>
      <c r="DO471" s="4"/>
      <c r="DP471" s="4"/>
      <c r="DQ471" s="4"/>
      <c r="DR471" s="4"/>
      <c r="DS471" s="4"/>
      <c r="DT471" s="4"/>
      <c r="DU471" s="4"/>
      <c r="DV471" s="4"/>
    </row>
    <row r="472">
      <c r="A472" s="2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  <c r="CI472" s="4"/>
      <c r="CJ472" s="4"/>
      <c r="CK472" s="4"/>
      <c r="CL472" s="4"/>
      <c r="CM472" s="4"/>
      <c r="CN472" s="4"/>
      <c r="CO472" s="4"/>
      <c r="CP472" s="4"/>
      <c r="CQ472" s="4"/>
      <c r="CR472" s="4"/>
      <c r="CS472" s="4"/>
      <c r="CT472" s="4"/>
      <c r="CU472" s="4"/>
      <c r="CV472" s="4"/>
      <c r="CW472" s="4"/>
      <c r="CX472" s="4"/>
      <c r="CY472" s="4"/>
      <c r="CZ472" s="4"/>
      <c r="DA472" s="4"/>
      <c r="DB472" s="4"/>
      <c r="DC472" s="4"/>
      <c r="DD472" s="4"/>
      <c r="DE472" s="4"/>
      <c r="DF472" s="4"/>
      <c r="DG472" s="4"/>
      <c r="DH472" s="4"/>
      <c r="DI472" s="4"/>
      <c r="DJ472" s="4"/>
      <c r="DK472" s="4"/>
      <c r="DL472" s="4"/>
      <c r="DM472" s="4"/>
      <c r="DN472" s="4"/>
      <c r="DO472" s="4"/>
      <c r="DP472" s="4"/>
      <c r="DQ472" s="4"/>
      <c r="DR472" s="4"/>
      <c r="DS472" s="4"/>
      <c r="DT472" s="4"/>
      <c r="DU472" s="4"/>
      <c r="DV472" s="4"/>
    </row>
    <row r="473">
      <c r="A473" s="2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  <c r="CI473" s="4"/>
      <c r="CJ473" s="4"/>
      <c r="CK473" s="4"/>
      <c r="CL473" s="4"/>
      <c r="CM473" s="4"/>
      <c r="CN473" s="4"/>
      <c r="CO473" s="4"/>
      <c r="CP473" s="4"/>
      <c r="CQ473" s="4"/>
      <c r="CR473" s="4"/>
      <c r="CS473" s="4"/>
      <c r="CT473" s="4"/>
      <c r="CU473" s="4"/>
      <c r="CV473" s="4"/>
      <c r="CW473" s="4"/>
      <c r="CX473" s="4"/>
      <c r="CY473" s="4"/>
      <c r="CZ473" s="4"/>
      <c r="DA473" s="4"/>
      <c r="DB473" s="4"/>
      <c r="DC473" s="4"/>
      <c r="DD473" s="4"/>
      <c r="DE473" s="4"/>
      <c r="DF473" s="4"/>
      <c r="DG473" s="4"/>
      <c r="DH473" s="4"/>
      <c r="DI473" s="4"/>
      <c r="DJ473" s="4"/>
      <c r="DK473" s="4"/>
      <c r="DL473" s="4"/>
      <c r="DM473" s="4"/>
      <c r="DN473" s="4"/>
      <c r="DO473" s="4"/>
      <c r="DP473" s="4"/>
      <c r="DQ473" s="4"/>
      <c r="DR473" s="4"/>
      <c r="DS473" s="4"/>
      <c r="DT473" s="4"/>
      <c r="DU473" s="4"/>
      <c r="DV473" s="4"/>
    </row>
    <row r="474">
      <c r="A474" s="2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  <c r="CI474" s="4"/>
      <c r="CJ474" s="4"/>
      <c r="CK474" s="4"/>
      <c r="CL474" s="4"/>
      <c r="CM474" s="4"/>
      <c r="CN474" s="4"/>
      <c r="CO474" s="4"/>
      <c r="CP474" s="4"/>
      <c r="CQ474" s="4"/>
      <c r="CR474" s="4"/>
      <c r="CS474" s="4"/>
      <c r="CT474" s="4"/>
      <c r="CU474" s="4"/>
      <c r="CV474" s="4"/>
      <c r="CW474" s="4"/>
      <c r="CX474" s="4"/>
      <c r="CY474" s="4"/>
      <c r="CZ474" s="4"/>
      <c r="DA474" s="4"/>
      <c r="DB474" s="4"/>
      <c r="DC474" s="4"/>
      <c r="DD474" s="4"/>
      <c r="DE474" s="4"/>
      <c r="DF474" s="4"/>
      <c r="DG474" s="4"/>
      <c r="DH474" s="4"/>
      <c r="DI474" s="4"/>
      <c r="DJ474" s="4"/>
      <c r="DK474" s="4"/>
      <c r="DL474" s="4"/>
      <c r="DM474" s="4"/>
      <c r="DN474" s="4"/>
      <c r="DO474" s="4"/>
      <c r="DP474" s="4"/>
      <c r="DQ474" s="4"/>
      <c r="DR474" s="4"/>
      <c r="DS474" s="4"/>
      <c r="DT474" s="4"/>
      <c r="DU474" s="4"/>
      <c r="DV474" s="4"/>
    </row>
    <row r="475">
      <c r="A475" s="2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  <c r="CI475" s="4"/>
      <c r="CJ475" s="4"/>
      <c r="CK475" s="4"/>
      <c r="CL475" s="4"/>
      <c r="CM475" s="4"/>
      <c r="CN475" s="4"/>
      <c r="CO475" s="4"/>
      <c r="CP475" s="4"/>
      <c r="CQ475" s="4"/>
      <c r="CR475" s="4"/>
      <c r="CS475" s="4"/>
      <c r="CT475" s="4"/>
      <c r="CU475" s="4"/>
      <c r="CV475" s="4"/>
      <c r="CW475" s="4"/>
      <c r="CX475" s="4"/>
      <c r="CY475" s="4"/>
      <c r="CZ475" s="4"/>
      <c r="DA475" s="4"/>
      <c r="DB475" s="4"/>
      <c r="DC475" s="4"/>
      <c r="DD475" s="4"/>
      <c r="DE475" s="4"/>
      <c r="DF475" s="4"/>
      <c r="DG475" s="4"/>
      <c r="DH475" s="4"/>
      <c r="DI475" s="4"/>
      <c r="DJ475" s="4"/>
      <c r="DK475" s="4"/>
      <c r="DL475" s="4"/>
      <c r="DM475" s="4"/>
      <c r="DN475" s="4"/>
      <c r="DO475" s="4"/>
      <c r="DP475" s="4"/>
      <c r="DQ475" s="4"/>
      <c r="DR475" s="4"/>
      <c r="DS475" s="4"/>
      <c r="DT475" s="4"/>
      <c r="DU475" s="4"/>
      <c r="DV475" s="4"/>
    </row>
    <row r="476">
      <c r="A476" s="2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  <c r="CI476" s="4"/>
      <c r="CJ476" s="4"/>
      <c r="CK476" s="4"/>
      <c r="CL476" s="4"/>
      <c r="CM476" s="4"/>
      <c r="CN476" s="4"/>
      <c r="CO476" s="4"/>
      <c r="CP476" s="4"/>
      <c r="CQ476" s="4"/>
      <c r="CR476" s="4"/>
      <c r="CS476" s="4"/>
      <c r="CT476" s="4"/>
      <c r="CU476" s="4"/>
      <c r="CV476" s="4"/>
      <c r="CW476" s="4"/>
      <c r="CX476" s="4"/>
      <c r="CY476" s="4"/>
      <c r="CZ476" s="4"/>
      <c r="DA476" s="4"/>
      <c r="DB476" s="4"/>
      <c r="DC476" s="4"/>
      <c r="DD476" s="4"/>
      <c r="DE476" s="4"/>
      <c r="DF476" s="4"/>
      <c r="DG476" s="4"/>
      <c r="DH476" s="4"/>
      <c r="DI476" s="4"/>
      <c r="DJ476" s="4"/>
      <c r="DK476" s="4"/>
      <c r="DL476" s="4"/>
      <c r="DM476" s="4"/>
      <c r="DN476" s="4"/>
      <c r="DO476" s="4"/>
      <c r="DP476" s="4"/>
      <c r="DQ476" s="4"/>
      <c r="DR476" s="4"/>
      <c r="DS476" s="4"/>
      <c r="DT476" s="4"/>
      <c r="DU476" s="4"/>
      <c r="DV476" s="4"/>
    </row>
    <row r="477">
      <c r="A477" s="2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  <c r="CI477" s="4"/>
      <c r="CJ477" s="4"/>
      <c r="CK477" s="4"/>
      <c r="CL477" s="4"/>
      <c r="CM477" s="4"/>
      <c r="CN477" s="4"/>
      <c r="CO477" s="4"/>
      <c r="CP477" s="4"/>
      <c r="CQ477" s="4"/>
      <c r="CR477" s="4"/>
      <c r="CS477" s="4"/>
      <c r="CT477" s="4"/>
      <c r="CU477" s="4"/>
      <c r="CV477" s="4"/>
      <c r="CW477" s="4"/>
      <c r="CX477" s="4"/>
      <c r="CY477" s="4"/>
      <c r="CZ477" s="4"/>
      <c r="DA477" s="4"/>
      <c r="DB477" s="4"/>
      <c r="DC477" s="4"/>
      <c r="DD477" s="4"/>
      <c r="DE477" s="4"/>
      <c r="DF477" s="4"/>
      <c r="DG477" s="4"/>
      <c r="DH477" s="4"/>
      <c r="DI477" s="4"/>
      <c r="DJ477" s="4"/>
      <c r="DK477" s="4"/>
      <c r="DL477" s="4"/>
      <c r="DM477" s="4"/>
      <c r="DN477" s="4"/>
      <c r="DO477" s="4"/>
      <c r="DP477" s="4"/>
      <c r="DQ477" s="4"/>
      <c r="DR477" s="4"/>
      <c r="DS477" s="4"/>
      <c r="DT477" s="4"/>
      <c r="DU477" s="4"/>
      <c r="DV477" s="4"/>
    </row>
    <row r="478">
      <c r="A478" s="2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  <c r="CI478" s="4"/>
      <c r="CJ478" s="4"/>
      <c r="CK478" s="4"/>
      <c r="CL478" s="4"/>
      <c r="CM478" s="4"/>
      <c r="CN478" s="4"/>
      <c r="CO478" s="4"/>
      <c r="CP478" s="4"/>
      <c r="CQ478" s="4"/>
      <c r="CR478" s="4"/>
      <c r="CS478" s="4"/>
      <c r="CT478" s="4"/>
      <c r="CU478" s="4"/>
      <c r="CV478" s="4"/>
      <c r="CW478" s="4"/>
      <c r="CX478" s="4"/>
      <c r="CY478" s="4"/>
      <c r="CZ478" s="4"/>
      <c r="DA478" s="4"/>
      <c r="DB478" s="4"/>
      <c r="DC478" s="4"/>
      <c r="DD478" s="4"/>
      <c r="DE478" s="4"/>
      <c r="DF478" s="4"/>
      <c r="DG478" s="4"/>
      <c r="DH478" s="4"/>
      <c r="DI478" s="4"/>
      <c r="DJ478" s="4"/>
      <c r="DK478" s="4"/>
      <c r="DL478" s="4"/>
      <c r="DM478" s="4"/>
      <c r="DN478" s="4"/>
      <c r="DO478" s="4"/>
      <c r="DP478" s="4"/>
      <c r="DQ478" s="4"/>
      <c r="DR478" s="4"/>
      <c r="DS478" s="4"/>
      <c r="DT478" s="4"/>
      <c r="DU478" s="4"/>
      <c r="DV478" s="4"/>
    </row>
    <row r="479">
      <c r="A479" s="2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  <c r="CI479" s="4"/>
      <c r="CJ479" s="4"/>
      <c r="CK479" s="4"/>
      <c r="CL479" s="4"/>
      <c r="CM479" s="4"/>
      <c r="CN479" s="4"/>
      <c r="CO479" s="4"/>
      <c r="CP479" s="4"/>
      <c r="CQ479" s="4"/>
      <c r="CR479" s="4"/>
      <c r="CS479" s="4"/>
      <c r="CT479" s="4"/>
      <c r="CU479" s="4"/>
      <c r="CV479" s="4"/>
      <c r="CW479" s="4"/>
      <c r="CX479" s="4"/>
      <c r="CY479" s="4"/>
      <c r="CZ479" s="4"/>
      <c r="DA479" s="4"/>
      <c r="DB479" s="4"/>
      <c r="DC479" s="4"/>
      <c r="DD479" s="4"/>
      <c r="DE479" s="4"/>
      <c r="DF479" s="4"/>
      <c r="DG479" s="4"/>
      <c r="DH479" s="4"/>
      <c r="DI479" s="4"/>
      <c r="DJ479" s="4"/>
      <c r="DK479" s="4"/>
      <c r="DL479" s="4"/>
      <c r="DM479" s="4"/>
      <c r="DN479" s="4"/>
      <c r="DO479" s="4"/>
      <c r="DP479" s="4"/>
      <c r="DQ479" s="4"/>
      <c r="DR479" s="4"/>
      <c r="DS479" s="4"/>
      <c r="DT479" s="4"/>
      <c r="DU479" s="4"/>
      <c r="DV479" s="4"/>
    </row>
    <row r="480">
      <c r="A480" s="2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  <c r="CI480" s="4"/>
      <c r="CJ480" s="4"/>
      <c r="CK480" s="4"/>
      <c r="CL480" s="4"/>
      <c r="CM480" s="4"/>
      <c r="CN480" s="4"/>
      <c r="CO480" s="4"/>
      <c r="CP480" s="4"/>
      <c r="CQ480" s="4"/>
      <c r="CR480" s="4"/>
      <c r="CS480" s="4"/>
      <c r="CT480" s="4"/>
      <c r="CU480" s="4"/>
      <c r="CV480" s="4"/>
      <c r="CW480" s="4"/>
      <c r="CX480" s="4"/>
      <c r="CY480" s="4"/>
      <c r="CZ480" s="4"/>
      <c r="DA480" s="4"/>
      <c r="DB480" s="4"/>
      <c r="DC480" s="4"/>
      <c r="DD480" s="4"/>
      <c r="DE480" s="4"/>
      <c r="DF480" s="4"/>
      <c r="DG480" s="4"/>
      <c r="DH480" s="4"/>
      <c r="DI480" s="4"/>
      <c r="DJ480" s="4"/>
      <c r="DK480" s="4"/>
      <c r="DL480" s="4"/>
      <c r="DM480" s="4"/>
      <c r="DN480" s="4"/>
      <c r="DO480" s="4"/>
      <c r="DP480" s="4"/>
      <c r="DQ480" s="4"/>
      <c r="DR480" s="4"/>
      <c r="DS480" s="4"/>
      <c r="DT480" s="4"/>
      <c r="DU480" s="4"/>
      <c r="DV480" s="4"/>
    </row>
    <row r="481">
      <c r="A481" s="2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  <c r="CI481" s="4"/>
      <c r="CJ481" s="4"/>
      <c r="CK481" s="4"/>
      <c r="CL481" s="4"/>
      <c r="CM481" s="4"/>
      <c r="CN481" s="4"/>
      <c r="CO481" s="4"/>
      <c r="CP481" s="4"/>
      <c r="CQ481" s="4"/>
      <c r="CR481" s="4"/>
      <c r="CS481" s="4"/>
      <c r="CT481" s="4"/>
      <c r="CU481" s="4"/>
      <c r="CV481" s="4"/>
      <c r="CW481" s="4"/>
      <c r="CX481" s="4"/>
      <c r="CY481" s="4"/>
      <c r="CZ481" s="4"/>
      <c r="DA481" s="4"/>
      <c r="DB481" s="4"/>
      <c r="DC481" s="4"/>
      <c r="DD481" s="4"/>
      <c r="DE481" s="4"/>
      <c r="DF481" s="4"/>
      <c r="DG481" s="4"/>
      <c r="DH481" s="4"/>
      <c r="DI481" s="4"/>
      <c r="DJ481" s="4"/>
      <c r="DK481" s="4"/>
      <c r="DL481" s="4"/>
      <c r="DM481" s="4"/>
      <c r="DN481" s="4"/>
      <c r="DO481" s="4"/>
      <c r="DP481" s="4"/>
      <c r="DQ481" s="4"/>
      <c r="DR481" s="4"/>
      <c r="DS481" s="4"/>
      <c r="DT481" s="4"/>
      <c r="DU481" s="4"/>
      <c r="DV481" s="4"/>
    </row>
    <row r="482">
      <c r="A482" s="2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  <c r="CI482" s="4"/>
      <c r="CJ482" s="4"/>
      <c r="CK482" s="4"/>
      <c r="CL482" s="4"/>
      <c r="CM482" s="4"/>
      <c r="CN482" s="4"/>
      <c r="CO482" s="4"/>
      <c r="CP482" s="4"/>
      <c r="CQ482" s="4"/>
      <c r="CR482" s="4"/>
      <c r="CS482" s="4"/>
      <c r="CT482" s="4"/>
      <c r="CU482" s="4"/>
      <c r="CV482" s="4"/>
      <c r="CW482" s="4"/>
      <c r="CX482" s="4"/>
      <c r="CY482" s="4"/>
      <c r="CZ482" s="4"/>
      <c r="DA482" s="4"/>
      <c r="DB482" s="4"/>
      <c r="DC482" s="4"/>
      <c r="DD482" s="4"/>
      <c r="DE482" s="4"/>
      <c r="DF482" s="4"/>
      <c r="DG482" s="4"/>
      <c r="DH482" s="4"/>
      <c r="DI482" s="4"/>
      <c r="DJ482" s="4"/>
      <c r="DK482" s="4"/>
      <c r="DL482" s="4"/>
      <c r="DM482" s="4"/>
      <c r="DN482" s="4"/>
      <c r="DO482" s="4"/>
      <c r="DP482" s="4"/>
      <c r="DQ482" s="4"/>
      <c r="DR482" s="4"/>
      <c r="DS482" s="4"/>
      <c r="DT482" s="4"/>
      <c r="DU482" s="4"/>
      <c r="DV482" s="4"/>
    </row>
    <row r="483">
      <c r="A483" s="2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  <c r="CI483" s="4"/>
      <c r="CJ483" s="4"/>
      <c r="CK483" s="4"/>
      <c r="CL483" s="4"/>
      <c r="CM483" s="4"/>
      <c r="CN483" s="4"/>
      <c r="CO483" s="4"/>
      <c r="CP483" s="4"/>
      <c r="CQ483" s="4"/>
      <c r="CR483" s="4"/>
      <c r="CS483" s="4"/>
      <c r="CT483" s="4"/>
      <c r="CU483" s="4"/>
      <c r="CV483" s="4"/>
      <c r="CW483" s="4"/>
      <c r="CX483" s="4"/>
      <c r="CY483" s="4"/>
      <c r="CZ483" s="4"/>
      <c r="DA483" s="4"/>
      <c r="DB483" s="4"/>
      <c r="DC483" s="4"/>
      <c r="DD483" s="4"/>
      <c r="DE483" s="4"/>
      <c r="DF483" s="4"/>
      <c r="DG483" s="4"/>
      <c r="DH483" s="4"/>
      <c r="DI483" s="4"/>
      <c r="DJ483" s="4"/>
      <c r="DK483" s="4"/>
      <c r="DL483" s="4"/>
      <c r="DM483" s="4"/>
      <c r="DN483" s="4"/>
      <c r="DO483" s="4"/>
      <c r="DP483" s="4"/>
      <c r="DQ483" s="4"/>
      <c r="DR483" s="4"/>
      <c r="DS483" s="4"/>
      <c r="DT483" s="4"/>
      <c r="DU483" s="4"/>
      <c r="DV483" s="4"/>
    </row>
    <row r="484">
      <c r="A484" s="2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  <c r="CI484" s="4"/>
      <c r="CJ484" s="4"/>
      <c r="CK484" s="4"/>
      <c r="CL484" s="4"/>
      <c r="CM484" s="4"/>
      <c r="CN484" s="4"/>
      <c r="CO484" s="4"/>
      <c r="CP484" s="4"/>
      <c r="CQ484" s="4"/>
      <c r="CR484" s="4"/>
      <c r="CS484" s="4"/>
      <c r="CT484" s="4"/>
      <c r="CU484" s="4"/>
      <c r="CV484" s="4"/>
      <c r="CW484" s="4"/>
      <c r="CX484" s="4"/>
      <c r="CY484" s="4"/>
      <c r="CZ484" s="4"/>
      <c r="DA484" s="4"/>
      <c r="DB484" s="4"/>
      <c r="DC484" s="4"/>
      <c r="DD484" s="4"/>
      <c r="DE484" s="4"/>
      <c r="DF484" s="4"/>
      <c r="DG484" s="4"/>
      <c r="DH484" s="4"/>
      <c r="DI484" s="4"/>
      <c r="DJ484" s="4"/>
      <c r="DK484" s="4"/>
      <c r="DL484" s="4"/>
      <c r="DM484" s="4"/>
      <c r="DN484" s="4"/>
      <c r="DO484" s="4"/>
      <c r="DP484" s="4"/>
      <c r="DQ484" s="4"/>
      <c r="DR484" s="4"/>
      <c r="DS484" s="4"/>
      <c r="DT484" s="4"/>
      <c r="DU484" s="4"/>
      <c r="DV484" s="4"/>
    </row>
    <row r="485">
      <c r="A485" s="2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  <c r="CI485" s="4"/>
      <c r="CJ485" s="4"/>
      <c r="CK485" s="4"/>
      <c r="CL485" s="4"/>
      <c r="CM485" s="4"/>
      <c r="CN485" s="4"/>
      <c r="CO485" s="4"/>
      <c r="CP485" s="4"/>
      <c r="CQ485" s="4"/>
      <c r="CR485" s="4"/>
      <c r="CS485" s="4"/>
      <c r="CT485" s="4"/>
      <c r="CU485" s="4"/>
      <c r="CV485" s="4"/>
      <c r="CW485" s="4"/>
      <c r="CX485" s="4"/>
      <c r="CY485" s="4"/>
      <c r="CZ485" s="4"/>
      <c r="DA485" s="4"/>
      <c r="DB485" s="4"/>
      <c r="DC485" s="4"/>
      <c r="DD485" s="4"/>
      <c r="DE485" s="4"/>
      <c r="DF485" s="4"/>
      <c r="DG485" s="4"/>
      <c r="DH485" s="4"/>
      <c r="DI485" s="4"/>
      <c r="DJ485" s="4"/>
      <c r="DK485" s="4"/>
      <c r="DL485" s="4"/>
      <c r="DM485" s="4"/>
      <c r="DN485" s="4"/>
      <c r="DO485" s="4"/>
      <c r="DP485" s="4"/>
      <c r="DQ485" s="4"/>
      <c r="DR485" s="4"/>
      <c r="DS485" s="4"/>
      <c r="DT485" s="4"/>
      <c r="DU485" s="4"/>
      <c r="DV485" s="4"/>
    </row>
    <row r="486">
      <c r="A486" s="2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  <c r="CI486" s="4"/>
      <c r="CJ486" s="4"/>
      <c r="CK486" s="4"/>
      <c r="CL486" s="4"/>
      <c r="CM486" s="4"/>
      <c r="CN486" s="4"/>
      <c r="CO486" s="4"/>
      <c r="CP486" s="4"/>
      <c r="CQ486" s="4"/>
      <c r="CR486" s="4"/>
      <c r="CS486" s="4"/>
      <c r="CT486" s="4"/>
      <c r="CU486" s="4"/>
      <c r="CV486" s="4"/>
      <c r="CW486" s="4"/>
      <c r="CX486" s="4"/>
      <c r="CY486" s="4"/>
      <c r="CZ486" s="4"/>
      <c r="DA486" s="4"/>
      <c r="DB486" s="4"/>
      <c r="DC486" s="4"/>
      <c r="DD486" s="4"/>
      <c r="DE486" s="4"/>
      <c r="DF486" s="4"/>
      <c r="DG486" s="4"/>
      <c r="DH486" s="4"/>
      <c r="DI486" s="4"/>
      <c r="DJ486" s="4"/>
      <c r="DK486" s="4"/>
      <c r="DL486" s="4"/>
      <c r="DM486" s="4"/>
      <c r="DN486" s="4"/>
      <c r="DO486" s="4"/>
      <c r="DP486" s="4"/>
      <c r="DQ486" s="4"/>
      <c r="DR486" s="4"/>
      <c r="DS486" s="4"/>
      <c r="DT486" s="4"/>
      <c r="DU486" s="4"/>
      <c r="DV486" s="4"/>
    </row>
    <row r="487">
      <c r="A487" s="2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  <c r="CI487" s="4"/>
      <c r="CJ487" s="4"/>
      <c r="CK487" s="4"/>
      <c r="CL487" s="4"/>
      <c r="CM487" s="4"/>
      <c r="CN487" s="4"/>
      <c r="CO487" s="4"/>
      <c r="CP487" s="4"/>
      <c r="CQ487" s="4"/>
      <c r="CR487" s="4"/>
      <c r="CS487" s="4"/>
      <c r="CT487" s="4"/>
      <c r="CU487" s="4"/>
      <c r="CV487" s="4"/>
      <c r="CW487" s="4"/>
      <c r="CX487" s="4"/>
      <c r="CY487" s="4"/>
      <c r="CZ487" s="4"/>
      <c r="DA487" s="4"/>
      <c r="DB487" s="4"/>
      <c r="DC487" s="4"/>
      <c r="DD487" s="4"/>
      <c r="DE487" s="4"/>
      <c r="DF487" s="4"/>
      <c r="DG487" s="4"/>
      <c r="DH487" s="4"/>
      <c r="DI487" s="4"/>
      <c r="DJ487" s="4"/>
      <c r="DK487" s="4"/>
      <c r="DL487" s="4"/>
      <c r="DM487" s="4"/>
      <c r="DN487" s="4"/>
      <c r="DO487" s="4"/>
      <c r="DP487" s="4"/>
      <c r="DQ487" s="4"/>
      <c r="DR487" s="4"/>
      <c r="DS487" s="4"/>
      <c r="DT487" s="4"/>
      <c r="DU487" s="4"/>
      <c r="DV487" s="4"/>
    </row>
    <row r="488">
      <c r="A488" s="2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  <c r="CI488" s="4"/>
      <c r="CJ488" s="4"/>
      <c r="CK488" s="4"/>
      <c r="CL488" s="4"/>
      <c r="CM488" s="4"/>
      <c r="CN488" s="4"/>
      <c r="CO488" s="4"/>
      <c r="CP488" s="4"/>
      <c r="CQ488" s="4"/>
      <c r="CR488" s="4"/>
      <c r="CS488" s="4"/>
      <c r="CT488" s="4"/>
      <c r="CU488" s="4"/>
      <c r="CV488" s="4"/>
      <c r="CW488" s="4"/>
      <c r="CX488" s="4"/>
      <c r="CY488" s="4"/>
      <c r="CZ488" s="4"/>
      <c r="DA488" s="4"/>
      <c r="DB488" s="4"/>
      <c r="DC488" s="4"/>
      <c r="DD488" s="4"/>
      <c r="DE488" s="4"/>
      <c r="DF488" s="4"/>
      <c r="DG488" s="4"/>
      <c r="DH488" s="4"/>
      <c r="DI488" s="4"/>
      <c r="DJ488" s="4"/>
      <c r="DK488" s="4"/>
      <c r="DL488" s="4"/>
      <c r="DM488" s="4"/>
      <c r="DN488" s="4"/>
      <c r="DO488" s="4"/>
      <c r="DP488" s="4"/>
      <c r="DQ488" s="4"/>
      <c r="DR488" s="4"/>
      <c r="DS488" s="4"/>
      <c r="DT488" s="4"/>
      <c r="DU488" s="4"/>
      <c r="DV488" s="4"/>
    </row>
    <row r="489">
      <c r="A489" s="2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  <c r="CI489" s="4"/>
      <c r="CJ489" s="4"/>
      <c r="CK489" s="4"/>
      <c r="CL489" s="4"/>
      <c r="CM489" s="4"/>
      <c r="CN489" s="4"/>
      <c r="CO489" s="4"/>
      <c r="CP489" s="4"/>
      <c r="CQ489" s="4"/>
      <c r="CR489" s="4"/>
      <c r="CS489" s="4"/>
      <c r="CT489" s="4"/>
      <c r="CU489" s="4"/>
      <c r="CV489" s="4"/>
      <c r="CW489" s="4"/>
      <c r="CX489" s="4"/>
      <c r="CY489" s="4"/>
      <c r="CZ489" s="4"/>
      <c r="DA489" s="4"/>
      <c r="DB489" s="4"/>
      <c r="DC489" s="4"/>
      <c r="DD489" s="4"/>
      <c r="DE489" s="4"/>
      <c r="DF489" s="4"/>
      <c r="DG489" s="4"/>
      <c r="DH489" s="4"/>
      <c r="DI489" s="4"/>
      <c r="DJ489" s="4"/>
      <c r="DK489" s="4"/>
      <c r="DL489" s="4"/>
      <c r="DM489" s="4"/>
      <c r="DN489" s="4"/>
      <c r="DO489" s="4"/>
      <c r="DP489" s="4"/>
      <c r="DQ489" s="4"/>
      <c r="DR489" s="4"/>
      <c r="DS489" s="4"/>
      <c r="DT489" s="4"/>
      <c r="DU489" s="4"/>
      <c r="DV489" s="4"/>
    </row>
    <row r="490">
      <c r="A490" s="2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  <c r="CI490" s="4"/>
      <c r="CJ490" s="4"/>
      <c r="CK490" s="4"/>
      <c r="CL490" s="4"/>
      <c r="CM490" s="4"/>
      <c r="CN490" s="4"/>
      <c r="CO490" s="4"/>
      <c r="CP490" s="4"/>
      <c r="CQ490" s="4"/>
      <c r="CR490" s="4"/>
      <c r="CS490" s="4"/>
      <c r="CT490" s="4"/>
      <c r="CU490" s="4"/>
      <c r="CV490" s="4"/>
      <c r="CW490" s="4"/>
      <c r="CX490" s="4"/>
      <c r="CY490" s="4"/>
      <c r="CZ490" s="4"/>
      <c r="DA490" s="4"/>
      <c r="DB490" s="4"/>
      <c r="DC490" s="4"/>
      <c r="DD490" s="4"/>
      <c r="DE490" s="4"/>
      <c r="DF490" s="4"/>
      <c r="DG490" s="4"/>
      <c r="DH490" s="4"/>
      <c r="DI490" s="4"/>
      <c r="DJ490" s="4"/>
      <c r="DK490" s="4"/>
      <c r="DL490" s="4"/>
      <c r="DM490" s="4"/>
      <c r="DN490" s="4"/>
      <c r="DO490" s="4"/>
      <c r="DP490" s="4"/>
      <c r="DQ490" s="4"/>
      <c r="DR490" s="4"/>
      <c r="DS490" s="4"/>
      <c r="DT490" s="4"/>
      <c r="DU490" s="4"/>
      <c r="DV490" s="4"/>
    </row>
    <row r="491">
      <c r="A491" s="2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  <c r="CI491" s="4"/>
      <c r="CJ491" s="4"/>
      <c r="CK491" s="4"/>
      <c r="CL491" s="4"/>
      <c r="CM491" s="4"/>
      <c r="CN491" s="4"/>
      <c r="CO491" s="4"/>
      <c r="CP491" s="4"/>
      <c r="CQ491" s="4"/>
      <c r="CR491" s="4"/>
      <c r="CS491" s="4"/>
      <c r="CT491" s="4"/>
      <c r="CU491" s="4"/>
      <c r="CV491" s="4"/>
      <c r="CW491" s="4"/>
      <c r="CX491" s="4"/>
      <c r="CY491" s="4"/>
      <c r="CZ491" s="4"/>
      <c r="DA491" s="4"/>
      <c r="DB491" s="4"/>
      <c r="DC491" s="4"/>
      <c r="DD491" s="4"/>
      <c r="DE491" s="4"/>
      <c r="DF491" s="4"/>
      <c r="DG491" s="4"/>
      <c r="DH491" s="4"/>
      <c r="DI491" s="4"/>
      <c r="DJ491" s="4"/>
      <c r="DK491" s="4"/>
      <c r="DL491" s="4"/>
      <c r="DM491" s="4"/>
      <c r="DN491" s="4"/>
      <c r="DO491" s="4"/>
      <c r="DP491" s="4"/>
      <c r="DQ491" s="4"/>
      <c r="DR491" s="4"/>
      <c r="DS491" s="4"/>
      <c r="DT491" s="4"/>
      <c r="DU491" s="4"/>
      <c r="DV491" s="4"/>
    </row>
    <row r="492">
      <c r="A492" s="2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  <c r="CI492" s="4"/>
      <c r="CJ492" s="4"/>
      <c r="CK492" s="4"/>
      <c r="CL492" s="4"/>
      <c r="CM492" s="4"/>
      <c r="CN492" s="4"/>
      <c r="CO492" s="4"/>
      <c r="CP492" s="4"/>
      <c r="CQ492" s="4"/>
      <c r="CR492" s="4"/>
      <c r="CS492" s="4"/>
      <c r="CT492" s="4"/>
      <c r="CU492" s="4"/>
      <c r="CV492" s="4"/>
      <c r="CW492" s="4"/>
      <c r="CX492" s="4"/>
      <c r="CY492" s="4"/>
      <c r="CZ492" s="4"/>
      <c r="DA492" s="4"/>
      <c r="DB492" s="4"/>
      <c r="DC492" s="4"/>
      <c r="DD492" s="4"/>
      <c r="DE492" s="4"/>
      <c r="DF492" s="4"/>
      <c r="DG492" s="4"/>
      <c r="DH492" s="4"/>
      <c r="DI492" s="4"/>
      <c r="DJ492" s="4"/>
      <c r="DK492" s="4"/>
      <c r="DL492" s="4"/>
      <c r="DM492" s="4"/>
      <c r="DN492" s="4"/>
      <c r="DO492" s="4"/>
      <c r="DP492" s="4"/>
      <c r="DQ492" s="4"/>
      <c r="DR492" s="4"/>
      <c r="DS492" s="4"/>
      <c r="DT492" s="4"/>
      <c r="DU492" s="4"/>
      <c r="DV492" s="4"/>
    </row>
    <row r="493">
      <c r="A493" s="2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  <c r="CI493" s="4"/>
      <c r="CJ493" s="4"/>
      <c r="CK493" s="4"/>
      <c r="CL493" s="4"/>
      <c r="CM493" s="4"/>
      <c r="CN493" s="4"/>
      <c r="CO493" s="4"/>
      <c r="CP493" s="4"/>
      <c r="CQ493" s="4"/>
      <c r="CR493" s="4"/>
      <c r="CS493" s="4"/>
      <c r="CT493" s="4"/>
      <c r="CU493" s="4"/>
      <c r="CV493" s="4"/>
      <c r="CW493" s="4"/>
      <c r="CX493" s="4"/>
      <c r="CY493" s="4"/>
      <c r="CZ493" s="4"/>
      <c r="DA493" s="4"/>
      <c r="DB493" s="4"/>
      <c r="DC493" s="4"/>
      <c r="DD493" s="4"/>
      <c r="DE493" s="4"/>
      <c r="DF493" s="4"/>
      <c r="DG493" s="4"/>
      <c r="DH493" s="4"/>
      <c r="DI493" s="4"/>
      <c r="DJ493" s="4"/>
      <c r="DK493" s="4"/>
      <c r="DL493" s="4"/>
      <c r="DM493" s="4"/>
      <c r="DN493" s="4"/>
      <c r="DO493" s="4"/>
      <c r="DP493" s="4"/>
      <c r="DQ493" s="4"/>
      <c r="DR493" s="4"/>
      <c r="DS493" s="4"/>
      <c r="DT493" s="4"/>
      <c r="DU493" s="4"/>
      <c r="DV493" s="4"/>
    </row>
    <row r="494">
      <c r="A494" s="2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  <c r="CI494" s="4"/>
      <c r="CJ494" s="4"/>
      <c r="CK494" s="4"/>
      <c r="CL494" s="4"/>
      <c r="CM494" s="4"/>
      <c r="CN494" s="4"/>
      <c r="CO494" s="4"/>
      <c r="CP494" s="4"/>
      <c r="CQ494" s="4"/>
      <c r="CR494" s="4"/>
      <c r="CS494" s="4"/>
      <c r="CT494" s="4"/>
      <c r="CU494" s="4"/>
      <c r="CV494" s="4"/>
      <c r="CW494" s="4"/>
      <c r="CX494" s="4"/>
      <c r="CY494" s="4"/>
      <c r="CZ494" s="4"/>
      <c r="DA494" s="4"/>
      <c r="DB494" s="4"/>
      <c r="DC494" s="4"/>
      <c r="DD494" s="4"/>
      <c r="DE494" s="4"/>
      <c r="DF494" s="4"/>
      <c r="DG494" s="4"/>
      <c r="DH494" s="4"/>
      <c r="DI494" s="4"/>
      <c r="DJ494" s="4"/>
      <c r="DK494" s="4"/>
      <c r="DL494" s="4"/>
      <c r="DM494" s="4"/>
      <c r="DN494" s="4"/>
      <c r="DO494" s="4"/>
      <c r="DP494" s="4"/>
      <c r="DQ494" s="4"/>
      <c r="DR494" s="4"/>
      <c r="DS494" s="4"/>
      <c r="DT494" s="4"/>
      <c r="DU494" s="4"/>
      <c r="DV494" s="4"/>
    </row>
    <row r="495">
      <c r="A495" s="2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  <c r="CI495" s="4"/>
      <c r="CJ495" s="4"/>
      <c r="CK495" s="4"/>
      <c r="CL495" s="4"/>
      <c r="CM495" s="4"/>
      <c r="CN495" s="4"/>
      <c r="CO495" s="4"/>
      <c r="CP495" s="4"/>
      <c r="CQ495" s="4"/>
      <c r="CR495" s="4"/>
      <c r="CS495" s="4"/>
      <c r="CT495" s="4"/>
      <c r="CU495" s="4"/>
      <c r="CV495" s="4"/>
      <c r="CW495" s="4"/>
      <c r="CX495" s="4"/>
      <c r="CY495" s="4"/>
      <c r="CZ495" s="4"/>
      <c r="DA495" s="4"/>
      <c r="DB495" s="4"/>
      <c r="DC495" s="4"/>
      <c r="DD495" s="4"/>
      <c r="DE495" s="4"/>
      <c r="DF495" s="4"/>
      <c r="DG495" s="4"/>
      <c r="DH495" s="4"/>
      <c r="DI495" s="4"/>
      <c r="DJ495" s="4"/>
      <c r="DK495" s="4"/>
      <c r="DL495" s="4"/>
      <c r="DM495" s="4"/>
      <c r="DN495" s="4"/>
      <c r="DO495" s="4"/>
      <c r="DP495" s="4"/>
      <c r="DQ495" s="4"/>
      <c r="DR495" s="4"/>
      <c r="DS495" s="4"/>
      <c r="DT495" s="4"/>
      <c r="DU495" s="4"/>
      <c r="DV495" s="4"/>
    </row>
    <row r="496">
      <c r="A496" s="2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  <c r="CI496" s="4"/>
      <c r="CJ496" s="4"/>
      <c r="CK496" s="4"/>
      <c r="CL496" s="4"/>
      <c r="CM496" s="4"/>
      <c r="CN496" s="4"/>
      <c r="CO496" s="4"/>
      <c r="CP496" s="4"/>
      <c r="CQ496" s="4"/>
      <c r="CR496" s="4"/>
      <c r="CS496" s="4"/>
      <c r="CT496" s="4"/>
      <c r="CU496" s="4"/>
      <c r="CV496" s="4"/>
      <c r="CW496" s="4"/>
      <c r="CX496" s="4"/>
      <c r="CY496" s="4"/>
      <c r="CZ496" s="4"/>
      <c r="DA496" s="4"/>
      <c r="DB496" s="4"/>
      <c r="DC496" s="4"/>
      <c r="DD496" s="4"/>
      <c r="DE496" s="4"/>
      <c r="DF496" s="4"/>
      <c r="DG496" s="4"/>
      <c r="DH496" s="4"/>
      <c r="DI496" s="4"/>
      <c r="DJ496" s="4"/>
      <c r="DK496" s="4"/>
      <c r="DL496" s="4"/>
      <c r="DM496" s="4"/>
      <c r="DN496" s="4"/>
      <c r="DO496" s="4"/>
      <c r="DP496" s="4"/>
      <c r="DQ496" s="4"/>
      <c r="DR496" s="4"/>
      <c r="DS496" s="4"/>
      <c r="DT496" s="4"/>
      <c r="DU496" s="4"/>
      <c r="DV496" s="4"/>
    </row>
    <row r="497">
      <c r="A497" s="2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  <c r="CI497" s="4"/>
      <c r="CJ497" s="4"/>
      <c r="CK497" s="4"/>
      <c r="CL497" s="4"/>
      <c r="CM497" s="4"/>
      <c r="CN497" s="4"/>
      <c r="CO497" s="4"/>
      <c r="CP497" s="4"/>
      <c r="CQ497" s="4"/>
      <c r="CR497" s="4"/>
      <c r="CS497" s="4"/>
      <c r="CT497" s="4"/>
      <c r="CU497" s="4"/>
      <c r="CV497" s="4"/>
      <c r="CW497" s="4"/>
      <c r="CX497" s="4"/>
      <c r="CY497" s="4"/>
      <c r="CZ497" s="4"/>
      <c r="DA497" s="4"/>
      <c r="DB497" s="4"/>
      <c r="DC497" s="4"/>
      <c r="DD497" s="4"/>
      <c r="DE497" s="4"/>
      <c r="DF497" s="4"/>
      <c r="DG497" s="4"/>
      <c r="DH497" s="4"/>
      <c r="DI497" s="4"/>
      <c r="DJ497" s="4"/>
      <c r="DK497" s="4"/>
      <c r="DL497" s="4"/>
      <c r="DM497" s="4"/>
      <c r="DN497" s="4"/>
      <c r="DO497" s="4"/>
      <c r="DP497" s="4"/>
      <c r="DQ497" s="4"/>
      <c r="DR497" s="4"/>
      <c r="DS497" s="4"/>
      <c r="DT497" s="4"/>
      <c r="DU497" s="4"/>
      <c r="DV497" s="4"/>
    </row>
    <row r="498">
      <c r="A498" s="2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  <c r="CI498" s="4"/>
      <c r="CJ498" s="4"/>
      <c r="CK498" s="4"/>
      <c r="CL498" s="4"/>
      <c r="CM498" s="4"/>
      <c r="CN498" s="4"/>
      <c r="CO498" s="4"/>
      <c r="CP498" s="4"/>
      <c r="CQ498" s="4"/>
      <c r="CR498" s="4"/>
      <c r="CS498" s="4"/>
      <c r="CT498" s="4"/>
      <c r="CU498" s="4"/>
      <c r="CV498" s="4"/>
      <c r="CW498" s="4"/>
      <c r="CX498" s="4"/>
      <c r="CY498" s="4"/>
      <c r="CZ498" s="4"/>
      <c r="DA498" s="4"/>
      <c r="DB498" s="4"/>
      <c r="DC498" s="4"/>
      <c r="DD498" s="4"/>
      <c r="DE498" s="4"/>
      <c r="DF498" s="4"/>
      <c r="DG498" s="4"/>
      <c r="DH498" s="4"/>
      <c r="DI498" s="4"/>
      <c r="DJ498" s="4"/>
      <c r="DK498" s="4"/>
      <c r="DL498" s="4"/>
      <c r="DM498" s="4"/>
      <c r="DN498" s="4"/>
      <c r="DO498" s="4"/>
      <c r="DP498" s="4"/>
      <c r="DQ498" s="4"/>
      <c r="DR498" s="4"/>
      <c r="DS498" s="4"/>
      <c r="DT498" s="4"/>
      <c r="DU498" s="4"/>
      <c r="DV498" s="4"/>
    </row>
    <row r="499">
      <c r="A499" s="2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  <c r="CI499" s="4"/>
      <c r="CJ499" s="4"/>
      <c r="CK499" s="4"/>
      <c r="CL499" s="4"/>
      <c r="CM499" s="4"/>
      <c r="CN499" s="4"/>
      <c r="CO499" s="4"/>
      <c r="CP499" s="4"/>
      <c r="CQ499" s="4"/>
      <c r="CR499" s="4"/>
      <c r="CS499" s="4"/>
      <c r="CT499" s="4"/>
      <c r="CU499" s="4"/>
      <c r="CV499" s="4"/>
      <c r="CW499" s="4"/>
      <c r="CX499" s="4"/>
      <c r="CY499" s="4"/>
      <c r="CZ499" s="4"/>
      <c r="DA499" s="4"/>
      <c r="DB499" s="4"/>
      <c r="DC499" s="4"/>
      <c r="DD499" s="4"/>
      <c r="DE499" s="4"/>
      <c r="DF499" s="4"/>
      <c r="DG499" s="4"/>
      <c r="DH499" s="4"/>
      <c r="DI499" s="4"/>
      <c r="DJ499" s="4"/>
      <c r="DK499" s="4"/>
      <c r="DL499" s="4"/>
      <c r="DM499" s="4"/>
      <c r="DN499" s="4"/>
      <c r="DO499" s="4"/>
      <c r="DP499" s="4"/>
      <c r="DQ499" s="4"/>
      <c r="DR499" s="4"/>
      <c r="DS499" s="4"/>
      <c r="DT499" s="4"/>
      <c r="DU499" s="4"/>
      <c r="DV499" s="4"/>
    </row>
    <row r="500">
      <c r="A500" s="2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  <c r="CI500" s="4"/>
      <c r="CJ500" s="4"/>
      <c r="CK500" s="4"/>
      <c r="CL500" s="4"/>
      <c r="CM500" s="4"/>
      <c r="CN500" s="4"/>
      <c r="CO500" s="4"/>
      <c r="CP500" s="4"/>
      <c r="CQ500" s="4"/>
      <c r="CR500" s="4"/>
      <c r="CS500" s="4"/>
      <c r="CT500" s="4"/>
      <c r="CU500" s="4"/>
      <c r="CV500" s="4"/>
      <c r="CW500" s="4"/>
      <c r="CX500" s="4"/>
      <c r="CY500" s="4"/>
      <c r="CZ500" s="4"/>
      <c r="DA500" s="4"/>
      <c r="DB500" s="4"/>
      <c r="DC500" s="4"/>
      <c r="DD500" s="4"/>
      <c r="DE500" s="4"/>
      <c r="DF500" s="4"/>
      <c r="DG500" s="4"/>
      <c r="DH500" s="4"/>
      <c r="DI500" s="4"/>
      <c r="DJ500" s="4"/>
      <c r="DK500" s="4"/>
      <c r="DL500" s="4"/>
      <c r="DM500" s="4"/>
      <c r="DN500" s="4"/>
      <c r="DO500" s="4"/>
      <c r="DP500" s="4"/>
      <c r="DQ500" s="4"/>
      <c r="DR500" s="4"/>
      <c r="DS500" s="4"/>
      <c r="DT500" s="4"/>
      <c r="DU500" s="4"/>
      <c r="DV500" s="4"/>
    </row>
    <row r="501">
      <c r="A501" s="2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  <c r="CI501" s="4"/>
      <c r="CJ501" s="4"/>
      <c r="CK501" s="4"/>
      <c r="CL501" s="4"/>
      <c r="CM501" s="4"/>
      <c r="CN501" s="4"/>
      <c r="CO501" s="4"/>
      <c r="CP501" s="4"/>
      <c r="CQ501" s="4"/>
      <c r="CR501" s="4"/>
      <c r="CS501" s="4"/>
      <c r="CT501" s="4"/>
      <c r="CU501" s="4"/>
      <c r="CV501" s="4"/>
      <c r="CW501" s="4"/>
      <c r="CX501" s="4"/>
      <c r="CY501" s="4"/>
      <c r="CZ501" s="4"/>
      <c r="DA501" s="4"/>
      <c r="DB501" s="4"/>
      <c r="DC501" s="4"/>
      <c r="DD501" s="4"/>
      <c r="DE501" s="4"/>
      <c r="DF501" s="4"/>
      <c r="DG501" s="4"/>
      <c r="DH501" s="4"/>
      <c r="DI501" s="4"/>
      <c r="DJ501" s="4"/>
      <c r="DK501" s="4"/>
      <c r="DL501" s="4"/>
      <c r="DM501" s="4"/>
      <c r="DN501" s="4"/>
      <c r="DO501" s="4"/>
      <c r="DP501" s="4"/>
      <c r="DQ501" s="4"/>
      <c r="DR501" s="4"/>
      <c r="DS501" s="4"/>
      <c r="DT501" s="4"/>
      <c r="DU501" s="4"/>
      <c r="DV501" s="4"/>
    </row>
    <row r="502">
      <c r="A502" s="2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  <c r="CI502" s="4"/>
      <c r="CJ502" s="4"/>
      <c r="CK502" s="4"/>
      <c r="CL502" s="4"/>
      <c r="CM502" s="4"/>
      <c r="CN502" s="4"/>
      <c r="CO502" s="4"/>
      <c r="CP502" s="4"/>
      <c r="CQ502" s="4"/>
      <c r="CR502" s="4"/>
      <c r="CS502" s="4"/>
      <c r="CT502" s="4"/>
      <c r="CU502" s="4"/>
      <c r="CV502" s="4"/>
      <c r="CW502" s="4"/>
      <c r="CX502" s="4"/>
      <c r="CY502" s="4"/>
      <c r="CZ502" s="4"/>
      <c r="DA502" s="4"/>
      <c r="DB502" s="4"/>
      <c r="DC502" s="4"/>
      <c r="DD502" s="4"/>
      <c r="DE502" s="4"/>
      <c r="DF502" s="4"/>
      <c r="DG502" s="4"/>
      <c r="DH502" s="4"/>
      <c r="DI502" s="4"/>
      <c r="DJ502" s="4"/>
      <c r="DK502" s="4"/>
      <c r="DL502" s="4"/>
      <c r="DM502" s="4"/>
      <c r="DN502" s="4"/>
      <c r="DO502" s="4"/>
      <c r="DP502" s="4"/>
      <c r="DQ502" s="4"/>
      <c r="DR502" s="4"/>
      <c r="DS502" s="4"/>
      <c r="DT502" s="4"/>
      <c r="DU502" s="4"/>
      <c r="DV502" s="4"/>
    </row>
    <row r="503">
      <c r="A503" s="2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  <c r="CI503" s="4"/>
      <c r="CJ503" s="4"/>
      <c r="CK503" s="4"/>
      <c r="CL503" s="4"/>
      <c r="CM503" s="4"/>
      <c r="CN503" s="4"/>
      <c r="CO503" s="4"/>
      <c r="CP503" s="4"/>
      <c r="CQ503" s="4"/>
      <c r="CR503" s="4"/>
      <c r="CS503" s="4"/>
      <c r="CT503" s="4"/>
      <c r="CU503" s="4"/>
      <c r="CV503" s="4"/>
      <c r="CW503" s="4"/>
      <c r="CX503" s="4"/>
      <c r="CY503" s="4"/>
      <c r="CZ503" s="4"/>
      <c r="DA503" s="4"/>
      <c r="DB503" s="4"/>
      <c r="DC503" s="4"/>
      <c r="DD503" s="4"/>
      <c r="DE503" s="4"/>
      <c r="DF503" s="4"/>
      <c r="DG503" s="4"/>
      <c r="DH503" s="4"/>
      <c r="DI503" s="4"/>
      <c r="DJ503" s="4"/>
      <c r="DK503" s="4"/>
      <c r="DL503" s="4"/>
      <c r="DM503" s="4"/>
      <c r="DN503" s="4"/>
      <c r="DO503" s="4"/>
      <c r="DP503" s="4"/>
      <c r="DQ503" s="4"/>
      <c r="DR503" s="4"/>
      <c r="DS503" s="4"/>
      <c r="DT503" s="4"/>
      <c r="DU503" s="4"/>
      <c r="DV503" s="4"/>
    </row>
    <row r="504">
      <c r="A504" s="2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  <c r="CI504" s="4"/>
      <c r="CJ504" s="4"/>
      <c r="CK504" s="4"/>
      <c r="CL504" s="4"/>
      <c r="CM504" s="4"/>
      <c r="CN504" s="4"/>
      <c r="CO504" s="4"/>
      <c r="CP504" s="4"/>
      <c r="CQ504" s="4"/>
      <c r="CR504" s="4"/>
      <c r="CS504" s="4"/>
      <c r="CT504" s="4"/>
      <c r="CU504" s="4"/>
      <c r="CV504" s="4"/>
      <c r="CW504" s="4"/>
      <c r="CX504" s="4"/>
      <c r="CY504" s="4"/>
      <c r="CZ504" s="4"/>
      <c r="DA504" s="4"/>
      <c r="DB504" s="4"/>
      <c r="DC504" s="4"/>
      <c r="DD504" s="4"/>
      <c r="DE504" s="4"/>
      <c r="DF504" s="4"/>
      <c r="DG504" s="4"/>
      <c r="DH504" s="4"/>
      <c r="DI504" s="4"/>
      <c r="DJ504" s="4"/>
      <c r="DK504" s="4"/>
      <c r="DL504" s="4"/>
      <c r="DM504" s="4"/>
      <c r="DN504" s="4"/>
      <c r="DO504" s="4"/>
      <c r="DP504" s="4"/>
      <c r="DQ504" s="4"/>
      <c r="DR504" s="4"/>
      <c r="DS504" s="4"/>
      <c r="DT504" s="4"/>
      <c r="DU504" s="4"/>
      <c r="DV504" s="4"/>
    </row>
    <row r="505">
      <c r="A505" s="2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  <c r="CI505" s="4"/>
      <c r="CJ505" s="4"/>
      <c r="CK505" s="4"/>
      <c r="CL505" s="4"/>
      <c r="CM505" s="4"/>
      <c r="CN505" s="4"/>
      <c r="CO505" s="4"/>
      <c r="CP505" s="4"/>
      <c r="CQ505" s="4"/>
      <c r="CR505" s="4"/>
      <c r="CS505" s="4"/>
      <c r="CT505" s="4"/>
      <c r="CU505" s="4"/>
      <c r="CV505" s="4"/>
      <c r="CW505" s="4"/>
      <c r="CX505" s="4"/>
      <c r="CY505" s="4"/>
      <c r="CZ505" s="4"/>
      <c r="DA505" s="4"/>
      <c r="DB505" s="4"/>
      <c r="DC505" s="4"/>
      <c r="DD505" s="4"/>
      <c r="DE505" s="4"/>
      <c r="DF505" s="4"/>
      <c r="DG505" s="4"/>
      <c r="DH505" s="4"/>
      <c r="DI505" s="4"/>
      <c r="DJ505" s="4"/>
      <c r="DK505" s="4"/>
      <c r="DL505" s="4"/>
      <c r="DM505" s="4"/>
      <c r="DN505" s="4"/>
      <c r="DO505" s="4"/>
      <c r="DP505" s="4"/>
      <c r="DQ505" s="4"/>
      <c r="DR505" s="4"/>
      <c r="DS505" s="4"/>
      <c r="DT505" s="4"/>
      <c r="DU505" s="4"/>
      <c r="DV505" s="4"/>
    </row>
    <row r="506">
      <c r="A506" s="2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  <c r="CI506" s="4"/>
      <c r="CJ506" s="4"/>
      <c r="CK506" s="4"/>
      <c r="CL506" s="4"/>
      <c r="CM506" s="4"/>
      <c r="CN506" s="4"/>
      <c r="CO506" s="4"/>
      <c r="CP506" s="4"/>
      <c r="CQ506" s="4"/>
      <c r="CR506" s="4"/>
      <c r="CS506" s="4"/>
      <c r="CT506" s="4"/>
      <c r="CU506" s="4"/>
      <c r="CV506" s="4"/>
      <c r="CW506" s="4"/>
      <c r="CX506" s="4"/>
      <c r="CY506" s="4"/>
      <c r="CZ506" s="4"/>
      <c r="DA506" s="4"/>
      <c r="DB506" s="4"/>
      <c r="DC506" s="4"/>
      <c r="DD506" s="4"/>
      <c r="DE506" s="4"/>
      <c r="DF506" s="4"/>
      <c r="DG506" s="4"/>
      <c r="DH506" s="4"/>
      <c r="DI506" s="4"/>
      <c r="DJ506" s="4"/>
      <c r="DK506" s="4"/>
      <c r="DL506" s="4"/>
      <c r="DM506" s="4"/>
      <c r="DN506" s="4"/>
      <c r="DO506" s="4"/>
      <c r="DP506" s="4"/>
      <c r="DQ506" s="4"/>
      <c r="DR506" s="4"/>
      <c r="DS506" s="4"/>
      <c r="DT506" s="4"/>
      <c r="DU506" s="4"/>
      <c r="DV506" s="4"/>
    </row>
    <row r="507">
      <c r="A507" s="2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  <c r="CI507" s="4"/>
      <c r="CJ507" s="4"/>
      <c r="CK507" s="4"/>
      <c r="CL507" s="4"/>
      <c r="CM507" s="4"/>
      <c r="CN507" s="4"/>
      <c r="CO507" s="4"/>
      <c r="CP507" s="4"/>
      <c r="CQ507" s="4"/>
      <c r="CR507" s="4"/>
      <c r="CS507" s="4"/>
      <c r="CT507" s="4"/>
      <c r="CU507" s="4"/>
      <c r="CV507" s="4"/>
      <c r="CW507" s="4"/>
      <c r="CX507" s="4"/>
      <c r="CY507" s="4"/>
      <c r="CZ507" s="4"/>
      <c r="DA507" s="4"/>
      <c r="DB507" s="4"/>
      <c r="DC507" s="4"/>
      <c r="DD507" s="4"/>
      <c r="DE507" s="4"/>
      <c r="DF507" s="4"/>
      <c r="DG507" s="4"/>
      <c r="DH507" s="4"/>
      <c r="DI507" s="4"/>
      <c r="DJ507" s="4"/>
      <c r="DK507" s="4"/>
      <c r="DL507" s="4"/>
      <c r="DM507" s="4"/>
      <c r="DN507" s="4"/>
      <c r="DO507" s="4"/>
      <c r="DP507" s="4"/>
      <c r="DQ507" s="4"/>
      <c r="DR507" s="4"/>
      <c r="DS507" s="4"/>
      <c r="DT507" s="4"/>
      <c r="DU507" s="4"/>
      <c r="DV507" s="4"/>
    </row>
    <row r="508">
      <c r="A508" s="2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  <c r="CI508" s="4"/>
      <c r="CJ508" s="4"/>
      <c r="CK508" s="4"/>
      <c r="CL508" s="4"/>
      <c r="CM508" s="4"/>
      <c r="CN508" s="4"/>
      <c r="CO508" s="4"/>
      <c r="CP508" s="4"/>
      <c r="CQ508" s="4"/>
      <c r="CR508" s="4"/>
      <c r="CS508" s="4"/>
      <c r="CT508" s="4"/>
      <c r="CU508" s="4"/>
      <c r="CV508" s="4"/>
      <c r="CW508" s="4"/>
      <c r="CX508" s="4"/>
      <c r="CY508" s="4"/>
      <c r="CZ508" s="4"/>
      <c r="DA508" s="4"/>
      <c r="DB508" s="4"/>
      <c r="DC508" s="4"/>
      <c r="DD508" s="4"/>
      <c r="DE508" s="4"/>
      <c r="DF508" s="4"/>
      <c r="DG508" s="4"/>
      <c r="DH508" s="4"/>
      <c r="DI508" s="4"/>
      <c r="DJ508" s="4"/>
      <c r="DK508" s="4"/>
      <c r="DL508" s="4"/>
      <c r="DM508" s="4"/>
      <c r="DN508" s="4"/>
      <c r="DO508" s="4"/>
      <c r="DP508" s="4"/>
      <c r="DQ508" s="4"/>
      <c r="DR508" s="4"/>
      <c r="DS508" s="4"/>
      <c r="DT508" s="4"/>
      <c r="DU508" s="4"/>
      <c r="DV508" s="4"/>
    </row>
    <row r="509">
      <c r="A509" s="2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  <c r="CI509" s="4"/>
      <c r="CJ509" s="4"/>
      <c r="CK509" s="4"/>
      <c r="CL509" s="4"/>
      <c r="CM509" s="4"/>
      <c r="CN509" s="4"/>
      <c r="CO509" s="4"/>
      <c r="CP509" s="4"/>
      <c r="CQ509" s="4"/>
      <c r="CR509" s="4"/>
      <c r="CS509" s="4"/>
      <c r="CT509" s="4"/>
      <c r="CU509" s="4"/>
      <c r="CV509" s="4"/>
      <c r="CW509" s="4"/>
      <c r="CX509" s="4"/>
      <c r="CY509" s="4"/>
      <c r="CZ509" s="4"/>
      <c r="DA509" s="4"/>
      <c r="DB509" s="4"/>
      <c r="DC509" s="4"/>
      <c r="DD509" s="4"/>
      <c r="DE509" s="4"/>
      <c r="DF509" s="4"/>
      <c r="DG509" s="4"/>
      <c r="DH509" s="4"/>
      <c r="DI509" s="4"/>
      <c r="DJ509" s="4"/>
      <c r="DK509" s="4"/>
      <c r="DL509" s="4"/>
      <c r="DM509" s="4"/>
      <c r="DN509" s="4"/>
      <c r="DO509" s="4"/>
      <c r="DP509" s="4"/>
      <c r="DQ509" s="4"/>
      <c r="DR509" s="4"/>
      <c r="DS509" s="4"/>
      <c r="DT509" s="4"/>
      <c r="DU509" s="4"/>
      <c r="DV509" s="4"/>
    </row>
    <row r="510">
      <c r="A510" s="2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  <c r="CI510" s="4"/>
      <c r="CJ510" s="4"/>
      <c r="CK510" s="4"/>
      <c r="CL510" s="4"/>
      <c r="CM510" s="4"/>
      <c r="CN510" s="4"/>
      <c r="CO510" s="4"/>
      <c r="CP510" s="4"/>
      <c r="CQ510" s="4"/>
      <c r="CR510" s="4"/>
      <c r="CS510" s="4"/>
      <c r="CT510" s="4"/>
      <c r="CU510" s="4"/>
      <c r="CV510" s="4"/>
      <c r="CW510" s="4"/>
      <c r="CX510" s="4"/>
      <c r="CY510" s="4"/>
      <c r="CZ510" s="4"/>
      <c r="DA510" s="4"/>
      <c r="DB510" s="4"/>
      <c r="DC510" s="4"/>
      <c r="DD510" s="4"/>
      <c r="DE510" s="4"/>
      <c r="DF510" s="4"/>
      <c r="DG510" s="4"/>
      <c r="DH510" s="4"/>
      <c r="DI510" s="4"/>
      <c r="DJ510" s="4"/>
      <c r="DK510" s="4"/>
      <c r="DL510" s="4"/>
      <c r="DM510" s="4"/>
      <c r="DN510" s="4"/>
      <c r="DO510" s="4"/>
      <c r="DP510" s="4"/>
      <c r="DQ510" s="4"/>
      <c r="DR510" s="4"/>
      <c r="DS510" s="4"/>
      <c r="DT510" s="4"/>
      <c r="DU510" s="4"/>
      <c r="DV510" s="4"/>
    </row>
    <row r="511">
      <c r="A511" s="2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  <c r="CI511" s="4"/>
      <c r="CJ511" s="4"/>
      <c r="CK511" s="4"/>
      <c r="CL511" s="4"/>
      <c r="CM511" s="4"/>
      <c r="CN511" s="4"/>
      <c r="CO511" s="4"/>
      <c r="CP511" s="4"/>
      <c r="CQ511" s="4"/>
      <c r="CR511" s="4"/>
      <c r="CS511" s="4"/>
      <c r="CT511" s="4"/>
      <c r="CU511" s="4"/>
      <c r="CV511" s="4"/>
      <c r="CW511" s="4"/>
      <c r="CX511" s="4"/>
      <c r="CY511" s="4"/>
      <c r="CZ511" s="4"/>
      <c r="DA511" s="4"/>
      <c r="DB511" s="4"/>
      <c r="DC511" s="4"/>
      <c r="DD511" s="4"/>
      <c r="DE511" s="4"/>
      <c r="DF511" s="4"/>
      <c r="DG511" s="4"/>
      <c r="DH511" s="4"/>
      <c r="DI511" s="4"/>
      <c r="DJ511" s="4"/>
      <c r="DK511" s="4"/>
      <c r="DL511" s="4"/>
      <c r="DM511" s="4"/>
      <c r="DN511" s="4"/>
      <c r="DO511" s="4"/>
      <c r="DP511" s="4"/>
      <c r="DQ511" s="4"/>
      <c r="DR511" s="4"/>
      <c r="DS511" s="4"/>
      <c r="DT511" s="4"/>
      <c r="DU511" s="4"/>
      <c r="DV511" s="4"/>
    </row>
    <row r="512">
      <c r="A512" s="2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  <c r="CI512" s="4"/>
      <c r="CJ512" s="4"/>
      <c r="CK512" s="4"/>
      <c r="CL512" s="4"/>
      <c r="CM512" s="4"/>
      <c r="CN512" s="4"/>
      <c r="CO512" s="4"/>
      <c r="CP512" s="4"/>
      <c r="CQ512" s="4"/>
      <c r="CR512" s="4"/>
      <c r="CS512" s="4"/>
      <c r="CT512" s="4"/>
      <c r="CU512" s="4"/>
      <c r="CV512" s="4"/>
      <c r="CW512" s="4"/>
      <c r="CX512" s="4"/>
      <c r="CY512" s="4"/>
      <c r="CZ512" s="4"/>
      <c r="DA512" s="4"/>
      <c r="DB512" s="4"/>
      <c r="DC512" s="4"/>
      <c r="DD512" s="4"/>
      <c r="DE512" s="4"/>
      <c r="DF512" s="4"/>
      <c r="DG512" s="4"/>
      <c r="DH512" s="4"/>
      <c r="DI512" s="4"/>
      <c r="DJ512" s="4"/>
      <c r="DK512" s="4"/>
      <c r="DL512" s="4"/>
      <c r="DM512" s="4"/>
      <c r="DN512" s="4"/>
      <c r="DO512" s="4"/>
      <c r="DP512" s="4"/>
      <c r="DQ512" s="4"/>
      <c r="DR512" s="4"/>
      <c r="DS512" s="4"/>
      <c r="DT512" s="4"/>
      <c r="DU512" s="4"/>
      <c r="DV512" s="4"/>
    </row>
    <row r="513">
      <c r="A513" s="2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  <c r="CI513" s="4"/>
      <c r="CJ513" s="4"/>
      <c r="CK513" s="4"/>
      <c r="CL513" s="4"/>
      <c r="CM513" s="4"/>
      <c r="CN513" s="4"/>
      <c r="CO513" s="4"/>
      <c r="CP513" s="4"/>
      <c r="CQ513" s="4"/>
      <c r="CR513" s="4"/>
      <c r="CS513" s="4"/>
      <c r="CT513" s="4"/>
      <c r="CU513" s="4"/>
      <c r="CV513" s="4"/>
      <c r="CW513" s="4"/>
      <c r="CX513" s="4"/>
      <c r="CY513" s="4"/>
      <c r="CZ513" s="4"/>
      <c r="DA513" s="4"/>
      <c r="DB513" s="4"/>
      <c r="DC513" s="4"/>
      <c r="DD513" s="4"/>
      <c r="DE513" s="4"/>
      <c r="DF513" s="4"/>
      <c r="DG513" s="4"/>
      <c r="DH513" s="4"/>
      <c r="DI513" s="4"/>
      <c r="DJ513" s="4"/>
      <c r="DK513" s="4"/>
      <c r="DL513" s="4"/>
      <c r="DM513" s="4"/>
      <c r="DN513" s="4"/>
      <c r="DO513" s="4"/>
      <c r="DP513" s="4"/>
      <c r="DQ513" s="4"/>
      <c r="DR513" s="4"/>
      <c r="DS513" s="4"/>
      <c r="DT513" s="4"/>
      <c r="DU513" s="4"/>
      <c r="DV513" s="4"/>
    </row>
    <row r="514">
      <c r="A514" s="2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  <c r="CI514" s="4"/>
      <c r="CJ514" s="4"/>
      <c r="CK514" s="4"/>
      <c r="CL514" s="4"/>
      <c r="CM514" s="4"/>
      <c r="CN514" s="4"/>
      <c r="CO514" s="4"/>
      <c r="CP514" s="4"/>
      <c r="CQ514" s="4"/>
      <c r="CR514" s="4"/>
      <c r="CS514" s="4"/>
      <c r="CT514" s="4"/>
      <c r="CU514" s="4"/>
      <c r="CV514" s="4"/>
      <c r="CW514" s="4"/>
      <c r="CX514" s="4"/>
      <c r="CY514" s="4"/>
      <c r="CZ514" s="4"/>
      <c r="DA514" s="4"/>
      <c r="DB514" s="4"/>
      <c r="DC514" s="4"/>
      <c r="DD514" s="4"/>
      <c r="DE514" s="4"/>
      <c r="DF514" s="4"/>
      <c r="DG514" s="4"/>
      <c r="DH514" s="4"/>
      <c r="DI514" s="4"/>
      <c r="DJ514" s="4"/>
      <c r="DK514" s="4"/>
      <c r="DL514" s="4"/>
      <c r="DM514" s="4"/>
      <c r="DN514" s="4"/>
      <c r="DO514" s="4"/>
      <c r="DP514" s="4"/>
      <c r="DQ514" s="4"/>
      <c r="DR514" s="4"/>
      <c r="DS514" s="4"/>
      <c r="DT514" s="4"/>
      <c r="DU514" s="4"/>
      <c r="DV514" s="4"/>
    </row>
    <row r="515">
      <c r="A515" s="2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  <c r="CI515" s="4"/>
      <c r="CJ515" s="4"/>
      <c r="CK515" s="4"/>
      <c r="CL515" s="4"/>
      <c r="CM515" s="4"/>
      <c r="CN515" s="4"/>
      <c r="CO515" s="4"/>
      <c r="CP515" s="4"/>
      <c r="CQ515" s="4"/>
      <c r="CR515" s="4"/>
      <c r="CS515" s="4"/>
      <c r="CT515" s="4"/>
      <c r="CU515" s="4"/>
      <c r="CV515" s="4"/>
      <c r="CW515" s="4"/>
      <c r="CX515" s="4"/>
      <c r="CY515" s="4"/>
      <c r="CZ515" s="4"/>
      <c r="DA515" s="4"/>
      <c r="DB515" s="4"/>
      <c r="DC515" s="4"/>
      <c r="DD515" s="4"/>
      <c r="DE515" s="4"/>
      <c r="DF515" s="4"/>
      <c r="DG515" s="4"/>
      <c r="DH515" s="4"/>
      <c r="DI515" s="4"/>
      <c r="DJ515" s="4"/>
      <c r="DK515" s="4"/>
      <c r="DL515" s="4"/>
      <c r="DM515" s="4"/>
      <c r="DN515" s="4"/>
      <c r="DO515" s="4"/>
      <c r="DP515" s="4"/>
      <c r="DQ515" s="4"/>
      <c r="DR515" s="4"/>
      <c r="DS515" s="4"/>
      <c r="DT515" s="4"/>
      <c r="DU515" s="4"/>
      <c r="DV515" s="4"/>
    </row>
    <row r="516">
      <c r="A516" s="2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  <c r="CI516" s="4"/>
      <c r="CJ516" s="4"/>
      <c r="CK516" s="4"/>
      <c r="CL516" s="4"/>
      <c r="CM516" s="4"/>
      <c r="CN516" s="4"/>
      <c r="CO516" s="4"/>
      <c r="CP516" s="4"/>
      <c r="CQ516" s="4"/>
      <c r="CR516" s="4"/>
      <c r="CS516" s="4"/>
      <c r="CT516" s="4"/>
      <c r="CU516" s="4"/>
      <c r="CV516" s="4"/>
      <c r="CW516" s="4"/>
      <c r="CX516" s="4"/>
      <c r="CY516" s="4"/>
      <c r="CZ516" s="4"/>
      <c r="DA516" s="4"/>
      <c r="DB516" s="4"/>
      <c r="DC516" s="4"/>
      <c r="DD516" s="4"/>
      <c r="DE516" s="4"/>
      <c r="DF516" s="4"/>
      <c r="DG516" s="4"/>
      <c r="DH516" s="4"/>
      <c r="DI516" s="4"/>
      <c r="DJ516" s="4"/>
      <c r="DK516" s="4"/>
      <c r="DL516" s="4"/>
      <c r="DM516" s="4"/>
      <c r="DN516" s="4"/>
      <c r="DO516" s="4"/>
      <c r="DP516" s="4"/>
      <c r="DQ516" s="4"/>
      <c r="DR516" s="4"/>
      <c r="DS516" s="4"/>
      <c r="DT516" s="4"/>
      <c r="DU516" s="4"/>
      <c r="DV516" s="4"/>
    </row>
    <row r="517">
      <c r="A517" s="2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  <c r="CI517" s="4"/>
      <c r="CJ517" s="4"/>
      <c r="CK517" s="4"/>
      <c r="CL517" s="4"/>
      <c r="CM517" s="4"/>
      <c r="CN517" s="4"/>
      <c r="CO517" s="4"/>
      <c r="CP517" s="4"/>
      <c r="CQ517" s="4"/>
      <c r="CR517" s="4"/>
      <c r="CS517" s="4"/>
      <c r="CT517" s="4"/>
      <c r="CU517" s="4"/>
      <c r="CV517" s="4"/>
      <c r="CW517" s="4"/>
      <c r="CX517" s="4"/>
      <c r="CY517" s="4"/>
      <c r="CZ517" s="4"/>
      <c r="DA517" s="4"/>
      <c r="DB517" s="4"/>
      <c r="DC517" s="4"/>
      <c r="DD517" s="4"/>
      <c r="DE517" s="4"/>
      <c r="DF517" s="4"/>
      <c r="DG517" s="4"/>
      <c r="DH517" s="4"/>
      <c r="DI517" s="4"/>
      <c r="DJ517" s="4"/>
      <c r="DK517" s="4"/>
      <c r="DL517" s="4"/>
      <c r="DM517" s="4"/>
      <c r="DN517" s="4"/>
      <c r="DO517" s="4"/>
      <c r="DP517" s="4"/>
      <c r="DQ517" s="4"/>
      <c r="DR517" s="4"/>
      <c r="DS517" s="4"/>
      <c r="DT517" s="4"/>
      <c r="DU517" s="4"/>
      <c r="DV517" s="4"/>
    </row>
    <row r="518">
      <c r="A518" s="2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  <c r="CI518" s="4"/>
      <c r="CJ518" s="4"/>
      <c r="CK518" s="4"/>
      <c r="CL518" s="4"/>
      <c r="CM518" s="4"/>
      <c r="CN518" s="4"/>
      <c r="CO518" s="4"/>
      <c r="CP518" s="4"/>
      <c r="CQ518" s="4"/>
      <c r="CR518" s="4"/>
      <c r="CS518" s="4"/>
      <c r="CT518" s="4"/>
      <c r="CU518" s="4"/>
      <c r="CV518" s="4"/>
      <c r="CW518" s="4"/>
      <c r="CX518" s="4"/>
      <c r="CY518" s="4"/>
      <c r="CZ518" s="4"/>
      <c r="DA518" s="4"/>
      <c r="DB518" s="4"/>
      <c r="DC518" s="4"/>
      <c r="DD518" s="4"/>
      <c r="DE518" s="4"/>
      <c r="DF518" s="4"/>
      <c r="DG518" s="4"/>
      <c r="DH518" s="4"/>
      <c r="DI518" s="4"/>
      <c r="DJ518" s="4"/>
      <c r="DK518" s="4"/>
      <c r="DL518" s="4"/>
      <c r="DM518" s="4"/>
      <c r="DN518" s="4"/>
      <c r="DO518" s="4"/>
      <c r="DP518" s="4"/>
      <c r="DQ518" s="4"/>
      <c r="DR518" s="4"/>
      <c r="DS518" s="4"/>
      <c r="DT518" s="4"/>
      <c r="DU518" s="4"/>
      <c r="DV518" s="4"/>
    </row>
    <row r="519">
      <c r="A519" s="2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  <c r="CI519" s="4"/>
      <c r="CJ519" s="4"/>
      <c r="CK519" s="4"/>
      <c r="CL519" s="4"/>
      <c r="CM519" s="4"/>
      <c r="CN519" s="4"/>
      <c r="CO519" s="4"/>
      <c r="CP519" s="4"/>
      <c r="CQ519" s="4"/>
      <c r="CR519" s="4"/>
      <c r="CS519" s="4"/>
      <c r="CT519" s="4"/>
      <c r="CU519" s="4"/>
      <c r="CV519" s="4"/>
      <c r="CW519" s="4"/>
      <c r="CX519" s="4"/>
      <c r="CY519" s="4"/>
      <c r="CZ519" s="4"/>
      <c r="DA519" s="4"/>
      <c r="DB519" s="4"/>
      <c r="DC519" s="4"/>
      <c r="DD519" s="4"/>
      <c r="DE519" s="4"/>
      <c r="DF519" s="4"/>
      <c r="DG519" s="4"/>
      <c r="DH519" s="4"/>
      <c r="DI519" s="4"/>
      <c r="DJ519" s="4"/>
      <c r="DK519" s="4"/>
      <c r="DL519" s="4"/>
      <c r="DM519" s="4"/>
      <c r="DN519" s="4"/>
      <c r="DO519" s="4"/>
      <c r="DP519" s="4"/>
      <c r="DQ519" s="4"/>
      <c r="DR519" s="4"/>
      <c r="DS519" s="4"/>
      <c r="DT519" s="4"/>
      <c r="DU519" s="4"/>
      <c r="DV519" s="4"/>
    </row>
    <row r="520">
      <c r="A520" s="2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  <c r="CI520" s="4"/>
      <c r="CJ520" s="4"/>
      <c r="CK520" s="4"/>
      <c r="CL520" s="4"/>
      <c r="CM520" s="4"/>
      <c r="CN520" s="4"/>
      <c r="CO520" s="4"/>
      <c r="CP520" s="4"/>
      <c r="CQ520" s="4"/>
      <c r="CR520" s="4"/>
      <c r="CS520" s="4"/>
      <c r="CT520" s="4"/>
      <c r="CU520" s="4"/>
      <c r="CV520" s="4"/>
      <c r="CW520" s="4"/>
      <c r="CX520" s="4"/>
      <c r="CY520" s="4"/>
      <c r="CZ520" s="4"/>
      <c r="DA520" s="4"/>
      <c r="DB520" s="4"/>
      <c r="DC520" s="4"/>
      <c r="DD520" s="4"/>
      <c r="DE520" s="4"/>
      <c r="DF520" s="4"/>
      <c r="DG520" s="4"/>
      <c r="DH520" s="4"/>
      <c r="DI520" s="4"/>
      <c r="DJ520" s="4"/>
      <c r="DK520" s="4"/>
      <c r="DL520" s="4"/>
      <c r="DM520" s="4"/>
      <c r="DN520" s="4"/>
      <c r="DO520" s="4"/>
      <c r="DP520" s="4"/>
      <c r="DQ520" s="4"/>
      <c r="DR520" s="4"/>
      <c r="DS520" s="4"/>
      <c r="DT520" s="4"/>
      <c r="DU520" s="4"/>
      <c r="DV520" s="4"/>
    </row>
    <row r="521">
      <c r="A521" s="2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  <c r="CI521" s="4"/>
      <c r="CJ521" s="4"/>
      <c r="CK521" s="4"/>
      <c r="CL521" s="4"/>
      <c r="CM521" s="4"/>
      <c r="CN521" s="4"/>
      <c r="CO521" s="4"/>
      <c r="CP521" s="4"/>
      <c r="CQ521" s="4"/>
      <c r="CR521" s="4"/>
      <c r="CS521" s="4"/>
      <c r="CT521" s="4"/>
      <c r="CU521" s="4"/>
      <c r="CV521" s="4"/>
      <c r="CW521" s="4"/>
      <c r="CX521" s="4"/>
      <c r="CY521" s="4"/>
      <c r="CZ521" s="4"/>
      <c r="DA521" s="4"/>
      <c r="DB521" s="4"/>
      <c r="DC521" s="4"/>
      <c r="DD521" s="4"/>
      <c r="DE521" s="4"/>
      <c r="DF521" s="4"/>
      <c r="DG521" s="4"/>
      <c r="DH521" s="4"/>
      <c r="DI521" s="4"/>
      <c r="DJ521" s="4"/>
      <c r="DK521" s="4"/>
      <c r="DL521" s="4"/>
      <c r="DM521" s="4"/>
      <c r="DN521" s="4"/>
      <c r="DO521" s="4"/>
      <c r="DP521" s="4"/>
      <c r="DQ521" s="4"/>
      <c r="DR521" s="4"/>
      <c r="DS521" s="4"/>
      <c r="DT521" s="4"/>
      <c r="DU521" s="4"/>
      <c r="DV521" s="4"/>
    </row>
    <row r="522">
      <c r="A522" s="2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  <c r="CI522" s="4"/>
      <c r="CJ522" s="4"/>
      <c r="CK522" s="4"/>
      <c r="CL522" s="4"/>
      <c r="CM522" s="4"/>
      <c r="CN522" s="4"/>
      <c r="CO522" s="4"/>
      <c r="CP522" s="4"/>
      <c r="CQ522" s="4"/>
      <c r="CR522" s="4"/>
      <c r="CS522" s="4"/>
      <c r="CT522" s="4"/>
      <c r="CU522" s="4"/>
      <c r="CV522" s="4"/>
      <c r="CW522" s="4"/>
      <c r="CX522" s="4"/>
      <c r="CY522" s="4"/>
      <c r="CZ522" s="4"/>
      <c r="DA522" s="4"/>
      <c r="DB522" s="4"/>
      <c r="DC522" s="4"/>
      <c r="DD522" s="4"/>
      <c r="DE522" s="4"/>
      <c r="DF522" s="4"/>
      <c r="DG522" s="4"/>
      <c r="DH522" s="4"/>
      <c r="DI522" s="4"/>
      <c r="DJ522" s="4"/>
      <c r="DK522" s="4"/>
      <c r="DL522" s="4"/>
      <c r="DM522" s="4"/>
      <c r="DN522" s="4"/>
      <c r="DO522" s="4"/>
      <c r="DP522" s="4"/>
      <c r="DQ522" s="4"/>
      <c r="DR522" s="4"/>
      <c r="DS522" s="4"/>
      <c r="DT522" s="4"/>
      <c r="DU522" s="4"/>
      <c r="DV522" s="4"/>
    </row>
    <row r="523">
      <c r="A523" s="2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  <c r="CI523" s="4"/>
      <c r="CJ523" s="4"/>
      <c r="CK523" s="4"/>
      <c r="CL523" s="4"/>
      <c r="CM523" s="4"/>
      <c r="CN523" s="4"/>
      <c r="CO523" s="4"/>
      <c r="CP523" s="4"/>
      <c r="CQ523" s="4"/>
      <c r="CR523" s="4"/>
      <c r="CS523" s="4"/>
      <c r="CT523" s="4"/>
      <c r="CU523" s="4"/>
      <c r="CV523" s="4"/>
      <c r="CW523" s="4"/>
      <c r="CX523" s="4"/>
      <c r="CY523" s="4"/>
      <c r="CZ523" s="4"/>
      <c r="DA523" s="4"/>
      <c r="DB523" s="4"/>
      <c r="DC523" s="4"/>
      <c r="DD523" s="4"/>
      <c r="DE523" s="4"/>
      <c r="DF523" s="4"/>
      <c r="DG523" s="4"/>
      <c r="DH523" s="4"/>
      <c r="DI523" s="4"/>
      <c r="DJ523" s="4"/>
      <c r="DK523" s="4"/>
      <c r="DL523" s="4"/>
      <c r="DM523" s="4"/>
      <c r="DN523" s="4"/>
      <c r="DO523" s="4"/>
      <c r="DP523" s="4"/>
      <c r="DQ523" s="4"/>
      <c r="DR523" s="4"/>
      <c r="DS523" s="4"/>
      <c r="DT523" s="4"/>
      <c r="DU523" s="4"/>
      <c r="DV523" s="4"/>
    </row>
    <row r="524">
      <c r="A524" s="2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  <c r="CI524" s="4"/>
      <c r="CJ524" s="4"/>
      <c r="CK524" s="4"/>
      <c r="CL524" s="4"/>
      <c r="CM524" s="4"/>
      <c r="CN524" s="4"/>
      <c r="CO524" s="4"/>
      <c r="CP524" s="4"/>
      <c r="CQ524" s="4"/>
      <c r="CR524" s="4"/>
      <c r="CS524" s="4"/>
      <c r="CT524" s="4"/>
      <c r="CU524" s="4"/>
      <c r="CV524" s="4"/>
      <c r="CW524" s="4"/>
      <c r="CX524" s="4"/>
      <c r="CY524" s="4"/>
      <c r="CZ524" s="4"/>
      <c r="DA524" s="4"/>
      <c r="DB524" s="4"/>
      <c r="DC524" s="4"/>
      <c r="DD524" s="4"/>
      <c r="DE524" s="4"/>
      <c r="DF524" s="4"/>
      <c r="DG524" s="4"/>
      <c r="DH524" s="4"/>
      <c r="DI524" s="4"/>
      <c r="DJ524" s="4"/>
      <c r="DK524" s="4"/>
      <c r="DL524" s="4"/>
      <c r="DM524" s="4"/>
      <c r="DN524" s="4"/>
      <c r="DO524" s="4"/>
      <c r="DP524" s="4"/>
      <c r="DQ524" s="4"/>
      <c r="DR524" s="4"/>
      <c r="DS524" s="4"/>
      <c r="DT524" s="4"/>
      <c r="DU524" s="4"/>
      <c r="DV524" s="4"/>
    </row>
    <row r="525">
      <c r="A525" s="2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  <c r="CI525" s="4"/>
      <c r="CJ525" s="4"/>
      <c r="CK525" s="4"/>
      <c r="CL525" s="4"/>
      <c r="CM525" s="4"/>
      <c r="CN525" s="4"/>
      <c r="CO525" s="4"/>
      <c r="CP525" s="4"/>
      <c r="CQ525" s="4"/>
      <c r="CR525" s="4"/>
      <c r="CS525" s="4"/>
      <c r="CT525" s="4"/>
      <c r="CU525" s="4"/>
      <c r="CV525" s="4"/>
      <c r="CW525" s="4"/>
      <c r="CX525" s="4"/>
      <c r="CY525" s="4"/>
      <c r="CZ525" s="4"/>
      <c r="DA525" s="4"/>
      <c r="DB525" s="4"/>
      <c r="DC525" s="4"/>
      <c r="DD525" s="4"/>
      <c r="DE525" s="4"/>
      <c r="DF525" s="4"/>
      <c r="DG525" s="4"/>
      <c r="DH525" s="4"/>
      <c r="DI525" s="4"/>
      <c r="DJ525" s="4"/>
      <c r="DK525" s="4"/>
      <c r="DL525" s="4"/>
      <c r="DM525" s="4"/>
      <c r="DN525" s="4"/>
      <c r="DO525" s="4"/>
      <c r="DP525" s="4"/>
      <c r="DQ525" s="4"/>
      <c r="DR525" s="4"/>
      <c r="DS525" s="4"/>
      <c r="DT525" s="4"/>
      <c r="DU525" s="4"/>
      <c r="DV525" s="4"/>
    </row>
    <row r="526">
      <c r="A526" s="2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  <c r="CI526" s="4"/>
      <c r="CJ526" s="4"/>
      <c r="CK526" s="4"/>
      <c r="CL526" s="4"/>
      <c r="CM526" s="4"/>
      <c r="CN526" s="4"/>
      <c r="CO526" s="4"/>
      <c r="CP526" s="4"/>
      <c r="CQ526" s="4"/>
      <c r="CR526" s="4"/>
      <c r="CS526" s="4"/>
      <c r="CT526" s="4"/>
      <c r="CU526" s="4"/>
      <c r="CV526" s="4"/>
      <c r="CW526" s="4"/>
      <c r="CX526" s="4"/>
      <c r="CY526" s="4"/>
      <c r="CZ526" s="4"/>
      <c r="DA526" s="4"/>
      <c r="DB526" s="4"/>
      <c r="DC526" s="4"/>
      <c r="DD526" s="4"/>
      <c r="DE526" s="4"/>
      <c r="DF526" s="4"/>
      <c r="DG526" s="4"/>
      <c r="DH526" s="4"/>
      <c r="DI526" s="4"/>
      <c r="DJ526" s="4"/>
      <c r="DK526" s="4"/>
      <c r="DL526" s="4"/>
      <c r="DM526" s="4"/>
      <c r="DN526" s="4"/>
      <c r="DO526" s="4"/>
      <c r="DP526" s="4"/>
      <c r="DQ526" s="4"/>
      <c r="DR526" s="4"/>
      <c r="DS526" s="4"/>
      <c r="DT526" s="4"/>
      <c r="DU526" s="4"/>
      <c r="DV526" s="4"/>
    </row>
    <row r="527">
      <c r="A527" s="2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  <c r="CI527" s="4"/>
      <c r="CJ527" s="4"/>
      <c r="CK527" s="4"/>
      <c r="CL527" s="4"/>
      <c r="CM527" s="4"/>
      <c r="CN527" s="4"/>
      <c r="CO527" s="4"/>
      <c r="CP527" s="4"/>
      <c r="CQ527" s="4"/>
      <c r="CR527" s="4"/>
      <c r="CS527" s="4"/>
      <c r="CT527" s="4"/>
      <c r="CU527" s="4"/>
      <c r="CV527" s="4"/>
      <c r="CW527" s="4"/>
      <c r="CX527" s="4"/>
      <c r="CY527" s="4"/>
      <c r="CZ527" s="4"/>
      <c r="DA527" s="4"/>
      <c r="DB527" s="4"/>
      <c r="DC527" s="4"/>
      <c r="DD527" s="4"/>
      <c r="DE527" s="4"/>
      <c r="DF527" s="4"/>
      <c r="DG527" s="4"/>
      <c r="DH527" s="4"/>
      <c r="DI527" s="4"/>
      <c r="DJ527" s="4"/>
      <c r="DK527" s="4"/>
      <c r="DL527" s="4"/>
      <c r="DM527" s="4"/>
      <c r="DN527" s="4"/>
      <c r="DO527" s="4"/>
      <c r="DP527" s="4"/>
      <c r="DQ527" s="4"/>
      <c r="DR527" s="4"/>
      <c r="DS527" s="4"/>
      <c r="DT527" s="4"/>
      <c r="DU527" s="4"/>
      <c r="DV527" s="4"/>
    </row>
    <row r="528">
      <c r="A528" s="2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  <c r="CI528" s="4"/>
      <c r="CJ528" s="4"/>
      <c r="CK528" s="4"/>
      <c r="CL528" s="4"/>
      <c r="CM528" s="4"/>
      <c r="CN528" s="4"/>
      <c r="CO528" s="4"/>
      <c r="CP528" s="4"/>
      <c r="CQ528" s="4"/>
      <c r="CR528" s="4"/>
      <c r="CS528" s="4"/>
      <c r="CT528" s="4"/>
      <c r="CU528" s="4"/>
      <c r="CV528" s="4"/>
      <c r="CW528" s="4"/>
      <c r="CX528" s="4"/>
      <c r="CY528" s="4"/>
      <c r="CZ528" s="4"/>
      <c r="DA528" s="4"/>
      <c r="DB528" s="4"/>
      <c r="DC528" s="4"/>
      <c r="DD528" s="4"/>
      <c r="DE528" s="4"/>
      <c r="DF528" s="4"/>
      <c r="DG528" s="4"/>
      <c r="DH528" s="4"/>
      <c r="DI528" s="4"/>
      <c r="DJ528" s="4"/>
      <c r="DK528" s="4"/>
      <c r="DL528" s="4"/>
      <c r="DM528" s="4"/>
      <c r="DN528" s="4"/>
      <c r="DO528" s="4"/>
      <c r="DP528" s="4"/>
      <c r="DQ528" s="4"/>
      <c r="DR528" s="4"/>
      <c r="DS528" s="4"/>
      <c r="DT528" s="4"/>
      <c r="DU528" s="4"/>
      <c r="DV528" s="4"/>
    </row>
    <row r="529">
      <c r="A529" s="2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  <c r="CI529" s="4"/>
      <c r="CJ529" s="4"/>
      <c r="CK529" s="4"/>
      <c r="CL529" s="4"/>
      <c r="CM529" s="4"/>
      <c r="CN529" s="4"/>
      <c r="CO529" s="4"/>
      <c r="CP529" s="4"/>
      <c r="CQ529" s="4"/>
      <c r="CR529" s="4"/>
      <c r="CS529" s="4"/>
      <c r="CT529" s="4"/>
      <c r="CU529" s="4"/>
      <c r="CV529" s="4"/>
      <c r="CW529" s="4"/>
      <c r="CX529" s="4"/>
      <c r="CY529" s="4"/>
      <c r="CZ529" s="4"/>
      <c r="DA529" s="4"/>
      <c r="DB529" s="4"/>
      <c r="DC529" s="4"/>
      <c r="DD529" s="4"/>
      <c r="DE529" s="4"/>
      <c r="DF529" s="4"/>
      <c r="DG529" s="4"/>
      <c r="DH529" s="4"/>
      <c r="DI529" s="4"/>
      <c r="DJ529" s="4"/>
      <c r="DK529" s="4"/>
      <c r="DL529" s="4"/>
      <c r="DM529" s="4"/>
      <c r="DN529" s="4"/>
      <c r="DO529" s="4"/>
      <c r="DP529" s="4"/>
      <c r="DQ529" s="4"/>
      <c r="DR529" s="4"/>
      <c r="DS529" s="4"/>
      <c r="DT529" s="4"/>
      <c r="DU529" s="4"/>
      <c r="DV529" s="4"/>
    </row>
    <row r="530">
      <c r="A530" s="2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  <c r="CI530" s="4"/>
      <c r="CJ530" s="4"/>
      <c r="CK530" s="4"/>
      <c r="CL530" s="4"/>
      <c r="CM530" s="4"/>
      <c r="CN530" s="4"/>
      <c r="CO530" s="4"/>
      <c r="CP530" s="4"/>
      <c r="CQ530" s="4"/>
      <c r="CR530" s="4"/>
      <c r="CS530" s="4"/>
      <c r="CT530" s="4"/>
      <c r="CU530" s="4"/>
      <c r="CV530" s="4"/>
      <c r="CW530" s="4"/>
      <c r="CX530" s="4"/>
      <c r="CY530" s="4"/>
      <c r="CZ530" s="4"/>
      <c r="DA530" s="4"/>
      <c r="DB530" s="4"/>
      <c r="DC530" s="4"/>
      <c r="DD530" s="4"/>
      <c r="DE530" s="4"/>
      <c r="DF530" s="4"/>
      <c r="DG530" s="4"/>
      <c r="DH530" s="4"/>
      <c r="DI530" s="4"/>
      <c r="DJ530" s="4"/>
      <c r="DK530" s="4"/>
      <c r="DL530" s="4"/>
      <c r="DM530" s="4"/>
      <c r="DN530" s="4"/>
      <c r="DO530" s="4"/>
      <c r="DP530" s="4"/>
      <c r="DQ530" s="4"/>
      <c r="DR530" s="4"/>
      <c r="DS530" s="4"/>
      <c r="DT530" s="4"/>
      <c r="DU530" s="4"/>
      <c r="DV530" s="4"/>
    </row>
    <row r="531">
      <c r="A531" s="2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  <c r="CI531" s="4"/>
      <c r="CJ531" s="4"/>
      <c r="CK531" s="4"/>
      <c r="CL531" s="4"/>
      <c r="CM531" s="4"/>
      <c r="CN531" s="4"/>
      <c r="CO531" s="4"/>
      <c r="CP531" s="4"/>
      <c r="CQ531" s="4"/>
      <c r="CR531" s="4"/>
      <c r="CS531" s="4"/>
      <c r="CT531" s="4"/>
      <c r="CU531" s="4"/>
      <c r="CV531" s="4"/>
      <c r="CW531" s="4"/>
      <c r="CX531" s="4"/>
      <c r="CY531" s="4"/>
      <c r="CZ531" s="4"/>
      <c r="DA531" s="4"/>
      <c r="DB531" s="4"/>
      <c r="DC531" s="4"/>
      <c r="DD531" s="4"/>
      <c r="DE531" s="4"/>
      <c r="DF531" s="4"/>
      <c r="DG531" s="4"/>
      <c r="DH531" s="4"/>
      <c r="DI531" s="4"/>
      <c r="DJ531" s="4"/>
      <c r="DK531" s="4"/>
      <c r="DL531" s="4"/>
      <c r="DM531" s="4"/>
      <c r="DN531" s="4"/>
      <c r="DO531" s="4"/>
      <c r="DP531" s="4"/>
      <c r="DQ531" s="4"/>
      <c r="DR531" s="4"/>
      <c r="DS531" s="4"/>
      <c r="DT531" s="4"/>
      <c r="DU531" s="4"/>
      <c r="DV531" s="4"/>
    </row>
    <row r="532">
      <c r="A532" s="2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  <c r="CI532" s="4"/>
      <c r="CJ532" s="4"/>
      <c r="CK532" s="4"/>
      <c r="CL532" s="4"/>
      <c r="CM532" s="4"/>
      <c r="CN532" s="4"/>
      <c r="CO532" s="4"/>
      <c r="CP532" s="4"/>
      <c r="CQ532" s="4"/>
      <c r="CR532" s="4"/>
      <c r="CS532" s="4"/>
      <c r="CT532" s="4"/>
      <c r="CU532" s="4"/>
      <c r="CV532" s="4"/>
      <c r="CW532" s="4"/>
      <c r="CX532" s="4"/>
      <c r="CY532" s="4"/>
      <c r="CZ532" s="4"/>
      <c r="DA532" s="4"/>
      <c r="DB532" s="4"/>
      <c r="DC532" s="4"/>
      <c r="DD532" s="4"/>
      <c r="DE532" s="4"/>
      <c r="DF532" s="4"/>
      <c r="DG532" s="4"/>
      <c r="DH532" s="4"/>
      <c r="DI532" s="4"/>
      <c r="DJ532" s="4"/>
      <c r="DK532" s="4"/>
      <c r="DL532" s="4"/>
      <c r="DM532" s="4"/>
      <c r="DN532" s="4"/>
      <c r="DO532" s="4"/>
      <c r="DP532" s="4"/>
      <c r="DQ532" s="4"/>
      <c r="DR532" s="4"/>
      <c r="DS532" s="4"/>
      <c r="DT532" s="4"/>
      <c r="DU532" s="4"/>
      <c r="DV532" s="4"/>
    </row>
    <row r="533">
      <c r="A533" s="2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  <c r="CI533" s="4"/>
      <c r="CJ533" s="4"/>
      <c r="CK533" s="4"/>
      <c r="CL533" s="4"/>
      <c r="CM533" s="4"/>
      <c r="CN533" s="4"/>
      <c r="CO533" s="4"/>
      <c r="CP533" s="4"/>
      <c r="CQ533" s="4"/>
      <c r="CR533" s="4"/>
      <c r="CS533" s="4"/>
      <c r="CT533" s="4"/>
      <c r="CU533" s="4"/>
      <c r="CV533" s="4"/>
      <c r="CW533" s="4"/>
      <c r="CX533" s="4"/>
      <c r="CY533" s="4"/>
      <c r="CZ533" s="4"/>
      <c r="DA533" s="4"/>
      <c r="DB533" s="4"/>
      <c r="DC533" s="4"/>
      <c r="DD533" s="4"/>
      <c r="DE533" s="4"/>
      <c r="DF533" s="4"/>
      <c r="DG533" s="4"/>
      <c r="DH533" s="4"/>
      <c r="DI533" s="4"/>
      <c r="DJ533" s="4"/>
      <c r="DK533" s="4"/>
      <c r="DL533" s="4"/>
      <c r="DM533" s="4"/>
      <c r="DN533" s="4"/>
      <c r="DO533" s="4"/>
      <c r="DP533" s="4"/>
      <c r="DQ533" s="4"/>
      <c r="DR533" s="4"/>
      <c r="DS533" s="4"/>
      <c r="DT533" s="4"/>
      <c r="DU533" s="4"/>
      <c r="DV533" s="4"/>
    </row>
    <row r="534">
      <c r="A534" s="2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  <c r="CI534" s="4"/>
      <c r="CJ534" s="4"/>
      <c r="CK534" s="4"/>
      <c r="CL534" s="4"/>
      <c r="CM534" s="4"/>
      <c r="CN534" s="4"/>
      <c r="CO534" s="4"/>
      <c r="CP534" s="4"/>
      <c r="CQ534" s="4"/>
      <c r="CR534" s="4"/>
      <c r="CS534" s="4"/>
      <c r="CT534" s="4"/>
      <c r="CU534" s="4"/>
      <c r="CV534" s="4"/>
      <c r="CW534" s="4"/>
      <c r="CX534" s="4"/>
      <c r="CY534" s="4"/>
      <c r="CZ534" s="4"/>
      <c r="DA534" s="4"/>
      <c r="DB534" s="4"/>
      <c r="DC534" s="4"/>
      <c r="DD534" s="4"/>
      <c r="DE534" s="4"/>
      <c r="DF534" s="4"/>
      <c r="DG534" s="4"/>
      <c r="DH534" s="4"/>
      <c r="DI534" s="4"/>
      <c r="DJ534" s="4"/>
      <c r="DK534" s="4"/>
      <c r="DL534" s="4"/>
      <c r="DM534" s="4"/>
      <c r="DN534" s="4"/>
      <c r="DO534" s="4"/>
      <c r="DP534" s="4"/>
      <c r="DQ534" s="4"/>
      <c r="DR534" s="4"/>
      <c r="DS534" s="4"/>
      <c r="DT534" s="4"/>
      <c r="DU534" s="4"/>
      <c r="DV534" s="4"/>
    </row>
    <row r="535">
      <c r="A535" s="2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  <c r="CI535" s="4"/>
      <c r="CJ535" s="4"/>
      <c r="CK535" s="4"/>
      <c r="CL535" s="4"/>
      <c r="CM535" s="4"/>
      <c r="CN535" s="4"/>
      <c r="CO535" s="4"/>
      <c r="CP535" s="4"/>
      <c r="CQ535" s="4"/>
      <c r="CR535" s="4"/>
      <c r="CS535" s="4"/>
      <c r="CT535" s="4"/>
      <c r="CU535" s="4"/>
      <c r="CV535" s="4"/>
      <c r="CW535" s="4"/>
      <c r="CX535" s="4"/>
      <c r="CY535" s="4"/>
      <c r="CZ535" s="4"/>
      <c r="DA535" s="4"/>
      <c r="DB535" s="4"/>
      <c r="DC535" s="4"/>
      <c r="DD535" s="4"/>
      <c r="DE535" s="4"/>
      <c r="DF535" s="4"/>
      <c r="DG535" s="4"/>
      <c r="DH535" s="4"/>
      <c r="DI535" s="4"/>
      <c r="DJ535" s="4"/>
      <c r="DK535" s="4"/>
      <c r="DL535" s="4"/>
      <c r="DM535" s="4"/>
      <c r="DN535" s="4"/>
      <c r="DO535" s="4"/>
      <c r="DP535" s="4"/>
      <c r="DQ535" s="4"/>
      <c r="DR535" s="4"/>
      <c r="DS535" s="4"/>
      <c r="DT535" s="4"/>
      <c r="DU535" s="4"/>
      <c r="DV535" s="4"/>
    </row>
    <row r="536">
      <c r="A536" s="2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  <c r="CI536" s="4"/>
      <c r="CJ536" s="4"/>
      <c r="CK536" s="4"/>
      <c r="CL536" s="4"/>
      <c r="CM536" s="4"/>
      <c r="CN536" s="4"/>
      <c r="CO536" s="4"/>
      <c r="CP536" s="4"/>
      <c r="CQ536" s="4"/>
      <c r="CR536" s="4"/>
      <c r="CS536" s="4"/>
      <c r="CT536" s="4"/>
      <c r="CU536" s="4"/>
      <c r="CV536" s="4"/>
      <c r="CW536" s="4"/>
      <c r="CX536" s="4"/>
      <c r="CY536" s="4"/>
      <c r="CZ536" s="4"/>
      <c r="DA536" s="4"/>
      <c r="DB536" s="4"/>
      <c r="DC536" s="4"/>
      <c r="DD536" s="4"/>
      <c r="DE536" s="4"/>
      <c r="DF536" s="4"/>
      <c r="DG536" s="4"/>
      <c r="DH536" s="4"/>
      <c r="DI536" s="4"/>
      <c r="DJ536" s="4"/>
      <c r="DK536" s="4"/>
      <c r="DL536" s="4"/>
      <c r="DM536" s="4"/>
      <c r="DN536" s="4"/>
      <c r="DO536" s="4"/>
      <c r="DP536" s="4"/>
      <c r="DQ536" s="4"/>
      <c r="DR536" s="4"/>
      <c r="DS536" s="4"/>
      <c r="DT536" s="4"/>
      <c r="DU536" s="4"/>
      <c r="DV536" s="4"/>
    </row>
    <row r="537">
      <c r="A537" s="2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  <c r="CI537" s="4"/>
      <c r="CJ537" s="4"/>
      <c r="CK537" s="4"/>
      <c r="CL537" s="4"/>
      <c r="CM537" s="4"/>
      <c r="CN537" s="4"/>
      <c r="CO537" s="4"/>
      <c r="CP537" s="4"/>
      <c r="CQ537" s="4"/>
      <c r="CR537" s="4"/>
      <c r="CS537" s="4"/>
      <c r="CT537" s="4"/>
      <c r="CU537" s="4"/>
      <c r="CV537" s="4"/>
      <c r="CW537" s="4"/>
      <c r="CX537" s="4"/>
      <c r="CY537" s="4"/>
      <c r="CZ537" s="4"/>
      <c r="DA537" s="4"/>
      <c r="DB537" s="4"/>
      <c r="DC537" s="4"/>
      <c r="DD537" s="4"/>
      <c r="DE537" s="4"/>
      <c r="DF537" s="4"/>
      <c r="DG537" s="4"/>
      <c r="DH537" s="4"/>
      <c r="DI537" s="4"/>
      <c r="DJ537" s="4"/>
      <c r="DK537" s="4"/>
      <c r="DL537" s="4"/>
      <c r="DM537" s="4"/>
      <c r="DN537" s="4"/>
      <c r="DO537" s="4"/>
      <c r="DP537" s="4"/>
      <c r="DQ537" s="4"/>
      <c r="DR537" s="4"/>
      <c r="DS537" s="4"/>
      <c r="DT537" s="4"/>
      <c r="DU537" s="4"/>
      <c r="DV537" s="4"/>
    </row>
    <row r="538">
      <c r="A538" s="2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  <c r="CI538" s="4"/>
      <c r="CJ538" s="4"/>
      <c r="CK538" s="4"/>
      <c r="CL538" s="4"/>
      <c r="CM538" s="4"/>
      <c r="CN538" s="4"/>
      <c r="CO538" s="4"/>
      <c r="CP538" s="4"/>
      <c r="CQ538" s="4"/>
      <c r="CR538" s="4"/>
      <c r="CS538" s="4"/>
      <c r="CT538" s="4"/>
      <c r="CU538" s="4"/>
      <c r="CV538" s="4"/>
      <c r="CW538" s="4"/>
      <c r="CX538" s="4"/>
      <c r="CY538" s="4"/>
      <c r="CZ538" s="4"/>
      <c r="DA538" s="4"/>
      <c r="DB538" s="4"/>
      <c r="DC538" s="4"/>
      <c r="DD538" s="4"/>
      <c r="DE538" s="4"/>
      <c r="DF538" s="4"/>
      <c r="DG538" s="4"/>
      <c r="DH538" s="4"/>
      <c r="DI538" s="4"/>
      <c r="DJ538" s="4"/>
      <c r="DK538" s="4"/>
      <c r="DL538" s="4"/>
      <c r="DM538" s="4"/>
      <c r="DN538" s="4"/>
      <c r="DO538" s="4"/>
      <c r="DP538" s="4"/>
      <c r="DQ538" s="4"/>
      <c r="DR538" s="4"/>
      <c r="DS538" s="4"/>
      <c r="DT538" s="4"/>
      <c r="DU538" s="4"/>
      <c r="DV538" s="4"/>
    </row>
    <row r="539">
      <c r="A539" s="2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  <c r="CI539" s="4"/>
      <c r="CJ539" s="4"/>
      <c r="CK539" s="4"/>
      <c r="CL539" s="4"/>
      <c r="CM539" s="4"/>
      <c r="CN539" s="4"/>
      <c r="CO539" s="4"/>
      <c r="CP539" s="4"/>
      <c r="CQ539" s="4"/>
      <c r="CR539" s="4"/>
      <c r="CS539" s="4"/>
      <c r="CT539" s="4"/>
      <c r="CU539" s="4"/>
      <c r="CV539" s="4"/>
      <c r="CW539" s="4"/>
      <c r="CX539" s="4"/>
      <c r="CY539" s="4"/>
      <c r="CZ539" s="4"/>
      <c r="DA539" s="4"/>
      <c r="DB539" s="4"/>
      <c r="DC539" s="4"/>
      <c r="DD539" s="4"/>
      <c r="DE539" s="4"/>
      <c r="DF539" s="4"/>
      <c r="DG539" s="4"/>
      <c r="DH539" s="4"/>
      <c r="DI539" s="4"/>
      <c r="DJ539" s="4"/>
      <c r="DK539" s="4"/>
      <c r="DL539" s="4"/>
      <c r="DM539" s="4"/>
      <c r="DN539" s="4"/>
      <c r="DO539" s="4"/>
      <c r="DP539" s="4"/>
      <c r="DQ539" s="4"/>
      <c r="DR539" s="4"/>
      <c r="DS539" s="4"/>
      <c r="DT539" s="4"/>
      <c r="DU539" s="4"/>
      <c r="DV539" s="4"/>
    </row>
    <row r="540">
      <c r="A540" s="2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  <c r="CI540" s="4"/>
      <c r="CJ540" s="4"/>
      <c r="CK540" s="4"/>
      <c r="CL540" s="4"/>
      <c r="CM540" s="4"/>
      <c r="CN540" s="4"/>
      <c r="CO540" s="4"/>
      <c r="CP540" s="4"/>
      <c r="CQ540" s="4"/>
      <c r="CR540" s="4"/>
      <c r="CS540" s="4"/>
      <c r="CT540" s="4"/>
      <c r="CU540" s="4"/>
      <c r="CV540" s="4"/>
      <c r="CW540" s="4"/>
      <c r="CX540" s="4"/>
      <c r="CY540" s="4"/>
      <c r="CZ540" s="4"/>
      <c r="DA540" s="4"/>
      <c r="DB540" s="4"/>
      <c r="DC540" s="4"/>
      <c r="DD540" s="4"/>
      <c r="DE540" s="4"/>
      <c r="DF540" s="4"/>
      <c r="DG540" s="4"/>
      <c r="DH540" s="4"/>
      <c r="DI540" s="4"/>
      <c r="DJ540" s="4"/>
      <c r="DK540" s="4"/>
      <c r="DL540" s="4"/>
      <c r="DM540" s="4"/>
      <c r="DN540" s="4"/>
      <c r="DO540" s="4"/>
      <c r="DP540" s="4"/>
      <c r="DQ540" s="4"/>
      <c r="DR540" s="4"/>
      <c r="DS540" s="4"/>
      <c r="DT540" s="4"/>
      <c r="DU540" s="4"/>
      <c r="DV540" s="4"/>
    </row>
    <row r="541">
      <c r="A541" s="2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  <c r="CI541" s="4"/>
      <c r="CJ541" s="4"/>
      <c r="CK541" s="4"/>
      <c r="CL541" s="4"/>
      <c r="CM541" s="4"/>
      <c r="CN541" s="4"/>
      <c r="CO541" s="4"/>
      <c r="CP541" s="4"/>
      <c r="CQ541" s="4"/>
      <c r="CR541" s="4"/>
      <c r="CS541" s="4"/>
      <c r="CT541" s="4"/>
      <c r="CU541" s="4"/>
      <c r="CV541" s="4"/>
      <c r="CW541" s="4"/>
      <c r="CX541" s="4"/>
      <c r="CY541" s="4"/>
      <c r="CZ541" s="4"/>
      <c r="DA541" s="4"/>
      <c r="DB541" s="4"/>
      <c r="DC541" s="4"/>
      <c r="DD541" s="4"/>
      <c r="DE541" s="4"/>
      <c r="DF541" s="4"/>
      <c r="DG541" s="4"/>
      <c r="DH541" s="4"/>
      <c r="DI541" s="4"/>
      <c r="DJ541" s="4"/>
      <c r="DK541" s="4"/>
      <c r="DL541" s="4"/>
      <c r="DM541" s="4"/>
      <c r="DN541" s="4"/>
      <c r="DO541" s="4"/>
      <c r="DP541" s="4"/>
      <c r="DQ541" s="4"/>
      <c r="DR541" s="4"/>
      <c r="DS541" s="4"/>
      <c r="DT541" s="4"/>
      <c r="DU541" s="4"/>
      <c r="DV541" s="4"/>
    </row>
    <row r="542">
      <c r="A542" s="2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  <c r="CI542" s="4"/>
      <c r="CJ542" s="4"/>
      <c r="CK542" s="4"/>
      <c r="CL542" s="4"/>
      <c r="CM542" s="4"/>
      <c r="CN542" s="4"/>
      <c r="CO542" s="4"/>
      <c r="CP542" s="4"/>
      <c r="CQ542" s="4"/>
      <c r="CR542" s="4"/>
      <c r="CS542" s="4"/>
      <c r="CT542" s="4"/>
      <c r="CU542" s="4"/>
      <c r="CV542" s="4"/>
      <c r="CW542" s="4"/>
      <c r="CX542" s="4"/>
      <c r="CY542" s="4"/>
      <c r="CZ542" s="4"/>
      <c r="DA542" s="4"/>
      <c r="DB542" s="4"/>
      <c r="DC542" s="4"/>
      <c r="DD542" s="4"/>
      <c r="DE542" s="4"/>
      <c r="DF542" s="4"/>
      <c r="DG542" s="4"/>
      <c r="DH542" s="4"/>
      <c r="DI542" s="4"/>
      <c r="DJ542" s="4"/>
      <c r="DK542" s="4"/>
      <c r="DL542" s="4"/>
      <c r="DM542" s="4"/>
      <c r="DN542" s="4"/>
      <c r="DO542" s="4"/>
      <c r="DP542" s="4"/>
      <c r="DQ542" s="4"/>
      <c r="DR542" s="4"/>
      <c r="DS542" s="4"/>
      <c r="DT542" s="4"/>
      <c r="DU542" s="4"/>
      <c r="DV542" s="4"/>
    </row>
    <row r="543">
      <c r="A543" s="2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  <c r="CI543" s="4"/>
      <c r="CJ543" s="4"/>
      <c r="CK543" s="4"/>
      <c r="CL543" s="4"/>
      <c r="CM543" s="4"/>
      <c r="CN543" s="4"/>
      <c r="CO543" s="4"/>
      <c r="CP543" s="4"/>
      <c r="CQ543" s="4"/>
      <c r="CR543" s="4"/>
      <c r="CS543" s="4"/>
      <c r="CT543" s="4"/>
      <c r="CU543" s="4"/>
      <c r="CV543" s="4"/>
      <c r="CW543" s="4"/>
      <c r="CX543" s="4"/>
      <c r="CY543" s="4"/>
      <c r="CZ543" s="4"/>
      <c r="DA543" s="4"/>
      <c r="DB543" s="4"/>
      <c r="DC543" s="4"/>
      <c r="DD543" s="4"/>
      <c r="DE543" s="4"/>
      <c r="DF543" s="4"/>
      <c r="DG543" s="4"/>
      <c r="DH543" s="4"/>
      <c r="DI543" s="4"/>
      <c r="DJ543" s="4"/>
      <c r="DK543" s="4"/>
      <c r="DL543" s="4"/>
      <c r="DM543" s="4"/>
      <c r="DN543" s="4"/>
      <c r="DO543" s="4"/>
      <c r="DP543" s="4"/>
      <c r="DQ543" s="4"/>
      <c r="DR543" s="4"/>
      <c r="DS543" s="4"/>
      <c r="DT543" s="4"/>
      <c r="DU543" s="4"/>
      <c r="DV543" s="4"/>
    </row>
    <row r="544">
      <c r="A544" s="2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  <c r="CI544" s="4"/>
      <c r="CJ544" s="4"/>
      <c r="CK544" s="4"/>
      <c r="CL544" s="4"/>
      <c r="CM544" s="4"/>
      <c r="CN544" s="4"/>
      <c r="CO544" s="4"/>
      <c r="CP544" s="4"/>
      <c r="CQ544" s="4"/>
      <c r="CR544" s="4"/>
      <c r="CS544" s="4"/>
      <c r="CT544" s="4"/>
      <c r="CU544" s="4"/>
      <c r="CV544" s="4"/>
      <c r="CW544" s="4"/>
      <c r="CX544" s="4"/>
      <c r="CY544" s="4"/>
      <c r="CZ544" s="4"/>
      <c r="DA544" s="4"/>
      <c r="DB544" s="4"/>
      <c r="DC544" s="4"/>
      <c r="DD544" s="4"/>
      <c r="DE544" s="4"/>
      <c r="DF544" s="4"/>
      <c r="DG544" s="4"/>
      <c r="DH544" s="4"/>
      <c r="DI544" s="4"/>
      <c r="DJ544" s="4"/>
      <c r="DK544" s="4"/>
      <c r="DL544" s="4"/>
      <c r="DM544" s="4"/>
      <c r="DN544" s="4"/>
      <c r="DO544" s="4"/>
      <c r="DP544" s="4"/>
      <c r="DQ544" s="4"/>
      <c r="DR544" s="4"/>
      <c r="DS544" s="4"/>
      <c r="DT544" s="4"/>
      <c r="DU544" s="4"/>
      <c r="DV544" s="4"/>
    </row>
    <row r="545">
      <c r="A545" s="2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  <c r="CI545" s="4"/>
      <c r="CJ545" s="4"/>
      <c r="CK545" s="4"/>
      <c r="CL545" s="4"/>
      <c r="CM545" s="4"/>
      <c r="CN545" s="4"/>
      <c r="CO545" s="4"/>
      <c r="CP545" s="4"/>
      <c r="CQ545" s="4"/>
      <c r="CR545" s="4"/>
      <c r="CS545" s="4"/>
      <c r="CT545" s="4"/>
      <c r="CU545" s="4"/>
      <c r="CV545" s="4"/>
      <c r="CW545" s="4"/>
      <c r="CX545" s="4"/>
      <c r="CY545" s="4"/>
      <c r="CZ545" s="4"/>
      <c r="DA545" s="4"/>
      <c r="DB545" s="4"/>
      <c r="DC545" s="4"/>
      <c r="DD545" s="4"/>
      <c r="DE545" s="4"/>
      <c r="DF545" s="4"/>
      <c r="DG545" s="4"/>
      <c r="DH545" s="4"/>
      <c r="DI545" s="4"/>
      <c r="DJ545" s="4"/>
      <c r="DK545" s="4"/>
      <c r="DL545" s="4"/>
      <c r="DM545" s="4"/>
      <c r="DN545" s="4"/>
      <c r="DO545" s="4"/>
      <c r="DP545" s="4"/>
      <c r="DQ545" s="4"/>
      <c r="DR545" s="4"/>
      <c r="DS545" s="4"/>
      <c r="DT545" s="4"/>
      <c r="DU545" s="4"/>
      <c r="DV545" s="4"/>
    </row>
    <row r="546">
      <c r="A546" s="2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  <c r="CI546" s="4"/>
      <c r="CJ546" s="4"/>
      <c r="CK546" s="4"/>
      <c r="CL546" s="4"/>
      <c r="CM546" s="4"/>
      <c r="CN546" s="4"/>
      <c r="CO546" s="4"/>
      <c r="CP546" s="4"/>
      <c r="CQ546" s="4"/>
      <c r="CR546" s="4"/>
      <c r="CS546" s="4"/>
      <c r="CT546" s="4"/>
      <c r="CU546" s="4"/>
      <c r="CV546" s="4"/>
      <c r="CW546" s="4"/>
      <c r="CX546" s="4"/>
      <c r="CY546" s="4"/>
      <c r="CZ546" s="4"/>
      <c r="DA546" s="4"/>
      <c r="DB546" s="4"/>
      <c r="DC546" s="4"/>
      <c r="DD546" s="4"/>
      <c r="DE546" s="4"/>
      <c r="DF546" s="4"/>
      <c r="DG546" s="4"/>
      <c r="DH546" s="4"/>
      <c r="DI546" s="4"/>
      <c r="DJ546" s="4"/>
      <c r="DK546" s="4"/>
      <c r="DL546" s="4"/>
      <c r="DM546" s="4"/>
      <c r="DN546" s="4"/>
      <c r="DO546" s="4"/>
      <c r="DP546" s="4"/>
      <c r="DQ546" s="4"/>
      <c r="DR546" s="4"/>
      <c r="DS546" s="4"/>
      <c r="DT546" s="4"/>
      <c r="DU546" s="4"/>
      <c r="DV546" s="4"/>
    </row>
    <row r="547">
      <c r="A547" s="2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  <c r="CI547" s="4"/>
      <c r="CJ547" s="4"/>
      <c r="CK547" s="4"/>
      <c r="CL547" s="4"/>
      <c r="CM547" s="4"/>
      <c r="CN547" s="4"/>
      <c r="CO547" s="4"/>
      <c r="CP547" s="4"/>
      <c r="CQ547" s="4"/>
      <c r="CR547" s="4"/>
      <c r="CS547" s="4"/>
      <c r="CT547" s="4"/>
      <c r="CU547" s="4"/>
      <c r="CV547" s="4"/>
      <c r="CW547" s="4"/>
      <c r="CX547" s="4"/>
      <c r="CY547" s="4"/>
      <c r="CZ547" s="4"/>
      <c r="DA547" s="4"/>
      <c r="DB547" s="4"/>
      <c r="DC547" s="4"/>
      <c r="DD547" s="4"/>
      <c r="DE547" s="4"/>
      <c r="DF547" s="4"/>
      <c r="DG547" s="4"/>
      <c r="DH547" s="4"/>
      <c r="DI547" s="4"/>
      <c r="DJ547" s="4"/>
      <c r="DK547" s="4"/>
      <c r="DL547" s="4"/>
      <c r="DM547" s="4"/>
      <c r="DN547" s="4"/>
      <c r="DO547" s="4"/>
      <c r="DP547" s="4"/>
      <c r="DQ547" s="4"/>
      <c r="DR547" s="4"/>
      <c r="DS547" s="4"/>
      <c r="DT547" s="4"/>
      <c r="DU547" s="4"/>
      <c r="DV547" s="4"/>
    </row>
    <row r="548">
      <c r="A548" s="2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  <c r="CI548" s="4"/>
      <c r="CJ548" s="4"/>
      <c r="CK548" s="4"/>
      <c r="CL548" s="4"/>
      <c r="CM548" s="4"/>
      <c r="CN548" s="4"/>
      <c r="CO548" s="4"/>
      <c r="CP548" s="4"/>
      <c r="CQ548" s="4"/>
      <c r="CR548" s="4"/>
      <c r="CS548" s="4"/>
      <c r="CT548" s="4"/>
      <c r="CU548" s="4"/>
      <c r="CV548" s="4"/>
      <c r="CW548" s="4"/>
      <c r="CX548" s="4"/>
      <c r="CY548" s="4"/>
      <c r="CZ548" s="4"/>
      <c r="DA548" s="4"/>
      <c r="DB548" s="4"/>
      <c r="DC548" s="4"/>
      <c r="DD548" s="4"/>
      <c r="DE548" s="4"/>
      <c r="DF548" s="4"/>
      <c r="DG548" s="4"/>
      <c r="DH548" s="4"/>
      <c r="DI548" s="4"/>
      <c r="DJ548" s="4"/>
      <c r="DK548" s="4"/>
      <c r="DL548" s="4"/>
      <c r="DM548" s="4"/>
      <c r="DN548" s="4"/>
      <c r="DO548" s="4"/>
      <c r="DP548" s="4"/>
      <c r="DQ548" s="4"/>
      <c r="DR548" s="4"/>
      <c r="DS548" s="4"/>
      <c r="DT548" s="4"/>
      <c r="DU548" s="4"/>
      <c r="DV548" s="4"/>
    </row>
    <row r="549">
      <c r="A549" s="2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  <c r="CI549" s="4"/>
      <c r="CJ549" s="4"/>
      <c r="CK549" s="4"/>
      <c r="CL549" s="4"/>
      <c r="CM549" s="4"/>
      <c r="CN549" s="4"/>
      <c r="CO549" s="4"/>
      <c r="CP549" s="4"/>
      <c r="CQ549" s="4"/>
      <c r="CR549" s="4"/>
      <c r="CS549" s="4"/>
      <c r="CT549" s="4"/>
      <c r="CU549" s="4"/>
      <c r="CV549" s="4"/>
      <c r="CW549" s="4"/>
      <c r="CX549" s="4"/>
      <c r="CY549" s="4"/>
      <c r="CZ549" s="4"/>
      <c r="DA549" s="4"/>
      <c r="DB549" s="4"/>
      <c r="DC549" s="4"/>
      <c r="DD549" s="4"/>
      <c r="DE549" s="4"/>
      <c r="DF549" s="4"/>
      <c r="DG549" s="4"/>
      <c r="DH549" s="4"/>
      <c r="DI549" s="4"/>
      <c r="DJ549" s="4"/>
      <c r="DK549" s="4"/>
      <c r="DL549" s="4"/>
      <c r="DM549" s="4"/>
      <c r="DN549" s="4"/>
      <c r="DO549" s="4"/>
      <c r="DP549" s="4"/>
      <c r="DQ549" s="4"/>
      <c r="DR549" s="4"/>
      <c r="DS549" s="4"/>
      <c r="DT549" s="4"/>
      <c r="DU549" s="4"/>
      <c r="DV549" s="4"/>
    </row>
    <row r="550">
      <c r="A550" s="2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  <c r="CI550" s="4"/>
      <c r="CJ550" s="4"/>
      <c r="CK550" s="4"/>
      <c r="CL550" s="4"/>
      <c r="CM550" s="4"/>
      <c r="CN550" s="4"/>
      <c r="CO550" s="4"/>
      <c r="CP550" s="4"/>
      <c r="CQ550" s="4"/>
      <c r="CR550" s="4"/>
      <c r="CS550" s="4"/>
      <c r="CT550" s="4"/>
      <c r="CU550" s="4"/>
      <c r="CV550" s="4"/>
      <c r="CW550" s="4"/>
      <c r="CX550" s="4"/>
      <c r="CY550" s="4"/>
      <c r="CZ550" s="4"/>
      <c r="DA550" s="4"/>
      <c r="DB550" s="4"/>
      <c r="DC550" s="4"/>
      <c r="DD550" s="4"/>
      <c r="DE550" s="4"/>
      <c r="DF550" s="4"/>
      <c r="DG550" s="4"/>
      <c r="DH550" s="4"/>
      <c r="DI550" s="4"/>
      <c r="DJ550" s="4"/>
      <c r="DK550" s="4"/>
      <c r="DL550" s="4"/>
      <c r="DM550" s="4"/>
      <c r="DN550" s="4"/>
      <c r="DO550" s="4"/>
      <c r="DP550" s="4"/>
      <c r="DQ550" s="4"/>
      <c r="DR550" s="4"/>
      <c r="DS550" s="4"/>
      <c r="DT550" s="4"/>
      <c r="DU550" s="4"/>
      <c r="DV550" s="4"/>
    </row>
    <row r="551">
      <c r="A551" s="2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  <c r="CI551" s="4"/>
      <c r="CJ551" s="4"/>
      <c r="CK551" s="4"/>
      <c r="CL551" s="4"/>
      <c r="CM551" s="4"/>
      <c r="CN551" s="4"/>
      <c r="CO551" s="4"/>
      <c r="CP551" s="4"/>
      <c r="CQ551" s="4"/>
      <c r="CR551" s="4"/>
      <c r="CS551" s="4"/>
      <c r="CT551" s="4"/>
      <c r="CU551" s="4"/>
      <c r="CV551" s="4"/>
      <c r="CW551" s="4"/>
      <c r="CX551" s="4"/>
      <c r="CY551" s="4"/>
      <c r="CZ551" s="4"/>
      <c r="DA551" s="4"/>
      <c r="DB551" s="4"/>
      <c r="DC551" s="4"/>
      <c r="DD551" s="4"/>
      <c r="DE551" s="4"/>
      <c r="DF551" s="4"/>
      <c r="DG551" s="4"/>
      <c r="DH551" s="4"/>
      <c r="DI551" s="4"/>
      <c r="DJ551" s="4"/>
      <c r="DK551" s="4"/>
      <c r="DL551" s="4"/>
      <c r="DM551" s="4"/>
      <c r="DN551" s="4"/>
      <c r="DO551" s="4"/>
      <c r="DP551" s="4"/>
      <c r="DQ551" s="4"/>
      <c r="DR551" s="4"/>
      <c r="DS551" s="4"/>
      <c r="DT551" s="4"/>
      <c r="DU551" s="4"/>
      <c r="DV551" s="4"/>
    </row>
    <row r="552">
      <c r="A552" s="2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  <c r="CI552" s="4"/>
      <c r="CJ552" s="4"/>
      <c r="CK552" s="4"/>
      <c r="CL552" s="4"/>
      <c r="CM552" s="4"/>
      <c r="CN552" s="4"/>
      <c r="CO552" s="4"/>
      <c r="CP552" s="4"/>
      <c r="CQ552" s="4"/>
      <c r="CR552" s="4"/>
      <c r="CS552" s="4"/>
      <c r="CT552" s="4"/>
      <c r="CU552" s="4"/>
      <c r="CV552" s="4"/>
      <c r="CW552" s="4"/>
      <c r="CX552" s="4"/>
      <c r="CY552" s="4"/>
      <c r="CZ552" s="4"/>
      <c r="DA552" s="4"/>
      <c r="DB552" s="4"/>
      <c r="DC552" s="4"/>
      <c r="DD552" s="4"/>
      <c r="DE552" s="4"/>
      <c r="DF552" s="4"/>
      <c r="DG552" s="4"/>
      <c r="DH552" s="4"/>
      <c r="DI552" s="4"/>
      <c r="DJ552" s="4"/>
      <c r="DK552" s="4"/>
      <c r="DL552" s="4"/>
      <c r="DM552" s="4"/>
      <c r="DN552" s="4"/>
      <c r="DO552" s="4"/>
      <c r="DP552" s="4"/>
      <c r="DQ552" s="4"/>
      <c r="DR552" s="4"/>
      <c r="DS552" s="4"/>
      <c r="DT552" s="4"/>
      <c r="DU552" s="4"/>
      <c r="DV552" s="4"/>
    </row>
    <row r="553">
      <c r="A553" s="2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  <c r="CI553" s="4"/>
      <c r="CJ553" s="4"/>
      <c r="CK553" s="4"/>
      <c r="CL553" s="4"/>
      <c r="CM553" s="4"/>
      <c r="CN553" s="4"/>
      <c r="CO553" s="4"/>
      <c r="CP553" s="4"/>
      <c r="CQ553" s="4"/>
      <c r="CR553" s="4"/>
      <c r="CS553" s="4"/>
      <c r="CT553" s="4"/>
      <c r="CU553" s="4"/>
      <c r="CV553" s="4"/>
      <c r="CW553" s="4"/>
      <c r="CX553" s="4"/>
      <c r="CY553" s="4"/>
      <c r="CZ553" s="4"/>
      <c r="DA553" s="4"/>
      <c r="DB553" s="4"/>
      <c r="DC553" s="4"/>
      <c r="DD553" s="4"/>
      <c r="DE553" s="4"/>
      <c r="DF553" s="4"/>
      <c r="DG553" s="4"/>
      <c r="DH553" s="4"/>
      <c r="DI553" s="4"/>
      <c r="DJ553" s="4"/>
      <c r="DK553" s="4"/>
      <c r="DL553" s="4"/>
      <c r="DM553" s="4"/>
      <c r="DN553" s="4"/>
      <c r="DO553" s="4"/>
      <c r="DP553" s="4"/>
      <c r="DQ553" s="4"/>
      <c r="DR553" s="4"/>
      <c r="DS553" s="4"/>
      <c r="DT553" s="4"/>
      <c r="DU553" s="4"/>
      <c r="DV553" s="4"/>
    </row>
    <row r="554">
      <c r="A554" s="2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  <c r="CI554" s="4"/>
      <c r="CJ554" s="4"/>
      <c r="CK554" s="4"/>
      <c r="CL554" s="4"/>
      <c r="CM554" s="4"/>
      <c r="CN554" s="4"/>
      <c r="CO554" s="4"/>
      <c r="CP554" s="4"/>
      <c r="CQ554" s="4"/>
      <c r="CR554" s="4"/>
      <c r="CS554" s="4"/>
      <c r="CT554" s="4"/>
      <c r="CU554" s="4"/>
      <c r="CV554" s="4"/>
      <c r="CW554" s="4"/>
      <c r="CX554" s="4"/>
      <c r="CY554" s="4"/>
      <c r="CZ554" s="4"/>
      <c r="DA554" s="4"/>
      <c r="DB554" s="4"/>
      <c r="DC554" s="4"/>
      <c r="DD554" s="4"/>
      <c r="DE554" s="4"/>
      <c r="DF554" s="4"/>
      <c r="DG554" s="4"/>
      <c r="DH554" s="4"/>
      <c r="DI554" s="4"/>
      <c r="DJ554" s="4"/>
      <c r="DK554" s="4"/>
      <c r="DL554" s="4"/>
      <c r="DM554" s="4"/>
      <c r="DN554" s="4"/>
      <c r="DO554" s="4"/>
      <c r="DP554" s="4"/>
      <c r="DQ554" s="4"/>
      <c r="DR554" s="4"/>
      <c r="DS554" s="4"/>
      <c r="DT554" s="4"/>
      <c r="DU554" s="4"/>
      <c r="DV554" s="4"/>
    </row>
    <row r="555">
      <c r="A555" s="2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  <c r="CI555" s="4"/>
      <c r="CJ555" s="4"/>
      <c r="CK555" s="4"/>
      <c r="CL555" s="4"/>
      <c r="CM555" s="4"/>
      <c r="CN555" s="4"/>
      <c r="CO555" s="4"/>
      <c r="CP555" s="4"/>
      <c r="CQ555" s="4"/>
      <c r="CR555" s="4"/>
      <c r="CS555" s="4"/>
      <c r="CT555" s="4"/>
      <c r="CU555" s="4"/>
      <c r="CV555" s="4"/>
      <c r="CW555" s="4"/>
      <c r="CX555" s="4"/>
      <c r="CY555" s="4"/>
      <c r="CZ555" s="4"/>
      <c r="DA555" s="4"/>
      <c r="DB555" s="4"/>
      <c r="DC555" s="4"/>
      <c r="DD555" s="4"/>
      <c r="DE555" s="4"/>
      <c r="DF555" s="4"/>
      <c r="DG555" s="4"/>
      <c r="DH555" s="4"/>
      <c r="DI555" s="4"/>
      <c r="DJ555" s="4"/>
      <c r="DK555" s="4"/>
      <c r="DL555" s="4"/>
      <c r="DM555" s="4"/>
      <c r="DN555" s="4"/>
      <c r="DO555" s="4"/>
      <c r="DP555" s="4"/>
      <c r="DQ555" s="4"/>
      <c r="DR555" s="4"/>
      <c r="DS555" s="4"/>
      <c r="DT555" s="4"/>
      <c r="DU555" s="4"/>
      <c r="DV555" s="4"/>
    </row>
    <row r="556">
      <c r="A556" s="2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  <c r="CI556" s="4"/>
      <c r="CJ556" s="4"/>
      <c r="CK556" s="4"/>
      <c r="CL556" s="4"/>
      <c r="CM556" s="4"/>
      <c r="CN556" s="4"/>
      <c r="CO556" s="4"/>
      <c r="CP556" s="4"/>
      <c r="CQ556" s="4"/>
      <c r="CR556" s="4"/>
      <c r="CS556" s="4"/>
      <c r="CT556" s="4"/>
      <c r="CU556" s="4"/>
      <c r="CV556" s="4"/>
      <c r="CW556" s="4"/>
      <c r="CX556" s="4"/>
      <c r="CY556" s="4"/>
      <c r="CZ556" s="4"/>
      <c r="DA556" s="4"/>
      <c r="DB556" s="4"/>
      <c r="DC556" s="4"/>
      <c r="DD556" s="4"/>
      <c r="DE556" s="4"/>
      <c r="DF556" s="4"/>
      <c r="DG556" s="4"/>
      <c r="DH556" s="4"/>
      <c r="DI556" s="4"/>
      <c r="DJ556" s="4"/>
      <c r="DK556" s="4"/>
      <c r="DL556" s="4"/>
      <c r="DM556" s="4"/>
      <c r="DN556" s="4"/>
      <c r="DO556" s="4"/>
      <c r="DP556" s="4"/>
      <c r="DQ556" s="4"/>
      <c r="DR556" s="4"/>
      <c r="DS556" s="4"/>
      <c r="DT556" s="4"/>
      <c r="DU556" s="4"/>
      <c r="DV556" s="4"/>
    </row>
    <row r="557">
      <c r="A557" s="2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  <c r="CI557" s="4"/>
      <c r="CJ557" s="4"/>
      <c r="CK557" s="4"/>
      <c r="CL557" s="4"/>
      <c r="CM557" s="4"/>
      <c r="CN557" s="4"/>
      <c r="CO557" s="4"/>
      <c r="CP557" s="4"/>
      <c r="CQ557" s="4"/>
      <c r="CR557" s="4"/>
      <c r="CS557" s="4"/>
      <c r="CT557" s="4"/>
      <c r="CU557" s="4"/>
      <c r="CV557" s="4"/>
      <c r="CW557" s="4"/>
      <c r="CX557" s="4"/>
      <c r="CY557" s="4"/>
      <c r="CZ557" s="4"/>
      <c r="DA557" s="4"/>
      <c r="DB557" s="4"/>
      <c r="DC557" s="4"/>
      <c r="DD557" s="4"/>
      <c r="DE557" s="4"/>
      <c r="DF557" s="4"/>
      <c r="DG557" s="4"/>
      <c r="DH557" s="4"/>
      <c r="DI557" s="4"/>
      <c r="DJ557" s="4"/>
      <c r="DK557" s="4"/>
      <c r="DL557" s="4"/>
      <c r="DM557" s="4"/>
      <c r="DN557" s="4"/>
      <c r="DO557" s="4"/>
      <c r="DP557" s="4"/>
      <c r="DQ557" s="4"/>
      <c r="DR557" s="4"/>
      <c r="DS557" s="4"/>
      <c r="DT557" s="4"/>
      <c r="DU557" s="4"/>
      <c r="DV557" s="4"/>
    </row>
    <row r="558">
      <c r="A558" s="2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  <c r="CI558" s="4"/>
      <c r="CJ558" s="4"/>
      <c r="CK558" s="4"/>
      <c r="CL558" s="4"/>
      <c r="CM558" s="4"/>
      <c r="CN558" s="4"/>
      <c r="CO558" s="4"/>
      <c r="CP558" s="4"/>
      <c r="CQ558" s="4"/>
      <c r="CR558" s="4"/>
      <c r="CS558" s="4"/>
      <c r="CT558" s="4"/>
      <c r="CU558" s="4"/>
      <c r="CV558" s="4"/>
      <c r="CW558" s="4"/>
      <c r="CX558" s="4"/>
      <c r="CY558" s="4"/>
      <c r="CZ558" s="4"/>
      <c r="DA558" s="4"/>
      <c r="DB558" s="4"/>
      <c r="DC558" s="4"/>
      <c r="DD558" s="4"/>
      <c r="DE558" s="4"/>
      <c r="DF558" s="4"/>
      <c r="DG558" s="4"/>
      <c r="DH558" s="4"/>
      <c r="DI558" s="4"/>
      <c r="DJ558" s="4"/>
      <c r="DK558" s="4"/>
      <c r="DL558" s="4"/>
      <c r="DM558" s="4"/>
      <c r="DN558" s="4"/>
      <c r="DO558" s="4"/>
      <c r="DP558" s="4"/>
      <c r="DQ558" s="4"/>
      <c r="DR558" s="4"/>
      <c r="DS558" s="4"/>
      <c r="DT558" s="4"/>
      <c r="DU558" s="4"/>
      <c r="DV558" s="4"/>
    </row>
    <row r="559">
      <c r="A559" s="2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  <c r="CI559" s="4"/>
      <c r="CJ559" s="4"/>
      <c r="CK559" s="4"/>
      <c r="CL559" s="4"/>
      <c r="CM559" s="4"/>
      <c r="CN559" s="4"/>
      <c r="CO559" s="4"/>
      <c r="CP559" s="4"/>
      <c r="CQ559" s="4"/>
      <c r="CR559" s="4"/>
      <c r="CS559" s="4"/>
      <c r="CT559" s="4"/>
      <c r="CU559" s="4"/>
      <c r="CV559" s="4"/>
      <c r="CW559" s="4"/>
      <c r="CX559" s="4"/>
      <c r="CY559" s="4"/>
      <c r="CZ559" s="4"/>
      <c r="DA559" s="4"/>
      <c r="DB559" s="4"/>
      <c r="DC559" s="4"/>
      <c r="DD559" s="4"/>
      <c r="DE559" s="4"/>
      <c r="DF559" s="4"/>
      <c r="DG559" s="4"/>
      <c r="DH559" s="4"/>
      <c r="DI559" s="4"/>
      <c r="DJ559" s="4"/>
      <c r="DK559" s="4"/>
      <c r="DL559" s="4"/>
      <c r="DM559" s="4"/>
      <c r="DN559" s="4"/>
      <c r="DO559" s="4"/>
      <c r="DP559" s="4"/>
      <c r="DQ559" s="4"/>
      <c r="DR559" s="4"/>
      <c r="DS559" s="4"/>
      <c r="DT559" s="4"/>
      <c r="DU559" s="4"/>
      <c r="DV559" s="4"/>
    </row>
    <row r="560">
      <c r="A560" s="2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  <c r="CI560" s="4"/>
      <c r="CJ560" s="4"/>
      <c r="CK560" s="4"/>
      <c r="CL560" s="4"/>
      <c r="CM560" s="4"/>
      <c r="CN560" s="4"/>
      <c r="CO560" s="4"/>
      <c r="CP560" s="4"/>
      <c r="CQ560" s="4"/>
      <c r="CR560" s="4"/>
      <c r="CS560" s="4"/>
      <c r="CT560" s="4"/>
      <c r="CU560" s="4"/>
      <c r="CV560" s="4"/>
      <c r="CW560" s="4"/>
      <c r="CX560" s="4"/>
      <c r="CY560" s="4"/>
      <c r="CZ560" s="4"/>
      <c r="DA560" s="4"/>
      <c r="DB560" s="4"/>
      <c r="DC560" s="4"/>
      <c r="DD560" s="4"/>
      <c r="DE560" s="4"/>
      <c r="DF560" s="4"/>
      <c r="DG560" s="4"/>
      <c r="DH560" s="4"/>
      <c r="DI560" s="4"/>
      <c r="DJ560" s="4"/>
      <c r="DK560" s="4"/>
      <c r="DL560" s="4"/>
      <c r="DM560" s="4"/>
      <c r="DN560" s="4"/>
      <c r="DO560" s="4"/>
      <c r="DP560" s="4"/>
      <c r="DQ560" s="4"/>
      <c r="DR560" s="4"/>
      <c r="DS560" s="4"/>
      <c r="DT560" s="4"/>
      <c r="DU560" s="4"/>
      <c r="DV560" s="4"/>
    </row>
    <row r="561">
      <c r="A561" s="2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  <c r="CI561" s="4"/>
      <c r="CJ561" s="4"/>
      <c r="CK561" s="4"/>
      <c r="CL561" s="4"/>
      <c r="CM561" s="4"/>
      <c r="CN561" s="4"/>
      <c r="CO561" s="4"/>
      <c r="CP561" s="4"/>
      <c r="CQ561" s="4"/>
      <c r="CR561" s="4"/>
      <c r="CS561" s="4"/>
      <c r="CT561" s="4"/>
      <c r="CU561" s="4"/>
      <c r="CV561" s="4"/>
      <c r="CW561" s="4"/>
      <c r="CX561" s="4"/>
      <c r="CY561" s="4"/>
      <c r="CZ561" s="4"/>
      <c r="DA561" s="4"/>
      <c r="DB561" s="4"/>
      <c r="DC561" s="4"/>
      <c r="DD561" s="4"/>
      <c r="DE561" s="4"/>
      <c r="DF561" s="4"/>
      <c r="DG561" s="4"/>
      <c r="DH561" s="4"/>
      <c r="DI561" s="4"/>
      <c r="DJ561" s="4"/>
      <c r="DK561" s="4"/>
      <c r="DL561" s="4"/>
      <c r="DM561" s="4"/>
      <c r="DN561" s="4"/>
      <c r="DO561" s="4"/>
      <c r="DP561" s="4"/>
      <c r="DQ561" s="4"/>
      <c r="DR561" s="4"/>
      <c r="DS561" s="4"/>
      <c r="DT561" s="4"/>
      <c r="DU561" s="4"/>
      <c r="DV561" s="4"/>
    </row>
    <row r="562">
      <c r="A562" s="2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  <c r="CI562" s="4"/>
      <c r="CJ562" s="4"/>
      <c r="CK562" s="4"/>
      <c r="CL562" s="4"/>
      <c r="CM562" s="4"/>
      <c r="CN562" s="4"/>
      <c r="CO562" s="4"/>
      <c r="CP562" s="4"/>
      <c r="CQ562" s="4"/>
      <c r="CR562" s="4"/>
      <c r="CS562" s="4"/>
      <c r="CT562" s="4"/>
      <c r="CU562" s="4"/>
      <c r="CV562" s="4"/>
      <c r="CW562" s="4"/>
      <c r="CX562" s="4"/>
      <c r="CY562" s="4"/>
      <c r="CZ562" s="4"/>
      <c r="DA562" s="4"/>
      <c r="DB562" s="4"/>
      <c r="DC562" s="4"/>
      <c r="DD562" s="4"/>
      <c r="DE562" s="4"/>
      <c r="DF562" s="4"/>
      <c r="DG562" s="4"/>
      <c r="DH562" s="4"/>
      <c r="DI562" s="4"/>
      <c r="DJ562" s="4"/>
      <c r="DK562" s="4"/>
      <c r="DL562" s="4"/>
      <c r="DM562" s="4"/>
      <c r="DN562" s="4"/>
      <c r="DO562" s="4"/>
      <c r="DP562" s="4"/>
      <c r="DQ562" s="4"/>
      <c r="DR562" s="4"/>
      <c r="DS562" s="4"/>
      <c r="DT562" s="4"/>
      <c r="DU562" s="4"/>
      <c r="DV562" s="4"/>
    </row>
    <row r="563">
      <c r="A563" s="2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  <c r="CI563" s="4"/>
      <c r="CJ563" s="4"/>
      <c r="CK563" s="4"/>
      <c r="CL563" s="4"/>
      <c r="CM563" s="4"/>
      <c r="CN563" s="4"/>
      <c r="CO563" s="4"/>
      <c r="CP563" s="4"/>
      <c r="CQ563" s="4"/>
      <c r="CR563" s="4"/>
      <c r="CS563" s="4"/>
      <c r="CT563" s="4"/>
      <c r="CU563" s="4"/>
      <c r="CV563" s="4"/>
      <c r="CW563" s="4"/>
      <c r="CX563" s="4"/>
      <c r="CY563" s="4"/>
      <c r="CZ563" s="4"/>
      <c r="DA563" s="4"/>
      <c r="DB563" s="4"/>
      <c r="DC563" s="4"/>
      <c r="DD563" s="4"/>
      <c r="DE563" s="4"/>
      <c r="DF563" s="4"/>
      <c r="DG563" s="4"/>
      <c r="DH563" s="4"/>
      <c r="DI563" s="4"/>
      <c r="DJ563" s="4"/>
      <c r="DK563" s="4"/>
      <c r="DL563" s="4"/>
      <c r="DM563" s="4"/>
      <c r="DN563" s="4"/>
      <c r="DO563" s="4"/>
      <c r="DP563" s="4"/>
      <c r="DQ563" s="4"/>
      <c r="DR563" s="4"/>
      <c r="DS563" s="4"/>
      <c r="DT563" s="4"/>
      <c r="DU563" s="4"/>
      <c r="DV563" s="4"/>
    </row>
    <row r="564">
      <c r="A564" s="2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  <c r="CI564" s="4"/>
      <c r="CJ564" s="4"/>
      <c r="CK564" s="4"/>
      <c r="CL564" s="4"/>
      <c r="CM564" s="4"/>
      <c r="CN564" s="4"/>
      <c r="CO564" s="4"/>
      <c r="CP564" s="4"/>
      <c r="CQ564" s="4"/>
      <c r="CR564" s="4"/>
      <c r="CS564" s="4"/>
      <c r="CT564" s="4"/>
      <c r="CU564" s="4"/>
      <c r="CV564" s="4"/>
      <c r="CW564" s="4"/>
      <c r="CX564" s="4"/>
      <c r="CY564" s="4"/>
      <c r="CZ564" s="4"/>
      <c r="DA564" s="4"/>
      <c r="DB564" s="4"/>
      <c r="DC564" s="4"/>
      <c r="DD564" s="4"/>
      <c r="DE564" s="4"/>
      <c r="DF564" s="4"/>
      <c r="DG564" s="4"/>
      <c r="DH564" s="4"/>
      <c r="DI564" s="4"/>
      <c r="DJ564" s="4"/>
      <c r="DK564" s="4"/>
      <c r="DL564" s="4"/>
      <c r="DM564" s="4"/>
      <c r="DN564" s="4"/>
      <c r="DO564" s="4"/>
      <c r="DP564" s="4"/>
      <c r="DQ564" s="4"/>
      <c r="DR564" s="4"/>
      <c r="DS564" s="4"/>
      <c r="DT564" s="4"/>
      <c r="DU564" s="4"/>
      <c r="DV564" s="4"/>
    </row>
    <row r="565">
      <c r="A565" s="2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  <c r="CI565" s="4"/>
      <c r="CJ565" s="4"/>
      <c r="CK565" s="4"/>
      <c r="CL565" s="4"/>
      <c r="CM565" s="4"/>
      <c r="CN565" s="4"/>
      <c r="CO565" s="4"/>
      <c r="CP565" s="4"/>
      <c r="CQ565" s="4"/>
      <c r="CR565" s="4"/>
      <c r="CS565" s="4"/>
      <c r="CT565" s="4"/>
      <c r="CU565" s="4"/>
      <c r="CV565" s="4"/>
      <c r="CW565" s="4"/>
      <c r="CX565" s="4"/>
      <c r="CY565" s="4"/>
      <c r="CZ565" s="4"/>
      <c r="DA565" s="4"/>
      <c r="DB565" s="4"/>
      <c r="DC565" s="4"/>
      <c r="DD565" s="4"/>
      <c r="DE565" s="4"/>
      <c r="DF565" s="4"/>
      <c r="DG565" s="4"/>
      <c r="DH565" s="4"/>
      <c r="DI565" s="4"/>
      <c r="DJ565" s="4"/>
      <c r="DK565" s="4"/>
      <c r="DL565" s="4"/>
      <c r="DM565" s="4"/>
      <c r="DN565" s="4"/>
      <c r="DO565" s="4"/>
      <c r="DP565" s="4"/>
      <c r="DQ565" s="4"/>
      <c r="DR565" s="4"/>
      <c r="DS565" s="4"/>
      <c r="DT565" s="4"/>
      <c r="DU565" s="4"/>
      <c r="DV565" s="4"/>
    </row>
    <row r="566">
      <c r="A566" s="2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  <c r="CI566" s="4"/>
      <c r="CJ566" s="4"/>
      <c r="CK566" s="4"/>
      <c r="CL566" s="4"/>
      <c r="CM566" s="4"/>
      <c r="CN566" s="4"/>
      <c r="CO566" s="4"/>
      <c r="CP566" s="4"/>
      <c r="CQ566" s="4"/>
      <c r="CR566" s="4"/>
      <c r="CS566" s="4"/>
      <c r="CT566" s="4"/>
      <c r="CU566" s="4"/>
      <c r="CV566" s="4"/>
      <c r="CW566" s="4"/>
      <c r="CX566" s="4"/>
      <c r="CY566" s="4"/>
      <c r="CZ566" s="4"/>
      <c r="DA566" s="4"/>
      <c r="DB566" s="4"/>
      <c r="DC566" s="4"/>
      <c r="DD566" s="4"/>
      <c r="DE566" s="4"/>
      <c r="DF566" s="4"/>
      <c r="DG566" s="4"/>
      <c r="DH566" s="4"/>
      <c r="DI566" s="4"/>
      <c r="DJ566" s="4"/>
      <c r="DK566" s="4"/>
      <c r="DL566" s="4"/>
      <c r="DM566" s="4"/>
      <c r="DN566" s="4"/>
      <c r="DO566" s="4"/>
      <c r="DP566" s="4"/>
      <c r="DQ566" s="4"/>
      <c r="DR566" s="4"/>
      <c r="DS566" s="4"/>
      <c r="DT566" s="4"/>
      <c r="DU566" s="4"/>
      <c r="DV566" s="4"/>
    </row>
    <row r="567">
      <c r="A567" s="2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  <c r="CI567" s="4"/>
      <c r="CJ567" s="4"/>
      <c r="CK567" s="4"/>
      <c r="CL567" s="4"/>
      <c r="CM567" s="4"/>
      <c r="CN567" s="4"/>
      <c r="CO567" s="4"/>
      <c r="CP567" s="4"/>
      <c r="CQ567" s="4"/>
      <c r="CR567" s="4"/>
      <c r="CS567" s="4"/>
      <c r="CT567" s="4"/>
      <c r="CU567" s="4"/>
      <c r="CV567" s="4"/>
      <c r="CW567" s="4"/>
      <c r="CX567" s="4"/>
      <c r="CY567" s="4"/>
      <c r="CZ567" s="4"/>
      <c r="DA567" s="4"/>
      <c r="DB567" s="4"/>
      <c r="DC567" s="4"/>
      <c r="DD567" s="4"/>
      <c r="DE567" s="4"/>
      <c r="DF567" s="4"/>
      <c r="DG567" s="4"/>
      <c r="DH567" s="4"/>
      <c r="DI567" s="4"/>
      <c r="DJ567" s="4"/>
      <c r="DK567" s="4"/>
      <c r="DL567" s="4"/>
      <c r="DM567" s="4"/>
      <c r="DN567" s="4"/>
      <c r="DO567" s="4"/>
      <c r="DP567" s="4"/>
      <c r="DQ567" s="4"/>
      <c r="DR567" s="4"/>
      <c r="DS567" s="4"/>
      <c r="DT567" s="4"/>
      <c r="DU567" s="4"/>
      <c r="DV567" s="4"/>
    </row>
    <row r="568">
      <c r="A568" s="2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  <c r="CI568" s="4"/>
      <c r="CJ568" s="4"/>
      <c r="CK568" s="4"/>
      <c r="CL568" s="4"/>
      <c r="CM568" s="4"/>
      <c r="CN568" s="4"/>
      <c r="CO568" s="4"/>
      <c r="CP568" s="4"/>
      <c r="CQ568" s="4"/>
      <c r="CR568" s="4"/>
      <c r="CS568" s="4"/>
      <c r="CT568" s="4"/>
      <c r="CU568" s="4"/>
      <c r="CV568" s="4"/>
      <c r="CW568" s="4"/>
      <c r="CX568" s="4"/>
      <c r="CY568" s="4"/>
      <c r="CZ568" s="4"/>
      <c r="DA568" s="4"/>
      <c r="DB568" s="4"/>
      <c r="DC568" s="4"/>
      <c r="DD568" s="4"/>
      <c r="DE568" s="4"/>
      <c r="DF568" s="4"/>
      <c r="DG568" s="4"/>
      <c r="DH568" s="4"/>
      <c r="DI568" s="4"/>
      <c r="DJ568" s="4"/>
      <c r="DK568" s="4"/>
      <c r="DL568" s="4"/>
      <c r="DM568" s="4"/>
      <c r="DN568" s="4"/>
      <c r="DO568" s="4"/>
      <c r="DP568" s="4"/>
      <c r="DQ568" s="4"/>
      <c r="DR568" s="4"/>
      <c r="DS568" s="4"/>
      <c r="DT568" s="4"/>
      <c r="DU568" s="4"/>
      <c r="DV568" s="4"/>
    </row>
    <row r="569">
      <c r="A569" s="2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  <c r="CI569" s="4"/>
      <c r="CJ569" s="4"/>
      <c r="CK569" s="4"/>
      <c r="CL569" s="4"/>
      <c r="CM569" s="4"/>
      <c r="CN569" s="4"/>
      <c r="CO569" s="4"/>
      <c r="CP569" s="4"/>
      <c r="CQ569" s="4"/>
      <c r="CR569" s="4"/>
      <c r="CS569" s="4"/>
      <c r="CT569" s="4"/>
      <c r="CU569" s="4"/>
      <c r="CV569" s="4"/>
      <c r="CW569" s="4"/>
      <c r="CX569" s="4"/>
      <c r="CY569" s="4"/>
      <c r="CZ569" s="4"/>
      <c r="DA569" s="4"/>
      <c r="DB569" s="4"/>
      <c r="DC569" s="4"/>
      <c r="DD569" s="4"/>
      <c r="DE569" s="4"/>
      <c r="DF569" s="4"/>
      <c r="DG569" s="4"/>
      <c r="DH569" s="4"/>
      <c r="DI569" s="4"/>
      <c r="DJ569" s="4"/>
      <c r="DK569" s="4"/>
      <c r="DL569" s="4"/>
      <c r="DM569" s="4"/>
      <c r="DN569" s="4"/>
      <c r="DO569" s="4"/>
      <c r="DP569" s="4"/>
      <c r="DQ569" s="4"/>
      <c r="DR569" s="4"/>
      <c r="DS569" s="4"/>
      <c r="DT569" s="4"/>
      <c r="DU569" s="4"/>
      <c r="DV569" s="4"/>
    </row>
    <row r="570">
      <c r="A570" s="2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  <c r="CI570" s="4"/>
      <c r="CJ570" s="4"/>
      <c r="CK570" s="4"/>
      <c r="CL570" s="4"/>
      <c r="CM570" s="4"/>
      <c r="CN570" s="4"/>
      <c r="CO570" s="4"/>
      <c r="CP570" s="4"/>
      <c r="CQ570" s="4"/>
      <c r="CR570" s="4"/>
      <c r="CS570" s="4"/>
      <c r="CT570" s="4"/>
      <c r="CU570" s="4"/>
      <c r="CV570" s="4"/>
      <c r="CW570" s="4"/>
      <c r="CX570" s="4"/>
      <c r="CY570" s="4"/>
      <c r="CZ570" s="4"/>
      <c r="DA570" s="4"/>
      <c r="DB570" s="4"/>
      <c r="DC570" s="4"/>
      <c r="DD570" s="4"/>
      <c r="DE570" s="4"/>
      <c r="DF570" s="4"/>
      <c r="DG570" s="4"/>
      <c r="DH570" s="4"/>
      <c r="DI570" s="4"/>
      <c r="DJ570" s="4"/>
      <c r="DK570" s="4"/>
      <c r="DL570" s="4"/>
      <c r="DM570" s="4"/>
      <c r="DN570" s="4"/>
      <c r="DO570" s="4"/>
      <c r="DP570" s="4"/>
      <c r="DQ570" s="4"/>
      <c r="DR570" s="4"/>
      <c r="DS570" s="4"/>
      <c r="DT570" s="4"/>
      <c r="DU570" s="4"/>
      <c r="DV570" s="4"/>
    </row>
    <row r="571">
      <c r="A571" s="2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  <c r="CI571" s="4"/>
      <c r="CJ571" s="4"/>
      <c r="CK571" s="4"/>
      <c r="CL571" s="4"/>
      <c r="CM571" s="4"/>
      <c r="CN571" s="4"/>
      <c r="CO571" s="4"/>
      <c r="CP571" s="4"/>
      <c r="CQ571" s="4"/>
      <c r="CR571" s="4"/>
      <c r="CS571" s="4"/>
      <c r="CT571" s="4"/>
      <c r="CU571" s="4"/>
      <c r="CV571" s="4"/>
      <c r="CW571" s="4"/>
      <c r="CX571" s="4"/>
      <c r="CY571" s="4"/>
      <c r="CZ571" s="4"/>
      <c r="DA571" s="4"/>
      <c r="DB571" s="4"/>
      <c r="DC571" s="4"/>
      <c r="DD571" s="4"/>
      <c r="DE571" s="4"/>
      <c r="DF571" s="4"/>
      <c r="DG571" s="4"/>
      <c r="DH571" s="4"/>
      <c r="DI571" s="4"/>
      <c r="DJ571" s="4"/>
      <c r="DK571" s="4"/>
      <c r="DL571" s="4"/>
      <c r="DM571" s="4"/>
      <c r="DN571" s="4"/>
      <c r="DO571" s="4"/>
      <c r="DP571" s="4"/>
      <c r="DQ571" s="4"/>
      <c r="DR571" s="4"/>
      <c r="DS571" s="4"/>
      <c r="DT571" s="4"/>
      <c r="DU571" s="4"/>
      <c r="DV571" s="4"/>
    </row>
    <row r="572">
      <c r="A572" s="2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  <c r="CI572" s="4"/>
      <c r="CJ572" s="4"/>
      <c r="CK572" s="4"/>
      <c r="CL572" s="4"/>
      <c r="CM572" s="4"/>
      <c r="CN572" s="4"/>
      <c r="CO572" s="4"/>
      <c r="CP572" s="4"/>
      <c r="CQ572" s="4"/>
      <c r="CR572" s="4"/>
      <c r="CS572" s="4"/>
      <c r="CT572" s="4"/>
      <c r="CU572" s="4"/>
      <c r="CV572" s="4"/>
      <c r="CW572" s="4"/>
      <c r="CX572" s="4"/>
      <c r="CY572" s="4"/>
      <c r="CZ572" s="4"/>
      <c r="DA572" s="4"/>
      <c r="DB572" s="4"/>
      <c r="DC572" s="4"/>
      <c r="DD572" s="4"/>
      <c r="DE572" s="4"/>
      <c r="DF572" s="4"/>
      <c r="DG572" s="4"/>
      <c r="DH572" s="4"/>
      <c r="DI572" s="4"/>
      <c r="DJ572" s="4"/>
      <c r="DK572" s="4"/>
      <c r="DL572" s="4"/>
      <c r="DM572" s="4"/>
      <c r="DN572" s="4"/>
      <c r="DO572" s="4"/>
      <c r="DP572" s="4"/>
      <c r="DQ572" s="4"/>
      <c r="DR572" s="4"/>
      <c r="DS572" s="4"/>
      <c r="DT572" s="4"/>
      <c r="DU572" s="4"/>
      <c r="DV572" s="4"/>
    </row>
    <row r="573">
      <c r="A573" s="2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  <c r="CI573" s="4"/>
      <c r="CJ573" s="4"/>
      <c r="CK573" s="4"/>
      <c r="CL573" s="4"/>
      <c r="CM573" s="4"/>
      <c r="CN573" s="4"/>
      <c r="CO573" s="4"/>
      <c r="CP573" s="4"/>
      <c r="CQ573" s="4"/>
      <c r="CR573" s="4"/>
      <c r="CS573" s="4"/>
      <c r="CT573" s="4"/>
      <c r="CU573" s="4"/>
      <c r="CV573" s="4"/>
      <c r="CW573" s="4"/>
      <c r="CX573" s="4"/>
      <c r="CY573" s="4"/>
      <c r="CZ573" s="4"/>
      <c r="DA573" s="4"/>
      <c r="DB573" s="4"/>
      <c r="DC573" s="4"/>
      <c r="DD573" s="4"/>
      <c r="DE573" s="4"/>
      <c r="DF573" s="4"/>
      <c r="DG573" s="4"/>
      <c r="DH573" s="4"/>
      <c r="DI573" s="4"/>
      <c r="DJ573" s="4"/>
      <c r="DK573" s="4"/>
      <c r="DL573" s="4"/>
      <c r="DM573" s="4"/>
      <c r="DN573" s="4"/>
      <c r="DO573" s="4"/>
      <c r="DP573" s="4"/>
      <c r="DQ573" s="4"/>
      <c r="DR573" s="4"/>
      <c r="DS573" s="4"/>
      <c r="DT573" s="4"/>
      <c r="DU573" s="4"/>
      <c r="DV573" s="4"/>
    </row>
    <row r="574">
      <c r="A574" s="2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  <c r="CI574" s="4"/>
      <c r="CJ574" s="4"/>
      <c r="CK574" s="4"/>
      <c r="CL574" s="4"/>
      <c r="CM574" s="4"/>
      <c r="CN574" s="4"/>
      <c r="CO574" s="4"/>
      <c r="CP574" s="4"/>
      <c r="CQ574" s="4"/>
      <c r="CR574" s="4"/>
      <c r="CS574" s="4"/>
      <c r="CT574" s="4"/>
      <c r="CU574" s="4"/>
      <c r="CV574" s="4"/>
      <c r="CW574" s="4"/>
      <c r="CX574" s="4"/>
      <c r="CY574" s="4"/>
      <c r="CZ574" s="4"/>
      <c r="DA574" s="4"/>
      <c r="DB574" s="4"/>
      <c r="DC574" s="4"/>
      <c r="DD574" s="4"/>
      <c r="DE574" s="4"/>
      <c r="DF574" s="4"/>
      <c r="DG574" s="4"/>
      <c r="DH574" s="4"/>
      <c r="DI574" s="4"/>
      <c r="DJ574" s="4"/>
      <c r="DK574" s="4"/>
      <c r="DL574" s="4"/>
      <c r="DM574" s="4"/>
      <c r="DN574" s="4"/>
      <c r="DO574" s="4"/>
      <c r="DP574" s="4"/>
      <c r="DQ574" s="4"/>
      <c r="DR574" s="4"/>
      <c r="DS574" s="4"/>
      <c r="DT574" s="4"/>
      <c r="DU574" s="4"/>
      <c r="DV574" s="4"/>
    </row>
    <row r="575">
      <c r="A575" s="2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  <c r="CI575" s="4"/>
      <c r="CJ575" s="4"/>
      <c r="CK575" s="4"/>
      <c r="CL575" s="4"/>
      <c r="CM575" s="4"/>
      <c r="CN575" s="4"/>
      <c r="CO575" s="4"/>
      <c r="CP575" s="4"/>
      <c r="CQ575" s="4"/>
      <c r="CR575" s="4"/>
      <c r="CS575" s="4"/>
      <c r="CT575" s="4"/>
      <c r="CU575" s="4"/>
      <c r="CV575" s="4"/>
      <c r="CW575" s="4"/>
      <c r="CX575" s="4"/>
      <c r="CY575" s="4"/>
      <c r="CZ575" s="4"/>
      <c r="DA575" s="4"/>
      <c r="DB575" s="4"/>
      <c r="DC575" s="4"/>
      <c r="DD575" s="4"/>
      <c r="DE575" s="4"/>
      <c r="DF575" s="4"/>
      <c r="DG575" s="4"/>
      <c r="DH575" s="4"/>
      <c r="DI575" s="4"/>
      <c r="DJ575" s="4"/>
      <c r="DK575" s="4"/>
      <c r="DL575" s="4"/>
      <c r="DM575" s="4"/>
      <c r="DN575" s="4"/>
      <c r="DO575" s="4"/>
      <c r="DP575" s="4"/>
      <c r="DQ575" s="4"/>
      <c r="DR575" s="4"/>
      <c r="DS575" s="4"/>
      <c r="DT575" s="4"/>
      <c r="DU575" s="4"/>
      <c r="DV575" s="4"/>
    </row>
    <row r="576">
      <c r="A576" s="2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  <c r="CI576" s="4"/>
      <c r="CJ576" s="4"/>
      <c r="CK576" s="4"/>
      <c r="CL576" s="4"/>
      <c r="CM576" s="4"/>
      <c r="CN576" s="4"/>
      <c r="CO576" s="4"/>
      <c r="CP576" s="4"/>
      <c r="CQ576" s="4"/>
      <c r="CR576" s="4"/>
      <c r="CS576" s="4"/>
      <c r="CT576" s="4"/>
      <c r="CU576" s="4"/>
      <c r="CV576" s="4"/>
      <c r="CW576" s="4"/>
      <c r="CX576" s="4"/>
      <c r="CY576" s="4"/>
      <c r="CZ576" s="4"/>
      <c r="DA576" s="4"/>
      <c r="DB576" s="4"/>
      <c r="DC576" s="4"/>
      <c r="DD576" s="4"/>
      <c r="DE576" s="4"/>
      <c r="DF576" s="4"/>
      <c r="DG576" s="4"/>
      <c r="DH576" s="4"/>
      <c r="DI576" s="4"/>
      <c r="DJ576" s="4"/>
      <c r="DK576" s="4"/>
      <c r="DL576" s="4"/>
      <c r="DM576" s="4"/>
      <c r="DN576" s="4"/>
      <c r="DO576" s="4"/>
      <c r="DP576" s="4"/>
      <c r="DQ576" s="4"/>
      <c r="DR576" s="4"/>
      <c r="DS576" s="4"/>
      <c r="DT576" s="4"/>
      <c r="DU576" s="4"/>
      <c r="DV576" s="4"/>
    </row>
    <row r="577">
      <c r="A577" s="2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  <c r="CI577" s="4"/>
      <c r="CJ577" s="4"/>
      <c r="CK577" s="4"/>
      <c r="CL577" s="4"/>
      <c r="CM577" s="4"/>
      <c r="CN577" s="4"/>
      <c r="CO577" s="4"/>
      <c r="CP577" s="4"/>
      <c r="CQ577" s="4"/>
      <c r="CR577" s="4"/>
      <c r="CS577" s="4"/>
      <c r="CT577" s="4"/>
      <c r="CU577" s="4"/>
      <c r="CV577" s="4"/>
      <c r="CW577" s="4"/>
      <c r="CX577" s="4"/>
      <c r="CY577" s="4"/>
      <c r="CZ577" s="4"/>
      <c r="DA577" s="4"/>
      <c r="DB577" s="4"/>
      <c r="DC577" s="4"/>
      <c r="DD577" s="4"/>
      <c r="DE577" s="4"/>
      <c r="DF577" s="4"/>
      <c r="DG577" s="4"/>
      <c r="DH577" s="4"/>
      <c r="DI577" s="4"/>
      <c r="DJ577" s="4"/>
      <c r="DK577" s="4"/>
      <c r="DL577" s="4"/>
      <c r="DM577" s="4"/>
      <c r="DN577" s="4"/>
      <c r="DO577" s="4"/>
      <c r="DP577" s="4"/>
      <c r="DQ577" s="4"/>
      <c r="DR577" s="4"/>
      <c r="DS577" s="4"/>
      <c r="DT577" s="4"/>
      <c r="DU577" s="4"/>
      <c r="DV577" s="4"/>
    </row>
    <row r="578">
      <c r="A578" s="2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  <c r="CI578" s="4"/>
      <c r="CJ578" s="4"/>
      <c r="CK578" s="4"/>
      <c r="CL578" s="4"/>
      <c r="CM578" s="4"/>
      <c r="CN578" s="4"/>
      <c r="CO578" s="4"/>
      <c r="CP578" s="4"/>
      <c r="CQ578" s="4"/>
      <c r="CR578" s="4"/>
      <c r="CS578" s="4"/>
      <c r="CT578" s="4"/>
      <c r="CU578" s="4"/>
      <c r="CV578" s="4"/>
      <c r="CW578" s="4"/>
      <c r="CX578" s="4"/>
      <c r="CY578" s="4"/>
      <c r="CZ578" s="4"/>
      <c r="DA578" s="4"/>
      <c r="DB578" s="4"/>
      <c r="DC578" s="4"/>
      <c r="DD578" s="4"/>
      <c r="DE578" s="4"/>
      <c r="DF578" s="4"/>
      <c r="DG578" s="4"/>
      <c r="DH578" s="4"/>
      <c r="DI578" s="4"/>
      <c r="DJ578" s="4"/>
      <c r="DK578" s="4"/>
      <c r="DL578" s="4"/>
      <c r="DM578" s="4"/>
      <c r="DN578" s="4"/>
      <c r="DO578" s="4"/>
      <c r="DP578" s="4"/>
      <c r="DQ578" s="4"/>
      <c r="DR578" s="4"/>
      <c r="DS578" s="4"/>
      <c r="DT578" s="4"/>
      <c r="DU578" s="4"/>
      <c r="DV578" s="4"/>
    </row>
    <row r="579">
      <c r="A579" s="2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  <c r="CI579" s="4"/>
      <c r="CJ579" s="4"/>
      <c r="CK579" s="4"/>
      <c r="CL579" s="4"/>
      <c r="CM579" s="4"/>
      <c r="CN579" s="4"/>
      <c r="CO579" s="4"/>
      <c r="CP579" s="4"/>
      <c r="CQ579" s="4"/>
      <c r="CR579" s="4"/>
      <c r="CS579" s="4"/>
      <c r="CT579" s="4"/>
      <c r="CU579" s="4"/>
      <c r="CV579" s="4"/>
      <c r="CW579" s="4"/>
      <c r="CX579" s="4"/>
      <c r="CY579" s="4"/>
      <c r="CZ579" s="4"/>
      <c r="DA579" s="4"/>
      <c r="DB579" s="4"/>
      <c r="DC579" s="4"/>
      <c r="DD579" s="4"/>
      <c r="DE579" s="4"/>
      <c r="DF579" s="4"/>
      <c r="DG579" s="4"/>
      <c r="DH579" s="4"/>
      <c r="DI579" s="4"/>
      <c r="DJ579" s="4"/>
      <c r="DK579" s="4"/>
      <c r="DL579" s="4"/>
      <c r="DM579" s="4"/>
      <c r="DN579" s="4"/>
      <c r="DO579" s="4"/>
      <c r="DP579" s="4"/>
      <c r="DQ579" s="4"/>
      <c r="DR579" s="4"/>
      <c r="DS579" s="4"/>
      <c r="DT579" s="4"/>
      <c r="DU579" s="4"/>
      <c r="DV579" s="4"/>
    </row>
    <row r="580">
      <c r="A580" s="2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  <c r="CI580" s="4"/>
      <c r="CJ580" s="4"/>
      <c r="CK580" s="4"/>
      <c r="CL580" s="4"/>
      <c r="CM580" s="4"/>
      <c r="CN580" s="4"/>
      <c r="CO580" s="4"/>
      <c r="CP580" s="4"/>
      <c r="CQ580" s="4"/>
      <c r="CR580" s="4"/>
      <c r="CS580" s="4"/>
      <c r="CT580" s="4"/>
      <c r="CU580" s="4"/>
      <c r="CV580" s="4"/>
      <c r="CW580" s="4"/>
      <c r="CX580" s="4"/>
      <c r="CY580" s="4"/>
      <c r="CZ580" s="4"/>
      <c r="DA580" s="4"/>
      <c r="DB580" s="4"/>
      <c r="DC580" s="4"/>
      <c r="DD580" s="4"/>
      <c r="DE580" s="4"/>
      <c r="DF580" s="4"/>
      <c r="DG580" s="4"/>
      <c r="DH580" s="4"/>
      <c r="DI580" s="4"/>
      <c r="DJ580" s="4"/>
      <c r="DK580" s="4"/>
      <c r="DL580" s="4"/>
      <c r="DM580" s="4"/>
      <c r="DN580" s="4"/>
      <c r="DO580" s="4"/>
      <c r="DP580" s="4"/>
      <c r="DQ580" s="4"/>
      <c r="DR580" s="4"/>
      <c r="DS580" s="4"/>
      <c r="DT580" s="4"/>
      <c r="DU580" s="4"/>
      <c r="DV580" s="4"/>
    </row>
    <row r="581">
      <c r="A581" s="2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  <c r="CI581" s="4"/>
      <c r="CJ581" s="4"/>
      <c r="CK581" s="4"/>
      <c r="CL581" s="4"/>
      <c r="CM581" s="4"/>
      <c r="CN581" s="4"/>
      <c r="CO581" s="4"/>
      <c r="CP581" s="4"/>
      <c r="CQ581" s="4"/>
      <c r="CR581" s="4"/>
      <c r="CS581" s="4"/>
      <c r="CT581" s="4"/>
      <c r="CU581" s="4"/>
      <c r="CV581" s="4"/>
      <c r="CW581" s="4"/>
      <c r="CX581" s="4"/>
      <c r="CY581" s="4"/>
      <c r="CZ581" s="4"/>
      <c r="DA581" s="4"/>
      <c r="DB581" s="4"/>
      <c r="DC581" s="4"/>
      <c r="DD581" s="4"/>
      <c r="DE581" s="4"/>
      <c r="DF581" s="4"/>
      <c r="DG581" s="4"/>
      <c r="DH581" s="4"/>
      <c r="DI581" s="4"/>
      <c r="DJ581" s="4"/>
      <c r="DK581" s="4"/>
      <c r="DL581" s="4"/>
      <c r="DM581" s="4"/>
      <c r="DN581" s="4"/>
      <c r="DO581" s="4"/>
      <c r="DP581" s="4"/>
      <c r="DQ581" s="4"/>
      <c r="DR581" s="4"/>
      <c r="DS581" s="4"/>
      <c r="DT581" s="4"/>
      <c r="DU581" s="4"/>
      <c r="DV581" s="4"/>
    </row>
    <row r="582">
      <c r="A582" s="2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  <c r="CI582" s="4"/>
      <c r="CJ582" s="4"/>
      <c r="CK582" s="4"/>
      <c r="CL582" s="4"/>
      <c r="CM582" s="4"/>
      <c r="CN582" s="4"/>
      <c r="CO582" s="4"/>
      <c r="CP582" s="4"/>
      <c r="CQ582" s="4"/>
      <c r="CR582" s="4"/>
      <c r="CS582" s="4"/>
      <c r="CT582" s="4"/>
      <c r="CU582" s="4"/>
      <c r="CV582" s="4"/>
      <c r="CW582" s="4"/>
      <c r="CX582" s="4"/>
      <c r="CY582" s="4"/>
      <c r="CZ582" s="4"/>
      <c r="DA582" s="4"/>
      <c r="DB582" s="4"/>
      <c r="DC582" s="4"/>
      <c r="DD582" s="4"/>
      <c r="DE582" s="4"/>
      <c r="DF582" s="4"/>
      <c r="DG582" s="4"/>
      <c r="DH582" s="4"/>
      <c r="DI582" s="4"/>
      <c r="DJ582" s="4"/>
      <c r="DK582" s="4"/>
      <c r="DL582" s="4"/>
      <c r="DM582" s="4"/>
      <c r="DN582" s="4"/>
      <c r="DO582" s="4"/>
      <c r="DP582" s="4"/>
      <c r="DQ582" s="4"/>
      <c r="DR582" s="4"/>
      <c r="DS582" s="4"/>
      <c r="DT582" s="4"/>
      <c r="DU582" s="4"/>
      <c r="DV582" s="4"/>
    </row>
    <row r="583">
      <c r="A583" s="2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  <c r="CI583" s="4"/>
      <c r="CJ583" s="4"/>
      <c r="CK583" s="4"/>
      <c r="CL583" s="4"/>
      <c r="CM583" s="4"/>
      <c r="CN583" s="4"/>
      <c r="CO583" s="4"/>
      <c r="CP583" s="4"/>
      <c r="CQ583" s="4"/>
      <c r="CR583" s="4"/>
      <c r="CS583" s="4"/>
      <c r="CT583" s="4"/>
      <c r="CU583" s="4"/>
      <c r="CV583" s="4"/>
      <c r="CW583" s="4"/>
      <c r="CX583" s="4"/>
      <c r="CY583" s="4"/>
      <c r="CZ583" s="4"/>
      <c r="DA583" s="4"/>
      <c r="DB583" s="4"/>
      <c r="DC583" s="4"/>
      <c r="DD583" s="4"/>
      <c r="DE583" s="4"/>
      <c r="DF583" s="4"/>
      <c r="DG583" s="4"/>
      <c r="DH583" s="4"/>
      <c r="DI583" s="4"/>
      <c r="DJ583" s="4"/>
      <c r="DK583" s="4"/>
      <c r="DL583" s="4"/>
      <c r="DM583" s="4"/>
      <c r="DN583" s="4"/>
      <c r="DO583" s="4"/>
      <c r="DP583" s="4"/>
      <c r="DQ583" s="4"/>
      <c r="DR583" s="4"/>
      <c r="DS583" s="4"/>
      <c r="DT583" s="4"/>
      <c r="DU583" s="4"/>
      <c r="DV583" s="4"/>
    </row>
    <row r="584">
      <c r="A584" s="2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  <c r="CI584" s="4"/>
      <c r="CJ584" s="4"/>
      <c r="CK584" s="4"/>
      <c r="CL584" s="4"/>
      <c r="CM584" s="4"/>
      <c r="CN584" s="4"/>
      <c r="CO584" s="4"/>
      <c r="CP584" s="4"/>
      <c r="CQ584" s="4"/>
      <c r="CR584" s="4"/>
      <c r="CS584" s="4"/>
      <c r="CT584" s="4"/>
      <c r="CU584" s="4"/>
      <c r="CV584" s="4"/>
      <c r="CW584" s="4"/>
      <c r="CX584" s="4"/>
      <c r="CY584" s="4"/>
      <c r="CZ584" s="4"/>
      <c r="DA584" s="4"/>
      <c r="DB584" s="4"/>
      <c r="DC584" s="4"/>
      <c r="DD584" s="4"/>
      <c r="DE584" s="4"/>
      <c r="DF584" s="4"/>
      <c r="DG584" s="4"/>
      <c r="DH584" s="4"/>
      <c r="DI584" s="4"/>
      <c r="DJ584" s="4"/>
      <c r="DK584" s="4"/>
      <c r="DL584" s="4"/>
      <c r="DM584" s="4"/>
      <c r="DN584" s="4"/>
      <c r="DO584" s="4"/>
      <c r="DP584" s="4"/>
      <c r="DQ584" s="4"/>
      <c r="DR584" s="4"/>
      <c r="DS584" s="4"/>
      <c r="DT584" s="4"/>
      <c r="DU584" s="4"/>
      <c r="DV584" s="4"/>
    </row>
    <row r="585">
      <c r="A585" s="2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  <c r="CI585" s="4"/>
      <c r="CJ585" s="4"/>
      <c r="CK585" s="4"/>
      <c r="CL585" s="4"/>
      <c r="CM585" s="4"/>
      <c r="CN585" s="4"/>
      <c r="CO585" s="4"/>
      <c r="CP585" s="4"/>
      <c r="CQ585" s="4"/>
      <c r="CR585" s="4"/>
      <c r="CS585" s="4"/>
      <c r="CT585" s="4"/>
      <c r="CU585" s="4"/>
      <c r="CV585" s="4"/>
      <c r="CW585" s="4"/>
      <c r="CX585" s="4"/>
      <c r="CY585" s="4"/>
      <c r="CZ585" s="4"/>
      <c r="DA585" s="4"/>
      <c r="DB585" s="4"/>
      <c r="DC585" s="4"/>
      <c r="DD585" s="4"/>
      <c r="DE585" s="4"/>
      <c r="DF585" s="4"/>
      <c r="DG585" s="4"/>
      <c r="DH585" s="4"/>
      <c r="DI585" s="4"/>
      <c r="DJ585" s="4"/>
      <c r="DK585" s="4"/>
      <c r="DL585" s="4"/>
      <c r="DM585" s="4"/>
      <c r="DN585" s="4"/>
      <c r="DO585" s="4"/>
      <c r="DP585" s="4"/>
      <c r="DQ585" s="4"/>
      <c r="DR585" s="4"/>
      <c r="DS585" s="4"/>
      <c r="DT585" s="4"/>
      <c r="DU585" s="4"/>
      <c r="DV585" s="4"/>
    </row>
    <row r="586">
      <c r="A586" s="2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  <c r="CI586" s="4"/>
      <c r="CJ586" s="4"/>
      <c r="CK586" s="4"/>
      <c r="CL586" s="4"/>
      <c r="CM586" s="4"/>
      <c r="CN586" s="4"/>
      <c r="CO586" s="4"/>
      <c r="CP586" s="4"/>
      <c r="CQ586" s="4"/>
      <c r="CR586" s="4"/>
      <c r="CS586" s="4"/>
      <c r="CT586" s="4"/>
      <c r="CU586" s="4"/>
      <c r="CV586" s="4"/>
      <c r="CW586" s="4"/>
      <c r="CX586" s="4"/>
      <c r="CY586" s="4"/>
      <c r="CZ586" s="4"/>
      <c r="DA586" s="4"/>
      <c r="DB586" s="4"/>
      <c r="DC586" s="4"/>
      <c r="DD586" s="4"/>
      <c r="DE586" s="4"/>
      <c r="DF586" s="4"/>
      <c r="DG586" s="4"/>
      <c r="DH586" s="4"/>
      <c r="DI586" s="4"/>
      <c r="DJ586" s="4"/>
      <c r="DK586" s="4"/>
      <c r="DL586" s="4"/>
      <c r="DM586" s="4"/>
      <c r="DN586" s="4"/>
      <c r="DO586" s="4"/>
      <c r="DP586" s="4"/>
      <c r="DQ586" s="4"/>
      <c r="DR586" s="4"/>
      <c r="DS586" s="4"/>
      <c r="DT586" s="4"/>
      <c r="DU586" s="4"/>
      <c r="DV586" s="4"/>
    </row>
    <row r="587">
      <c r="A587" s="2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  <c r="CI587" s="4"/>
      <c r="CJ587" s="4"/>
      <c r="CK587" s="4"/>
      <c r="CL587" s="4"/>
      <c r="CM587" s="4"/>
      <c r="CN587" s="4"/>
      <c r="CO587" s="4"/>
      <c r="CP587" s="4"/>
      <c r="CQ587" s="4"/>
      <c r="CR587" s="4"/>
      <c r="CS587" s="4"/>
      <c r="CT587" s="4"/>
      <c r="CU587" s="4"/>
      <c r="CV587" s="4"/>
      <c r="CW587" s="4"/>
      <c r="CX587" s="4"/>
      <c r="CY587" s="4"/>
      <c r="CZ587" s="4"/>
      <c r="DA587" s="4"/>
      <c r="DB587" s="4"/>
      <c r="DC587" s="4"/>
      <c r="DD587" s="4"/>
      <c r="DE587" s="4"/>
      <c r="DF587" s="4"/>
      <c r="DG587" s="4"/>
      <c r="DH587" s="4"/>
      <c r="DI587" s="4"/>
      <c r="DJ587" s="4"/>
      <c r="DK587" s="4"/>
      <c r="DL587" s="4"/>
      <c r="DM587" s="4"/>
      <c r="DN587" s="4"/>
      <c r="DO587" s="4"/>
      <c r="DP587" s="4"/>
      <c r="DQ587" s="4"/>
      <c r="DR587" s="4"/>
      <c r="DS587" s="4"/>
      <c r="DT587" s="4"/>
      <c r="DU587" s="4"/>
      <c r="DV587" s="4"/>
    </row>
    <row r="588">
      <c r="A588" s="2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  <c r="CI588" s="4"/>
      <c r="CJ588" s="4"/>
      <c r="CK588" s="4"/>
      <c r="CL588" s="4"/>
      <c r="CM588" s="4"/>
      <c r="CN588" s="4"/>
      <c r="CO588" s="4"/>
      <c r="CP588" s="4"/>
      <c r="CQ588" s="4"/>
      <c r="CR588" s="4"/>
      <c r="CS588" s="4"/>
      <c r="CT588" s="4"/>
      <c r="CU588" s="4"/>
      <c r="CV588" s="4"/>
      <c r="CW588" s="4"/>
      <c r="CX588" s="4"/>
      <c r="CY588" s="4"/>
      <c r="CZ588" s="4"/>
      <c r="DA588" s="4"/>
      <c r="DB588" s="4"/>
      <c r="DC588" s="4"/>
      <c r="DD588" s="4"/>
      <c r="DE588" s="4"/>
      <c r="DF588" s="4"/>
      <c r="DG588" s="4"/>
      <c r="DH588" s="4"/>
      <c r="DI588" s="4"/>
      <c r="DJ588" s="4"/>
      <c r="DK588" s="4"/>
      <c r="DL588" s="4"/>
      <c r="DM588" s="4"/>
      <c r="DN588" s="4"/>
      <c r="DO588" s="4"/>
      <c r="DP588" s="4"/>
      <c r="DQ588" s="4"/>
      <c r="DR588" s="4"/>
      <c r="DS588" s="4"/>
      <c r="DT588" s="4"/>
      <c r="DU588" s="4"/>
      <c r="DV588" s="4"/>
    </row>
    <row r="589">
      <c r="A589" s="2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  <c r="CI589" s="4"/>
      <c r="CJ589" s="4"/>
      <c r="CK589" s="4"/>
      <c r="CL589" s="4"/>
      <c r="CM589" s="4"/>
      <c r="CN589" s="4"/>
      <c r="CO589" s="4"/>
      <c r="CP589" s="4"/>
      <c r="CQ589" s="4"/>
      <c r="CR589" s="4"/>
      <c r="CS589" s="4"/>
      <c r="CT589" s="4"/>
      <c r="CU589" s="4"/>
      <c r="CV589" s="4"/>
      <c r="CW589" s="4"/>
      <c r="CX589" s="4"/>
      <c r="CY589" s="4"/>
      <c r="CZ589" s="4"/>
      <c r="DA589" s="4"/>
      <c r="DB589" s="4"/>
      <c r="DC589" s="4"/>
      <c r="DD589" s="4"/>
      <c r="DE589" s="4"/>
      <c r="DF589" s="4"/>
      <c r="DG589" s="4"/>
      <c r="DH589" s="4"/>
      <c r="DI589" s="4"/>
      <c r="DJ589" s="4"/>
      <c r="DK589" s="4"/>
      <c r="DL589" s="4"/>
      <c r="DM589" s="4"/>
      <c r="DN589" s="4"/>
      <c r="DO589" s="4"/>
      <c r="DP589" s="4"/>
      <c r="DQ589" s="4"/>
      <c r="DR589" s="4"/>
      <c r="DS589" s="4"/>
      <c r="DT589" s="4"/>
      <c r="DU589" s="4"/>
      <c r="DV589" s="4"/>
    </row>
    <row r="590">
      <c r="A590" s="2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  <c r="CI590" s="4"/>
      <c r="CJ590" s="4"/>
      <c r="CK590" s="4"/>
      <c r="CL590" s="4"/>
      <c r="CM590" s="4"/>
      <c r="CN590" s="4"/>
      <c r="CO590" s="4"/>
      <c r="CP590" s="4"/>
      <c r="CQ590" s="4"/>
      <c r="CR590" s="4"/>
      <c r="CS590" s="4"/>
      <c r="CT590" s="4"/>
      <c r="CU590" s="4"/>
      <c r="CV590" s="4"/>
      <c r="CW590" s="4"/>
      <c r="CX590" s="4"/>
      <c r="CY590" s="4"/>
      <c r="CZ590" s="4"/>
      <c r="DA590" s="4"/>
      <c r="DB590" s="4"/>
      <c r="DC590" s="4"/>
      <c r="DD590" s="4"/>
      <c r="DE590" s="4"/>
      <c r="DF590" s="4"/>
      <c r="DG590" s="4"/>
      <c r="DH590" s="4"/>
      <c r="DI590" s="4"/>
      <c r="DJ590" s="4"/>
      <c r="DK590" s="4"/>
      <c r="DL590" s="4"/>
      <c r="DM590" s="4"/>
      <c r="DN590" s="4"/>
      <c r="DO590" s="4"/>
      <c r="DP590" s="4"/>
      <c r="DQ590" s="4"/>
      <c r="DR590" s="4"/>
      <c r="DS590" s="4"/>
      <c r="DT590" s="4"/>
      <c r="DU590" s="4"/>
      <c r="DV590" s="4"/>
    </row>
    <row r="591">
      <c r="A591" s="2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  <c r="CI591" s="4"/>
      <c r="CJ591" s="4"/>
      <c r="CK591" s="4"/>
      <c r="CL591" s="4"/>
      <c r="CM591" s="4"/>
      <c r="CN591" s="4"/>
      <c r="CO591" s="4"/>
      <c r="CP591" s="4"/>
      <c r="CQ591" s="4"/>
      <c r="CR591" s="4"/>
      <c r="CS591" s="4"/>
      <c r="CT591" s="4"/>
      <c r="CU591" s="4"/>
      <c r="CV591" s="4"/>
      <c r="CW591" s="4"/>
      <c r="CX591" s="4"/>
      <c r="CY591" s="4"/>
      <c r="CZ591" s="4"/>
      <c r="DA591" s="4"/>
      <c r="DB591" s="4"/>
      <c r="DC591" s="4"/>
      <c r="DD591" s="4"/>
      <c r="DE591" s="4"/>
      <c r="DF591" s="4"/>
      <c r="DG591" s="4"/>
      <c r="DH591" s="4"/>
      <c r="DI591" s="4"/>
      <c r="DJ591" s="4"/>
      <c r="DK591" s="4"/>
      <c r="DL591" s="4"/>
      <c r="DM591" s="4"/>
      <c r="DN591" s="4"/>
      <c r="DO591" s="4"/>
      <c r="DP591" s="4"/>
      <c r="DQ591" s="4"/>
      <c r="DR591" s="4"/>
      <c r="DS591" s="4"/>
      <c r="DT591" s="4"/>
      <c r="DU591" s="4"/>
      <c r="DV591" s="4"/>
    </row>
    <row r="592">
      <c r="A592" s="2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  <c r="CI592" s="4"/>
      <c r="CJ592" s="4"/>
      <c r="CK592" s="4"/>
      <c r="CL592" s="4"/>
      <c r="CM592" s="4"/>
      <c r="CN592" s="4"/>
      <c r="CO592" s="4"/>
      <c r="CP592" s="4"/>
      <c r="CQ592" s="4"/>
      <c r="CR592" s="4"/>
      <c r="CS592" s="4"/>
      <c r="CT592" s="4"/>
      <c r="CU592" s="4"/>
      <c r="CV592" s="4"/>
      <c r="CW592" s="4"/>
      <c r="CX592" s="4"/>
      <c r="CY592" s="4"/>
      <c r="CZ592" s="4"/>
      <c r="DA592" s="4"/>
      <c r="DB592" s="4"/>
      <c r="DC592" s="4"/>
      <c r="DD592" s="4"/>
      <c r="DE592" s="4"/>
      <c r="DF592" s="4"/>
      <c r="DG592" s="4"/>
      <c r="DH592" s="4"/>
      <c r="DI592" s="4"/>
      <c r="DJ592" s="4"/>
      <c r="DK592" s="4"/>
      <c r="DL592" s="4"/>
      <c r="DM592" s="4"/>
      <c r="DN592" s="4"/>
      <c r="DO592" s="4"/>
      <c r="DP592" s="4"/>
      <c r="DQ592" s="4"/>
      <c r="DR592" s="4"/>
      <c r="DS592" s="4"/>
      <c r="DT592" s="4"/>
      <c r="DU592" s="4"/>
      <c r="DV592" s="4"/>
    </row>
    <row r="593">
      <c r="A593" s="2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  <c r="CI593" s="4"/>
      <c r="CJ593" s="4"/>
      <c r="CK593" s="4"/>
      <c r="CL593" s="4"/>
      <c r="CM593" s="4"/>
      <c r="CN593" s="4"/>
      <c r="CO593" s="4"/>
      <c r="CP593" s="4"/>
      <c r="CQ593" s="4"/>
      <c r="CR593" s="4"/>
      <c r="CS593" s="4"/>
      <c r="CT593" s="4"/>
      <c r="CU593" s="4"/>
      <c r="CV593" s="4"/>
      <c r="CW593" s="4"/>
      <c r="CX593" s="4"/>
      <c r="CY593" s="4"/>
      <c r="CZ593" s="4"/>
      <c r="DA593" s="4"/>
      <c r="DB593" s="4"/>
      <c r="DC593" s="4"/>
      <c r="DD593" s="4"/>
      <c r="DE593" s="4"/>
      <c r="DF593" s="4"/>
      <c r="DG593" s="4"/>
      <c r="DH593" s="4"/>
      <c r="DI593" s="4"/>
      <c r="DJ593" s="4"/>
      <c r="DK593" s="4"/>
      <c r="DL593" s="4"/>
      <c r="DM593" s="4"/>
      <c r="DN593" s="4"/>
      <c r="DO593" s="4"/>
      <c r="DP593" s="4"/>
      <c r="DQ593" s="4"/>
      <c r="DR593" s="4"/>
      <c r="DS593" s="4"/>
      <c r="DT593" s="4"/>
      <c r="DU593" s="4"/>
      <c r="DV593" s="4"/>
    </row>
    <row r="594">
      <c r="A594" s="2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  <c r="CI594" s="4"/>
      <c r="CJ594" s="4"/>
      <c r="CK594" s="4"/>
      <c r="CL594" s="4"/>
      <c r="CM594" s="4"/>
      <c r="CN594" s="4"/>
      <c r="CO594" s="4"/>
      <c r="CP594" s="4"/>
      <c r="CQ594" s="4"/>
      <c r="CR594" s="4"/>
      <c r="CS594" s="4"/>
      <c r="CT594" s="4"/>
      <c r="CU594" s="4"/>
      <c r="CV594" s="4"/>
      <c r="CW594" s="4"/>
      <c r="CX594" s="4"/>
      <c r="CY594" s="4"/>
      <c r="CZ594" s="4"/>
      <c r="DA594" s="4"/>
      <c r="DB594" s="4"/>
      <c r="DC594" s="4"/>
      <c r="DD594" s="4"/>
      <c r="DE594" s="4"/>
      <c r="DF594" s="4"/>
      <c r="DG594" s="4"/>
      <c r="DH594" s="4"/>
      <c r="DI594" s="4"/>
      <c r="DJ594" s="4"/>
      <c r="DK594" s="4"/>
      <c r="DL594" s="4"/>
      <c r="DM594" s="4"/>
      <c r="DN594" s="4"/>
      <c r="DO594" s="4"/>
      <c r="DP594" s="4"/>
      <c r="DQ594" s="4"/>
      <c r="DR594" s="4"/>
      <c r="DS594" s="4"/>
      <c r="DT594" s="4"/>
      <c r="DU594" s="4"/>
      <c r="DV594" s="4"/>
    </row>
    <row r="595">
      <c r="A595" s="2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  <c r="CI595" s="4"/>
      <c r="CJ595" s="4"/>
      <c r="CK595" s="4"/>
      <c r="CL595" s="4"/>
      <c r="CM595" s="4"/>
      <c r="CN595" s="4"/>
      <c r="CO595" s="4"/>
      <c r="CP595" s="4"/>
      <c r="CQ595" s="4"/>
      <c r="CR595" s="4"/>
      <c r="CS595" s="4"/>
      <c r="CT595" s="4"/>
      <c r="CU595" s="4"/>
      <c r="CV595" s="4"/>
      <c r="CW595" s="4"/>
      <c r="CX595" s="4"/>
      <c r="CY595" s="4"/>
      <c r="CZ595" s="4"/>
      <c r="DA595" s="4"/>
      <c r="DB595" s="4"/>
      <c r="DC595" s="4"/>
      <c r="DD595" s="4"/>
      <c r="DE595" s="4"/>
      <c r="DF595" s="4"/>
      <c r="DG595" s="4"/>
      <c r="DH595" s="4"/>
      <c r="DI595" s="4"/>
      <c r="DJ595" s="4"/>
      <c r="DK595" s="4"/>
      <c r="DL595" s="4"/>
      <c r="DM595" s="4"/>
      <c r="DN595" s="4"/>
      <c r="DO595" s="4"/>
      <c r="DP595" s="4"/>
      <c r="DQ595" s="4"/>
      <c r="DR595" s="4"/>
      <c r="DS595" s="4"/>
      <c r="DT595" s="4"/>
      <c r="DU595" s="4"/>
      <c r="DV595" s="4"/>
    </row>
    <row r="596">
      <c r="A596" s="2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  <c r="CI596" s="4"/>
      <c r="CJ596" s="4"/>
      <c r="CK596" s="4"/>
      <c r="CL596" s="4"/>
      <c r="CM596" s="4"/>
      <c r="CN596" s="4"/>
      <c r="CO596" s="4"/>
      <c r="CP596" s="4"/>
      <c r="CQ596" s="4"/>
      <c r="CR596" s="4"/>
      <c r="CS596" s="4"/>
      <c r="CT596" s="4"/>
      <c r="CU596" s="4"/>
      <c r="CV596" s="4"/>
      <c r="CW596" s="4"/>
      <c r="CX596" s="4"/>
      <c r="CY596" s="4"/>
      <c r="CZ596" s="4"/>
      <c r="DA596" s="4"/>
      <c r="DB596" s="4"/>
      <c r="DC596" s="4"/>
      <c r="DD596" s="4"/>
      <c r="DE596" s="4"/>
      <c r="DF596" s="4"/>
      <c r="DG596" s="4"/>
      <c r="DH596" s="4"/>
      <c r="DI596" s="4"/>
      <c r="DJ596" s="4"/>
      <c r="DK596" s="4"/>
      <c r="DL596" s="4"/>
      <c r="DM596" s="4"/>
      <c r="DN596" s="4"/>
      <c r="DO596" s="4"/>
      <c r="DP596" s="4"/>
      <c r="DQ596" s="4"/>
      <c r="DR596" s="4"/>
      <c r="DS596" s="4"/>
      <c r="DT596" s="4"/>
      <c r="DU596" s="4"/>
      <c r="DV596" s="4"/>
    </row>
    <row r="597">
      <c r="A597" s="2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  <c r="CI597" s="4"/>
      <c r="CJ597" s="4"/>
      <c r="CK597" s="4"/>
      <c r="CL597" s="4"/>
      <c r="CM597" s="4"/>
      <c r="CN597" s="4"/>
      <c r="CO597" s="4"/>
      <c r="CP597" s="4"/>
      <c r="CQ597" s="4"/>
      <c r="CR597" s="4"/>
      <c r="CS597" s="4"/>
      <c r="CT597" s="4"/>
      <c r="CU597" s="4"/>
      <c r="CV597" s="4"/>
      <c r="CW597" s="4"/>
      <c r="CX597" s="4"/>
      <c r="CY597" s="4"/>
      <c r="CZ597" s="4"/>
      <c r="DA597" s="4"/>
      <c r="DB597" s="4"/>
      <c r="DC597" s="4"/>
      <c r="DD597" s="4"/>
      <c r="DE597" s="4"/>
      <c r="DF597" s="4"/>
      <c r="DG597" s="4"/>
      <c r="DH597" s="4"/>
      <c r="DI597" s="4"/>
      <c r="DJ597" s="4"/>
      <c r="DK597" s="4"/>
      <c r="DL597" s="4"/>
      <c r="DM597" s="4"/>
      <c r="DN597" s="4"/>
      <c r="DO597" s="4"/>
      <c r="DP597" s="4"/>
      <c r="DQ597" s="4"/>
      <c r="DR597" s="4"/>
      <c r="DS597" s="4"/>
      <c r="DT597" s="4"/>
      <c r="DU597" s="4"/>
      <c r="DV597" s="4"/>
    </row>
    <row r="598">
      <c r="A598" s="2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  <c r="CI598" s="4"/>
      <c r="CJ598" s="4"/>
      <c r="CK598" s="4"/>
      <c r="CL598" s="4"/>
      <c r="CM598" s="4"/>
      <c r="CN598" s="4"/>
      <c r="CO598" s="4"/>
      <c r="CP598" s="4"/>
      <c r="CQ598" s="4"/>
      <c r="CR598" s="4"/>
      <c r="CS598" s="4"/>
      <c r="CT598" s="4"/>
      <c r="CU598" s="4"/>
      <c r="CV598" s="4"/>
      <c r="CW598" s="4"/>
      <c r="CX598" s="4"/>
      <c r="CY598" s="4"/>
      <c r="CZ598" s="4"/>
      <c r="DA598" s="4"/>
      <c r="DB598" s="4"/>
      <c r="DC598" s="4"/>
      <c r="DD598" s="4"/>
      <c r="DE598" s="4"/>
      <c r="DF598" s="4"/>
      <c r="DG598" s="4"/>
      <c r="DH598" s="4"/>
      <c r="DI598" s="4"/>
      <c r="DJ598" s="4"/>
      <c r="DK598" s="4"/>
      <c r="DL598" s="4"/>
      <c r="DM598" s="4"/>
      <c r="DN598" s="4"/>
      <c r="DO598" s="4"/>
      <c r="DP598" s="4"/>
      <c r="DQ598" s="4"/>
      <c r="DR598" s="4"/>
      <c r="DS598" s="4"/>
      <c r="DT598" s="4"/>
      <c r="DU598" s="4"/>
      <c r="DV598" s="4"/>
    </row>
    <row r="599">
      <c r="A599" s="2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  <c r="CI599" s="4"/>
      <c r="CJ599" s="4"/>
      <c r="CK599" s="4"/>
      <c r="CL599" s="4"/>
      <c r="CM599" s="4"/>
      <c r="CN599" s="4"/>
      <c r="CO599" s="4"/>
      <c r="CP599" s="4"/>
      <c r="CQ599" s="4"/>
      <c r="CR599" s="4"/>
      <c r="CS599" s="4"/>
      <c r="CT599" s="4"/>
      <c r="CU599" s="4"/>
      <c r="CV599" s="4"/>
      <c r="CW599" s="4"/>
      <c r="CX599" s="4"/>
      <c r="CY599" s="4"/>
      <c r="CZ599" s="4"/>
      <c r="DA599" s="4"/>
      <c r="DB599" s="4"/>
      <c r="DC599" s="4"/>
      <c r="DD599" s="4"/>
      <c r="DE599" s="4"/>
      <c r="DF599" s="4"/>
      <c r="DG599" s="4"/>
      <c r="DH599" s="4"/>
      <c r="DI599" s="4"/>
      <c r="DJ599" s="4"/>
      <c r="DK599" s="4"/>
      <c r="DL599" s="4"/>
      <c r="DM599" s="4"/>
      <c r="DN599" s="4"/>
      <c r="DO599" s="4"/>
      <c r="DP599" s="4"/>
      <c r="DQ599" s="4"/>
      <c r="DR599" s="4"/>
      <c r="DS599" s="4"/>
      <c r="DT599" s="4"/>
      <c r="DU599" s="4"/>
      <c r="DV599" s="4"/>
    </row>
    <row r="600">
      <c r="A600" s="2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  <c r="CI600" s="4"/>
      <c r="CJ600" s="4"/>
      <c r="CK600" s="4"/>
      <c r="CL600" s="4"/>
      <c r="CM600" s="4"/>
      <c r="CN600" s="4"/>
      <c r="CO600" s="4"/>
      <c r="CP600" s="4"/>
      <c r="CQ600" s="4"/>
      <c r="CR600" s="4"/>
      <c r="CS600" s="4"/>
      <c r="CT600" s="4"/>
      <c r="CU600" s="4"/>
      <c r="CV600" s="4"/>
      <c r="CW600" s="4"/>
      <c r="CX600" s="4"/>
      <c r="CY600" s="4"/>
      <c r="CZ600" s="4"/>
      <c r="DA600" s="4"/>
      <c r="DB600" s="4"/>
      <c r="DC600" s="4"/>
      <c r="DD600" s="4"/>
      <c r="DE600" s="4"/>
      <c r="DF600" s="4"/>
      <c r="DG600" s="4"/>
      <c r="DH600" s="4"/>
      <c r="DI600" s="4"/>
      <c r="DJ600" s="4"/>
      <c r="DK600" s="4"/>
      <c r="DL600" s="4"/>
      <c r="DM600" s="4"/>
      <c r="DN600" s="4"/>
      <c r="DO600" s="4"/>
      <c r="DP600" s="4"/>
      <c r="DQ600" s="4"/>
      <c r="DR600" s="4"/>
      <c r="DS600" s="4"/>
      <c r="DT600" s="4"/>
      <c r="DU600" s="4"/>
      <c r="DV600" s="4"/>
    </row>
    <row r="601">
      <c r="A601" s="2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  <c r="CI601" s="4"/>
      <c r="CJ601" s="4"/>
      <c r="CK601" s="4"/>
      <c r="CL601" s="4"/>
      <c r="CM601" s="4"/>
      <c r="CN601" s="4"/>
      <c r="CO601" s="4"/>
      <c r="CP601" s="4"/>
      <c r="CQ601" s="4"/>
      <c r="CR601" s="4"/>
      <c r="CS601" s="4"/>
      <c r="CT601" s="4"/>
      <c r="CU601" s="4"/>
      <c r="CV601" s="4"/>
      <c r="CW601" s="4"/>
      <c r="CX601" s="4"/>
      <c r="CY601" s="4"/>
      <c r="CZ601" s="4"/>
      <c r="DA601" s="4"/>
      <c r="DB601" s="4"/>
      <c r="DC601" s="4"/>
      <c r="DD601" s="4"/>
      <c r="DE601" s="4"/>
      <c r="DF601" s="4"/>
      <c r="DG601" s="4"/>
      <c r="DH601" s="4"/>
      <c r="DI601" s="4"/>
      <c r="DJ601" s="4"/>
      <c r="DK601" s="4"/>
      <c r="DL601" s="4"/>
      <c r="DM601" s="4"/>
      <c r="DN601" s="4"/>
      <c r="DO601" s="4"/>
      <c r="DP601" s="4"/>
      <c r="DQ601" s="4"/>
      <c r="DR601" s="4"/>
      <c r="DS601" s="4"/>
      <c r="DT601" s="4"/>
      <c r="DU601" s="4"/>
      <c r="DV601" s="4"/>
    </row>
    <row r="602">
      <c r="A602" s="2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  <c r="CI602" s="4"/>
      <c r="CJ602" s="4"/>
      <c r="CK602" s="4"/>
      <c r="CL602" s="4"/>
      <c r="CM602" s="4"/>
      <c r="CN602" s="4"/>
      <c r="CO602" s="4"/>
      <c r="CP602" s="4"/>
      <c r="CQ602" s="4"/>
      <c r="CR602" s="4"/>
      <c r="CS602" s="4"/>
      <c r="CT602" s="4"/>
      <c r="CU602" s="4"/>
      <c r="CV602" s="4"/>
      <c r="CW602" s="4"/>
      <c r="CX602" s="4"/>
      <c r="CY602" s="4"/>
      <c r="CZ602" s="4"/>
      <c r="DA602" s="4"/>
      <c r="DB602" s="4"/>
      <c r="DC602" s="4"/>
      <c r="DD602" s="4"/>
      <c r="DE602" s="4"/>
      <c r="DF602" s="4"/>
      <c r="DG602" s="4"/>
      <c r="DH602" s="4"/>
      <c r="DI602" s="4"/>
      <c r="DJ602" s="4"/>
      <c r="DK602" s="4"/>
      <c r="DL602" s="4"/>
      <c r="DM602" s="4"/>
      <c r="DN602" s="4"/>
      <c r="DO602" s="4"/>
      <c r="DP602" s="4"/>
      <c r="DQ602" s="4"/>
      <c r="DR602" s="4"/>
      <c r="DS602" s="4"/>
      <c r="DT602" s="4"/>
      <c r="DU602" s="4"/>
      <c r="DV602" s="4"/>
    </row>
    <row r="603">
      <c r="A603" s="2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  <c r="CI603" s="4"/>
      <c r="CJ603" s="4"/>
      <c r="CK603" s="4"/>
      <c r="CL603" s="4"/>
      <c r="CM603" s="4"/>
      <c r="CN603" s="4"/>
      <c r="CO603" s="4"/>
      <c r="CP603" s="4"/>
      <c r="CQ603" s="4"/>
      <c r="CR603" s="4"/>
      <c r="CS603" s="4"/>
      <c r="CT603" s="4"/>
      <c r="CU603" s="4"/>
      <c r="CV603" s="4"/>
      <c r="CW603" s="4"/>
      <c r="CX603" s="4"/>
      <c r="CY603" s="4"/>
      <c r="CZ603" s="4"/>
      <c r="DA603" s="4"/>
      <c r="DB603" s="4"/>
      <c r="DC603" s="4"/>
      <c r="DD603" s="4"/>
      <c r="DE603" s="4"/>
      <c r="DF603" s="4"/>
      <c r="DG603" s="4"/>
      <c r="DH603" s="4"/>
      <c r="DI603" s="4"/>
      <c r="DJ603" s="4"/>
      <c r="DK603" s="4"/>
      <c r="DL603" s="4"/>
      <c r="DM603" s="4"/>
      <c r="DN603" s="4"/>
      <c r="DO603" s="4"/>
      <c r="DP603" s="4"/>
      <c r="DQ603" s="4"/>
      <c r="DR603" s="4"/>
      <c r="DS603" s="4"/>
      <c r="DT603" s="4"/>
      <c r="DU603" s="4"/>
      <c r="DV603" s="4"/>
    </row>
    <row r="604">
      <c r="A604" s="2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  <c r="CI604" s="4"/>
      <c r="CJ604" s="4"/>
      <c r="CK604" s="4"/>
      <c r="CL604" s="4"/>
      <c r="CM604" s="4"/>
      <c r="CN604" s="4"/>
      <c r="CO604" s="4"/>
      <c r="CP604" s="4"/>
      <c r="CQ604" s="4"/>
      <c r="CR604" s="4"/>
      <c r="CS604" s="4"/>
      <c r="CT604" s="4"/>
      <c r="CU604" s="4"/>
      <c r="CV604" s="4"/>
      <c r="CW604" s="4"/>
      <c r="CX604" s="4"/>
      <c r="CY604" s="4"/>
      <c r="CZ604" s="4"/>
      <c r="DA604" s="4"/>
      <c r="DB604" s="4"/>
      <c r="DC604" s="4"/>
      <c r="DD604" s="4"/>
      <c r="DE604" s="4"/>
      <c r="DF604" s="4"/>
      <c r="DG604" s="4"/>
      <c r="DH604" s="4"/>
      <c r="DI604" s="4"/>
      <c r="DJ604" s="4"/>
      <c r="DK604" s="4"/>
      <c r="DL604" s="4"/>
      <c r="DM604" s="4"/>
      <c r="DN604" s="4"/>
      <c r="DO604" s="4"/>
      <c r="DP604" s="4"/>
      <c r="DQ604" s="4"/>
      <c r="DR604" s="4"/>
      <c r="DS604" s="4"/>
      <c r="DT604" s="4"/>
      <c r="DU604" s="4"/>
      <c r="DV604" s="4"/>
    </row>
    <row r="605">
      <c r="A605" s="2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  <c r="CI605" s="4"/>
      <c r="CJ605" s="4"/>
      <c r="CK605" s="4"/>
      <c r="CL605" s="4"/>
      <c r="CM605" s="4"/>
      <c r="CN605" s="4"/>
      <c r="CO605" s="4"/>
      <c r="CP605" s="4"/>
      <c r="CQ605" s="4"/>
      <c r="CR605" s="4"/>
      <c r="CS605" s="4"/>
      <c r="CT605" s="4"/>
      <c r="CU605" s="4"/>
      <c r="CV605" s="4"/>
      <c r="CW605" s="4"/>
      <c r="CX605" s="4"/>
      <c r="CY605" s="4"/>
      <c r="CZ605" s="4"/>
      <c r="DA605" s="4"/>
      <c r="DB605" s="4"/>
      <c r="DC605" s="4"/>
      <c r="DD605" s="4"/>
      <c r="DE605" s="4"/>
      <c r="DF605" s="4"/>
      <c r="DG605" s="4"/>
      <c r="DH605" s="4"/>
      <c r="DI605" s="4"/>
      <c r="DJ605" s="4"/>
      <c r="DK605" s="4"/>
      <c r="DL605" s="4"/>
      <c r="DM605" s="4"/>
      <c r="DN605" s="4"/>
      <c r="DO605" s="4"/>
      <c r="DP605" s="4"/>
      <c r="DQ605" s="4"/>
      <c r="DR605" s="4"/>
      <c r="DS605" s="4"/>
      <c r="DT605" s="4"/>
      <c r="DU605" s="4"/>
      <c r="DV605" s="4"/>
    </row>
    <row r="606">
      <c r="A606" s="2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  <c r="CI606" s="4"/>
      <c r="CJ606" s="4"/>
      <c r="CK606" s="4"/>
      <c r="CL606" s="4"/>
      <c r="CM606" s="4"/>
      <c r="CN606" s="4"/>
      <c r="CO606" s="4"/>
      <c r="CP606" s="4"/>
      <c r="CQ606" s="4"/>
      <c r="CR606" s="4"/>
      <c r="CS606" s="4"/>
      <c r="CT606" s="4"/>
      <c r="CU606" s="4"/>
      <c r="CV606" s="4"/>
      <c r="CW606" s="4"/>
      <c r="CX606" s="4"/>
      <c r="CY606" s="4"/>
      <c r="CZ606" s="4"/>
      <c r="DA606" s="4"/>
      <c r="DB606" s="4"/>
      <c r="DC606" s="4"/>
      <c r="DD606" s="4"/>
      <c r="DE606" s="4"/>
      <c r="DF606" s="4"/>
      <c r="DG606" s="4"/>
      <c r="DH606" s="4"/>
      <c r="DI606" s="4"/>
      <c r="DJ606" s="4"/>
      <c r="DK606" s="4"/>
      <c r="DL606" s="4"/>
      <c r="DM606" s="4"/>
      <c r="DN606" s="4"/>
      <c r="DO606" s="4"/>
      <c r="DP606" s="4"/>
      <c r="DQ606" s="4"/>
      <c r="DR606" s="4"/>
      <c r="DS606" s="4"/>
      <c r="DT606" s="4"/>
      <c r="DU606" s="4"/>
      <c r="DV606" s="4"/>
    </row>
    <row r="607">
      <c r="A607" s="2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  <c r="CI607" s="4"/>
      <c r="CJ607" s="4"/>
      <c r="CK607" s="4"/>
      <c r="CL607" s="4"/>
      <c r="CM607" s="4"/>
      <c r="CN607" s="4"/>
      <c r="CO607" s="4"/>
      <c r="CP607" s="4"/>
      <c r="CQ607" s="4"/>
      <c r="CR607" s="4"/>
      <c r="CS607" s="4"/>
      <c r="CT607" s="4"/>
      <c r="CU607" s="4"/>
      <c r="CV607" s="4"/>
      <c r="CW607" s="4"/>
      <c r="CX607" s="4"/>
      <c r="CY607" s="4"/>
      <c r="CZ607" s="4"/>
      <c r="DA607" s="4"/>
      <c r="DB607" s="4"/>
      <c r="DC607" s="4"/>
      <c r="DD607" s="4"/>
      <c r="DE607" s="4"/>
      <c r="DF607" s="4"/>
      <c r="DG607" s="4"/>
      <c r="DH607" s="4"/>
      <c r="DI607" s="4"/>
      <c r="DJ607" s="4"/>
      <c r="DK607" s="4"/>
      <c r="DL607" s="4"/>
      <c r="DM607" s="4"/>
      <c r="DN607" s="4"/>
      <c r="DO607" s="4"/>
      <c r="DP607" s="4"/>
      <c r="DQ607" s="4"/>
      <c r="DR607" s="4"/>
      <c r="DS607" s="4"/>
      <c r="DT607" s="4"/>
      <c r="DU607" s="4"/>
      <c r="DV607" s="4"/>
    </row>
    <row r="608">
      <c r="A608" s="2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  <c r="CI608" s="4"/>
      <c r="CJ608" s="4"/>
      <c r="CK608" s="4"/>
      <c r="CL608" s="4"/>
      <c r="CM608" s="4"/>
      <c r="CN608" s="4"/>
      <c r="CO608" s="4"/>
      <c r="CP608" s="4"/>
      <c r="CQ608" s="4"/>
      <c r="CR608" s="4"/>
      <c r="CS608" s="4"/>
      <c r="CT608" s="4"/>
      <c r="CU608" s="4"/>
      <c r="CV608" s="4"/>
      <c r="CW608" s="4"/>
      <c r="CX608" s="4"/>
      <c r="CY608" s="4"/>
      <c r="CZ608" s="4"/>
      <c r="DA608" s="4"/>
      <c r="DB608" s="4"/>
      <c r="DC608" s="4"/>
      <c r="DD608" s="4"/>
      <c r="DE608" s="4"/>
      <c r="DF608" s="4"/>
      <c r="DG608" s="4"/>
      <c r="DH608" s="4"/>
      <c r="DI608" s="4"/>
      <c r="DJ608" s="4"/>
      <c r="DK608" s="4"/>
      <c r="DL608" s="4"/>
      <c r="DM608" s="4"/>
      <c r="DN608" s="4"/>
      <c r="DO608" s="4"/>
      <c r="DP608" s="4"/>
      <c r="DQ608" s="4"/>
      <c r="DR608" s="4"/>
      <c r="DS608" s="4"/>
      <c r="DT608" s="4"/>
      <c r="DU608" s="4"/>
      <c r="DV608" s="4"/>
    </row>
    <row r="609">
      <c r="A609" s="2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  <c r="CI609" s="4"/>
      <c r="CJ609" s="4"/>
      <c r="CK609" s="4"/>
      <c r="CL609" s="4"/>
      <c r="CM609" s="4"/>
      <c r="CN609" s="4"/>
      <c r="CO609" s="4"/>
      <c r="CP609" s="4"/>
      <c r="CQ609" s="4"/>
      <c r="CR609" s="4"/>
      <c r="CS609" s="4"/>
      <c r="CT609" s="4"/>
      <c r="CU609" s="4"/>
      <c r="CV609" s="4"/>
      <c r="CW609" s="4"/>
      <c r="CX609" s="4"/>
      <c r="CY609" s="4"/>
      <c r="CZ609" s="4"/>
      <c r="DA609" s="4"/>
      <c r="DB609" s="4"/>
      <c r="DC609" s="4"/>
      <c r="DD609" s="4"/>
      <c r="DE609" s="4"/>
      <c r="DF609" s="4"/>
      <c r="DG609" s="4"/>
      <c r="DH609" s="4"/>
      <c r="DI609" s="4"/>
      <c r="DJ609" s="4"/>
      <c r="DK609" s="4"/>
      <c r="DL609" s="4"/>
      <c r="DM609" s="4"/>
      <c r="DN609" s="4"/>
      <c r="DO609" s="4"/>
      <c r="DP609" s="4"/>
      <c r="DQ609" s="4"/>
      <c r="DR609" s="4"/>
      <c r="DS609" s="4"/>
      <c r="DT609" s="4"/>
      <c r="DU609" s="4"/>
      <c r="DV609" s="4"/>
    </row>
    <row r="610">
      <c r="A610" s="2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  <c r="CI610" s="4"/>
      <c r="CJ610" s="4"/>
      <c r="CK610" s="4"/>
      <c r="CL610" s="4"/>
      <c r="CM610" s="4"/>
      <c r="CN610" s="4"/>
      <c r="CO610" s="4"/>
      <c r="CP610" s="4"/>
      <c r="CQ610" s="4"/>
      <c r="CR610" s="4"/>
      <c r="CS610" s="4"/>
      <c r="CT610" s="4"/>
      <c r="CU610" s="4"/>
      <c r="CV610" s="4"/>
      <c r="CW610" s="4"/>
      <c r="CX610" s="4"/>
      <c r="CY610" s="4"/>
      <c r="CZ610" s="4"/>
      <c r="DA610" s="4"/>
      <c r="DB610" s="4"/>
      <c r="DC610" s="4"/>
      <c r="DD610" s="4"/>
      <c r="DE610" s="4"/>
      <c r="DF610" s="4"/>
      <c r="DG610" s="4"/>
      <c r="DH610" s="4"/>
      <c r="DI610" s="4"/>
      <c r="DJ610" s="4"/>
      <c r="DK610" s="4"/>
      <c r="DL610" s="4"/>
      <c r="DM610" s="4"/>
      <c r="DN610" s="4"/>
      <c r="DO610" s="4"/>
      <c r="DP610" s="4"/>
      <c r="DQ610" s="4"/>
      <c r="DR610" s="4"/>
      <c r="DS610" s="4"/>
      <c r="DT610" s="4"/>
      <c r="DU610" s="4"/>
      <c r="DV610" s="4"/>
    </row>
    <row r="611">
      <c r="A611" s="2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  <c r="CI611" s="4"/>
      <c r="CJ611" s="4"/>
      <c r="CK611" s="4"/>
      <c r="CL611" s="4"/>
      <c r="CM611" s="4"/>
      <c r="CN611" s="4"/>
      <c r="CO611" s="4"/>
      <c r="CP611" s="4"/>
      <c r="CQ611" s="4"/>
      <c r="CR611" s="4"/>
      <c r="CS611" s="4"/>
      <c r="CT611" s="4"/>
      <c r="CU611" s="4"/>
      <c r="CV611" s="4"/>
      <c r="CW611" s="4"/>
      <c r="CX611" s="4"/>
      <c r="CY611" s="4"/>
      <c r="CZ611" s="4"/>
      <c r="DA611" s="4"/>
      <c r="DB611" s="4"/>
      <c r="DC611" s="4"/>
      <c r="DD611" s="4"/>
      <c r="DE611" s="4"/>
      <c r="DF611" s="4"/>
      <c r="DG611" s="4"/>
      <c r="DH611" s="4"/>
      <c r="DI611" s="4"/>
      <c r="DJ611" s="4"/>
      <c r="DK611" s="4"/>
      <c r="DL611" s="4"/>
      <c r="DM611" s="4"/>
      <c r="DN611" s="4"/>
      <c r="DO611" s="4"/>
      <c r="DP611" s="4"/>
      <c r="DQ611" s="4"/>
      <c r="DR611" s="4"/>
      <c r="DS611" s="4"/>
      <c r="DT611" s="4"/>
      <c r="DU611" s="4"/>
      <c r="DV611" s="4"/>
    </row>
    <row r="612">
      <c r="A612" s="2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  <c r="CI612" s="4"/>
      <c r="CJ612" s="4"/>
      <c r="CK612" s="4"/>
      <c r="CL612" s="4"/>
      <c r="CM612" s="4"/>
      <c r="CN612" s="4"/>
      <c r="CO612" s="4"/>
      <c r="CP612" s="4"/>
      <c r="CQ612" s="4"/>
      <c r="CR612" s="4"/>
      <c r="CS612" s="4"/>
      <c r="CT612" s="4"/>
      <c r="CU612" s="4"/>
      <c r="CV612" s="4"/>
      <c r="CW612" s="4"/>
      <c r="CX612" s="4"/>
      <c r="CY612" s="4"/>
      <c r="CZ612" s="4"/>
      <c r="DA612" s="4"/>
      <c r="DB612" s="4"/>
      <c r="DC612" s="4"/>
      <c r="DD612" s="4"/>
      <c r="DE612" s="4"/>
      <c r="DF612" s="4"/>
      <c r="DG612" s="4"/>
      <c r="DH612" s="4"/>
      <c r="DI612" s="4"/>
      <c r="DJ612" s="4"/>
      <c r="DK612" s="4"/>
      <c r="DL612" s="4"/>
      <c r="DM612" s="4"/>
      <c r="DN612" s="4"/>
      <c r="DO612" s="4"/>
      <c r="DP612" s="4"/>
      <c r="DQ612" s="4"/>
      <c r="DR612" s="4"/>
      <c r="DS612" s="4"/>
      <c r="DT612" s="4"/>
      <c r="DU612" s="4"/>
      <c r="DV612" s="4"/>
    </row>
    <row r="613">
      <c r="A613" s="2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  <c r="CI613" s="4"/>
      <c r="CJ613" s="4"/>
      <c r="CK613" s="4"/>
      <c r="CL613" s="4"/>
      <c r="CM613" s="4"/>
      <c r="CN613" s="4"/>
      <c r="CO613" s="4"/>
      <c r="CP613" s="4"/>
      <c r="CQ613" s="4"/>
      <c r="CR613" s="4"/>
      <c r="CS613" s="4"/>
      <c r="CT613" s="4"/>
      <c r="CU613" s="4"/>
      <c r="CV613" s="4"/>
      <c r="CW613" s="4"/>
      <c r="CX613" s="4"/>
      <c r="CY613" s="4"/>
      <c r="CZ613" s="4"/>
      <c r="DA613" s="4"/>
      <c r="DB613" s="4"/>
      <c r="DC613" s="4"/>
      <c r="DD613" s="4"/>
      <c r="DE613" s="4"/>
      <c r="DF613" s="4"/>
      <c r="DG613" s="4"/>
      <c r="DH613" s="4"/>
      <c r="DI613" s="4"/>
      <c r="DJ613" s="4"/>
      <c r="DK613" s="4"/>
      <c r="DL613" s="4"/>
      <c r="DM613" s="4"/>
      <c r="DN613" s="4"/>
      <c r="DO613" s="4"/>
      <c r="DP613" s="4"/>
      <c r="DQ613" s="4"/>
      <c r="DR613" s="4"/>
      <c r="DS613" s="4"/>
      <c r="DT613" s="4"/>
      <c r="DU613" s="4"/>
      <c r="DV613" s="4"/>
    </row>
    <row r="614">
      <c r="A614" s="2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  <c r="CI614" s="4"/>
      <c r="CJ614" s="4"/>
      <c r="CK614" s="4"/>
      <c r="CL614" s="4"/>
      <c r="CM614" s="4"/>
      <c r="CN614" s="4"/>
      <c r="CO614" s="4"/>
      <c r="CP614" s="4"/>
      <c r="CQ614" s="4"/>
      <c r="CR614" s="4"/>
      <c r="CS614" s="4"/>
      <c r="CT614" s="4"/>
      <c r="CU614" s="4"/>
      <c r="CV614" s="4"/>
      <c r="CW614" s="4"/>
      <c r="CX614" s="4"/>
      <c r="CY614" s="4"/>
      <c r="CZ614" s="4"/>
      <c r="DA614" s="4"/>
      <c r="DB614" s="4"/>
      <c r="DC614" s="4"/>
      <c r="DD614" s="4"/>
      <c r="DE614" s="4"/>
      <c r="DF614" s="4"/>
      <c r="DG614" s="4"/>
      <c r="DH614" s="4"/>
      <c r="DI614" s="4"/>
      <c r="DJ614" s="4"/>
      <c r="DK614" s="4"/>
      <c r="DL614" s="4"/>
      <c r="DM614" s="4"/>
      <c r="DN614" s="4"/>
      <c r="DO614" s="4"/>
      <c r="DP614" s="4"/>
      <c r="DQ614" s="4"/>
      <c r="DR614" s="4"/>
      <c r="DS614" s="4"/>
      <c r="DT614" s="4"/>
      <c r="DU614" s="4"/>
      <c r="DV614" s="4"/>
    </row>
    <row r="615">
      <c r="A615" s="2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  <c r="CI615" s="4"/>
      <c r="CJ615" s="4"/>
      <c r="CK615" s="4"/>
      <c r="CL615" s="4"/>
      <c r="CM615" s="4"/>
      <c r="CN615" s="4"/>
      <c r="CO615" s="4"/>
      <c r="CP615" s="4"/>
      <c r="CQ615" s="4"/>
      <c r="CR615" s="4"/>
      <c r="CS615" s="4"/>
      <c r="CT615" s="4"/>
      <c r="CU615" s="4"/>
      <c r="CV615" s="4"/>
      <c r="CW615" s="4"/>
      <c r="CX615" s="4"/>
      <c r="CY615" s="4"/>
      <c r="CZ615" s="4"/>
      <c r="DA615" s="4"/>
      <c r="DB615" s="4"/>
      <c r="DC615" s="4"/>
      <c r="DD615" s="4"/>
      <c r="DE615" s="4"/>
      <c r="DF615" s="4"/>
      <c r="DG615" s="4"/>
      <c r="DH615" s="4"/>
      <c r="DI615" s="4"/>
      <c r="DJ615" s="4"/>
      <c r="DK615" s="4"/>
      <c r="DL615" s="4"/>
      <c r="DM615" s="4"/>
      <c r="DN615" s="4"/>
      <c r="DO615" s="4"/>
      <c r="DP615" s="4"/>
      <c r="DQ615" s="4"/>
      <c r="DR615" s="4"/>
      <c r="DS615" s="4"/>
      <c r="DT615" s="4"/>
      <c r="DU615" s="4"/>
      <c r="DV615" s="4"/>
    </row>
    <row r="616">
      <c r="A616" s="2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  <c r="CI616" s="4"/>
      <c r="CJ616" s="4"/>
      <c r="CK616" s="4"/>
      <c r="CL616" s="4"/>
      <c r="CM616" s="4"/>
      <c r="CN616" s="4"/>
      <c r="CO616" s="4"/>
      <c r="CP616" s="4"/>
      <c r="CQ616" s="4"/>
      <c r="CR616" s="4"/>
      <c r="CS616" s="4"/>
      <c r="CT616" s="4"/>
      <c r="CU616" s="4"/>
      <c r="CV616" s="4"/>
      <c r="CW616" s="4"/>
      <c r="CX616" s="4"/>
      <c r="CY616" s="4"/>
      <c r="CZ616" s="4"/>
      <c r="DA616" s="4"/>
      <c r="DB616" s="4"/>
      <c r="DC616" s="4"/>
      <c r="DD616" s="4"/>
      <c r="DE616" s="4"/>
      <c r="DF616" s="4"/>
      <c r="DG616" s="4"/>
      <c r="DH616" s="4"/>
      <c r="DI616" s="4"/>
      <c r="DJ616" s="4"/>
      <c r="DK616" s="4"/>
      <c r="DL616" s="4"/>
      <c r="DM616" s="4"/>
      <c r="DN616" s="4"/>
      <c r="DO616" s="4"/>
      <c r="DP616" s="4"/>
      <c r="DQ616" s="4"/>
      <c r="DR616" s="4"/>
      <c r="DS616" s="4"/>
      <c r="DT616" s="4"/>
      <c r="DU616" s="4"/>
      <c r="DV616" s="4"/>
    </row>
    <row r="617">
      <c r="A617" s="2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  <c r="CI617" s="4"/>
      <c r="CJ617" s="4"/>
      <c r="CK617" s="4"/>
      <c r="CL617" s="4"/>
      <c r="CM617" s="4"/>
      <c r="CN617" s="4"/>
      <c r="CO617" s="4"/>
      <c r="CP617" s="4"/>
      <c r="CQ617" s="4"/>
      <c r="CR617" s="4"/>
      <c r="CS617" s="4"/>
      <c r="CT617" s="4"/>
      <c r="CU617" s="4"/>
      <c r="CV617" s="4"/>
      <c r="CW617" s="4"/>
      <c r="CX617" s="4"/>
      <c r="CY617" s="4"/>
      <c r="CZ617" s="4"/>
      <c r="DA617" s="4"/>
      <c r="DB617" s="4"/>
      <c r="DC617" s="4"/>
      <c r="DD617" s="4"/>
      <c r="DE617" s="4"/>
      <c r="DF617" s="4"/>
      <c r="DG617" s="4"/>
      <c r="DH617" s="4"/>
      <c r="DI617" s="4"/>
      <c r="DJ617" s="4"/>
      <c r="DK617" s="4"/>
      <c r="DL617" s="4"/>
      <c r="DM617" s="4"/>
      <c r="DN617" s="4"/>
      <c r="DO617" s="4"/>
      <c r="DP617" s="4"/>
      <c r="DQ617" s="4"/>
      <c r="DR617" s="4"/>
      <c r="DS617" s="4"/>
      <c r="DT617" s="4"/>
      <c r="DU617" s="4"/>
      <c r="DV617" s="4"/>
    </row>
    <row r="618">
      <c r="A618" s="2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  <c r="CI618" s="4"/>
      <c r="CJ618" s="4"/>
      <c r="CK618" s="4"/>
      <c r="CL618" s="4"/>
      <c r="CM618" s="4"/>
      <c r="CN618" s="4"/>
      <c r="CO618" s="4"/>
      <c r="CP618" s="4"/>
      <c r="CQ618" s="4"/>
      <c r="CR618" s="4"/>
      <c r="CS618" s="4"/>
      <c r="CT618" s="4"/>
      <c r="CU618" s="4"/>
      <c r="CV618" s="4"/>
      <c r="CW618" s="4"/>
      <c r="CX618" s="4"/>
      <c r="CY618" s="4"/>
      <c r="CZ618" s="4"/>
      <c r="DA618" s="4"/>
      <c r="DB618" s="4"/>
      <c r="DC618" s="4"/>
      <c r="DD618" s="4"/>
      <c r="DE618" s="4"/>
      <c r="DF618" s="4"/>
      <c r="DG618" s="4"/>
      <c r="DH618" s="4"/>
      <c r="DI618" s="4"/>
      <c r="DJ618" s="4"/>
      <c r="DK618" s="4"/>
      <c r="DL618" s="4"/>
      <c r="DM618" s="4"/>
      <c r="DN618" s="4"/>
      <c r="DO618" s="4"/>
      <c r="DP618" s="4"/>
      <c r="DQ618" s="4"/>
      <c r="DR618" s="4"/>
      <c r="DS618" s="4"/>
      <c r="DT618" s="4"/>
      <c r="DU618" s="4"/>
      <c r="DV618" s="4"/>
    </row>
    <row r="619">
      <c r="A619" s="2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  <c r="CI619" s="4"/>
      <c r="CJ619" s="4"/>
      <c r="CK619" s="4"/>
      <c r="CL619" s="4"/>
      <c r="CM619" s="4"/>
      <c r="CN619" s="4"/>
      <c r="CO619" s="4"/>
      <c r="CP619" s="4"/>
      <c r="CQ619" s="4"/>
      <c r="CR619" s="4"/>
      <c r="CS619" s="4"/>
      <c r="CT619" s="4"/>
      <c r="CU619" s="4"/>
      <c r="CV619" s="4"/>
      <c r="CW619" s="4"/>
      <c r="CX619" s="4"/>
      <c r="CY619" s="4"/>
      <c r="CZ619" s="4"/>
      <c r="DA619" s="4"/>
      <c r="DB619" s="4"/>
      <c r="DC619" s="4"/>
      <c r="DD619" s="4"/>
      <c r="DE619" s="4"/>
      <c r="DF619" s="4"/>
      <c r="DG619" s="4"/>
      <c r="DH619" s="4"/>
      <c r="DI619" s="4"/>
      <c r="DJ619" s="4"/>
      <c r="DK619" s="4"/>
      <c r="DL619" s="4"/>
      <c r="DM619" s="4"/>
      <c r="DN619" s="4"/>
      <c r="DO619" s="4"/>
      <c r="DP619" s="4"/>
      <c r="DQ619" s="4"/>
      <c r="DR619" s="4"/>
      <c r="DS619" s="4"/>
      <c r="DT619" s="4"/>
      <c r="DU619" s="4"/>
      <c r="DV619" s="4"/>
    </row>
    <row r="620">
      <c r="A620" s="2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  <c r="CI620" s="4"/>
      <c r="CJ620" s="4"/>
      <c r="CK620" s="4"/>
      <c r="CL620" s="4"/>
      <c r="CM620" s="4"/>
      <c r="CN620" s="4"/>
      <c r="CO620" s="4"/>
      <c r="CP620" s="4"/>
      <c r="CQ620" s="4"/>
      <c r="CR620" s="4"/>
      <c r="CS620" s="4"/>
      <c r="CT620" s="4"/>
      <c r="CU620" s="4"/>
      <c r="CV620" s="4"/>
      <c r="CW620" s="4"/>
      <c r="CX620" s="4"/>
      <c r="CY620" s="4"/>
      <c r="CZ620" s="4"/>
      <c r="DA620" s="4"/>
      <c r="DB620" s="4"/>
      <c r="DC620" s="4"/>
      <c r="DD620" s="4"/>
      <c r="DE620" s="4"/>
      <c r="DF620" s="4"/>
      <c r="DG620" s="4"/>
      <c r="DH620" s="4"/>
      <c r="DI620" s="4"/>
      <c r="DJ620" s="4"/>
      <c r="DK620" s="4"/>
      <c r="DL620" s="4"/>
      <c r="DM620" s="4"/>
      <c r="DN620" s="4"/>
      <c r="DO620" s="4"/>
      <c r="DP620" s="4"/>
      <c r="DQ620" s="4"/>
      <c r="DR620" s="4"/>
      <c r="DS620" s="4"/>
      <c r="DT620" s="4"/>
      <c r="DU620" s="4"/>
      <c r="DV620" s="4"/>
    </row>
    <row r="621">
      <c r="A621" s="2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  <c r="CI621" s="4"/>
      <c r="CJ621" s="4"/>
      <c r="CK621" s="4"/>
      <c r="CL621" s="4"/>
      <c r="CM621" s="4"/>
      <c r="CN621" s="4"/>
      <c r="CO621" s="4"/>
      <c r="CP621" s="4"/>
      <c r="CQ621" s="4"/>
      <c r="CR621" s="4"/>
      <c r="CS621" s="4"/>
      <c r="CT621" s="4"/>
      <c r="CU621" s="4"/>
      <c r="CV621" s="4"/>
      <c r="CW621" s="4"/>
      <c r="CX621" s="4"/>
      <c r="CY621" s="4"/>
      <c r="CZ621" s="4"/>
      <c r="DA621" s="4"/>
      <c r="DB621" s="4"/>
      <c r="DC621" s="4"/>
      <c r="DD621" s="4"/>
      <c r="DE621" s="4"/>
      <c r="DF621" s="4"/>
      <c r="DG621" s="4"/>
      <c r="DH621" s="4"/>
      <c r="DI621" s="4"/>
      <c r="DJ621" s="4"/>
      <c r="DK621" s="4"/>
      <c r="DL621" s="4"/>
      <c r="DM621" s="4"/>
      <c r="DN621" s="4"/>
      <c r="DO621" s="4"/>
      <c r="DP621" s="4"/>
      <c r="DQ621" s="4"/>
      <c r="DR621" s="4"/>
      <c r="DS621" s="4"/>
      <c r="DT621" s="4"/>
      <c r="DU621" s="4"/>
      <c r="DV621" s="4"/>
    </row>
    <row r="622">
      <c r="A622" s="2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  <c r="CI622" s="4"/>
      <c r="CJ622" s="4"/>
      <c r="CK622" s="4"/>
      <c r="CL622" s="4"/>
      <c r="CM622" s="4"/>
      <c r="CN622" s="4"/>
      <c r="CO622" s="4"/>
      <c r="CP622" s="4"/>
      <c r="CQ622" s="4"/>
      <c r="CR622" s="4"/>
      <c r="CS622" s="4"/>
      <c r="CT622" s="4"/>
      <c r="CU622" s="4"/>
      <c r="CV622" s="4"/>
      <c r="CW622" s="4"/>
      <c r="CX622" s="4"/>
      <c r="CY622" s="4"/>
      <c r="CZ622" s="4"/>
      <c r="DA622" s="4"/>
      <c r="DB622" s="4"/>
      <c r="DC622" s="4"/>
      <c r="DD622" s="4"/>
      <c r="DE622" s="4"/>
      <c r="DF622" s="4"/>
      <c r="DG622" s="4"/>
      <c r="DH622" s="4"/>
      <c r="DI622" s="4"/>
      <c r="DJ622" s="4"/>
      <c r="DK622" s="4"/>
      <c r="DL622" s="4"/>
      <c r="DM622" s="4"/>
      <c r="DN622" s="4"/>
      <c r="DO622" s="4"/>
      <c r="DP622" s="4"/>
      <c r="DQ622" s="4"/>
      <c r="DR622" s="4"/>
      <c r="DS622" s="4"/>
      <c r="DT622" s="4"/>
      <c r="DU622" s="4"/>
      <c r="DV622" s="4"/>
    </row>
    <row r="623">
      <c r="A623" s="2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  <c r="CI623" s="4"/>
      <c r="CJ623" s="4"/>
      <c r="CK623" s="4"/>
      <c r="CL623" s="4"/>
      <c r="CM623" s="4"/>
      <c r="CN623" s="4"/>
      <c r="CO623" s="4"/>
      <c r="CP623" s="4"/>
      <c r="CQ623" s="4"/>
      <c r="CR623" s="4"/>
      <c r="CS623" s="4"/>
      <c r="CT623" s="4"/>
      <c r="CU623" s="4"/>
      <c r="CV623" s="4"/>
      <c r="CW623" s="4"/>
      <c r="CX623" s="4"/>
      <c r="CY623" s="4"/>
      <c r="CZ623" s="4"/>
      <c r="DA623" s="4"/>
      <c r="DB623" s="4"/>
      <c r="DC623" s="4"/>
      <c r="DD623" s="4"/>
      <c r="DE623" s="4"/>
      <c r="DF623" s="4"/>
      <c r="DG623" s="4"/>
      <c r="DH623" s="4"/>
      <c r="DI623" s="4"/>
      <c r="DJ623" s="4"/>
      <c r="DK623" s="4"/>
      <c r="DL623" s="4"/>
      <c r="DM623" s="4"/>
      <c r="DN623" s="4"/>
      <c r="DO623" s="4"/>
      <c r="DP623" s="4"/>
      <c r="DQ623" s="4"/>
      <c r="DR623" s="4"/>
      <c r="DS623" s="4"/>
      <c r="DT623" s="4"/>
      <c r="DU623" s="4"/>
      <c r="DV623" s="4"/>
    </row>
    <row r="624">
      <c r="A624" s="2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  <c r="CI624" s="4"/>
      <c r="CJ624" s="4"/>
      <c r="CK624" s="4"/>
      <c r="CL624" s="4"/>
      <c r="CM624" s="4"/>
      <c r="CN624" s="4"/>
      <c r="CO624" s="4"/>
      <c r="CP624" s="4"/>
      <c r="CQ624" s="4"/>
      <c r="CR624" s="4"/>
      <c r="CS624" s="4"/>
      <c r="CT624" s="4"/>
      <c r="CU624" s="4"/>
      <c r="CV624" s="4"/>
      <c r="CW624" s="4"/>
      <c r="CX624" s="4"/>
      <c r="CY624" s="4"/>
      <c r="CZ624" s="4"/>
      <c r="DA624" s="4"/>
      <c r="DB624" s="4"/>
      <c r="DC624" s="4"/>
      <c r="DD624" s="4"/>
      <c r="DE624" s="4"/>
      <c r="DF624" s="4"/>
      <c r="DG624" s="4"/>
      <c r="DH624" s="4"/>
      <c r="DI624" s="4"/>
      <c r="DJ624" s="4"/>
      <c r="DK624" s="4"/>
      <c r="DL624" s="4"/>
      <c r="DM624" s="4"/>
      <c r="DN624" s="4"/>
      <c r="DO624" s="4"/>
      <c r="DP624" s="4"/>
      <c r="DQ624" s="4"/>
      <c r="DR624" s="4"/>
      <c r="DS624" s="4"/>
      <c r="DT624" s="4"/>
      <c r="DU624" s="4"/>
      <c r="DV624" s="4"/>
    </row>
    <row r="625">
      <c r="A625" s="2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  <c r="CI625" s="4"/>
      <c r="CJ625" s="4"/>
      <c r="CK625" s="4"/>
      <c r="CL625" s="4"/>
      <c r="CM625" s="4"/>
      <c r="CN625" s="4"/>
      <c r="CO625" s="4"/>
      <c r="CP625" s="4"/>
      <c r="CQ625" s="4"/>
      <c r="CR625" s="4"/>
      <c r="CS625" s="4"/>
      <c r="CT625" s="4"/>
      <c r="CU625" s="4"/>
      <c r="CV625" s="4"/>
      <c r="CW625" s="4"/>
      <c r="CX625" s="4"/>
      <c r="CY625" s="4"/>
      <c r="CZ625" s="4"/>
      <c r="DA625" s="4"/>
      <c r="DB625" s="4"/>
      <c r="DC625" s="4"/>
      <c r="DD625" s="4"/>
      <c r="DE625" s="4"/>
      <c r="DF625" s="4"/>
      <c r="DG625" s="4"/>
      <c r="DH625" s="4"/>
      <c r="DI625" s="4"/>
      <c r="DJ625" s="4"/>
      <c r="DK625" s="4"/>
      <c r="DL625" s="4"/>
      <c r="DM625" s="4"/>
      <c r="DN625" s="4"/>
      <c r="DO625" s="4"/>
      <c r="DP625" s="4"/>
      <c r="DQ625" s="4"/>
      <c r="DR625" s="4"/>
      <c r="DS625" s="4"/>
      <c r="DT625" s="4"/>
      <c r="DU625" s="4"/>
      <c r="DV625" s="4"/>
    </row>
    <row r="626">
      <c r="A626" s="2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  <c r="CI626" s="4"/>
      <c r="CJ626" s="4"/>
      <c r="CK626" s="4"/>
      <c r="CL626" s="4"/>
      <c r="CM626" s="4"/>
      <c r="CN626" s="4"/>
      <c r="CO626" s="4"/>
      <c r="CP626" s="4"/>
      <c r="CQ626" s="4"/>
      <c r="CR626" s="4"/>
      <c r="CS626" s="4"/>
      <c r="CT626" s="4"/>
      <c r="CU626" s="4"/>
      <c r="CV626" s="4"/>
      <c r="CW626" s="4"/>
      <c r="CX626" s="4"/>
      <c r="CY626" s="4"/>
      <c r="CZ626" s="4"/>
      <c r="DA626" s="4"/>
      <c r="DB626" s="4"/>
      <c r="DC626" s="4"/>
      <c r="DD626" s="4"/>
      <c r="DE626" s="4"/>
      <c r="DF626" s="4"/>
      <c r="DG626" s="4"/>
      <c r="DH626" s="4"/>
      <c r="DI626" s="4"/>
      <c r="DJ626" s="4"/>
      <c r="DK626" s="4"/>
      <c r="DL626" s="4"/>
      <c r="DM626" s="4"/>
      <c r="DN626" s="4"/>
      <c r="DO626" s="4"/>
      <c r="DP626" s="4"/>
      <c r="DQ626" s="4"/>
      <c r="DR626" s="4"/>
      <c r="DS626" s="4"/>
      <c r="DT626" s="4"/>
      <c r="DU626" s="4"/>
      <c r="DV626" s="4"/>
    </row>
    <row r="627">
      <c r="A627" s="2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  <c r="CI627" s="4"/>
      <c r="CJ627" s="4"/>
      <c r="CK627" s="4"/>
      <c r="CL627" s="4"/>
      <c r="CM627" s="4"/>
      <c r="CN627" s="4"/>
      <c r="CO627" s="4"/>
      <c r="CP627" s="4"/>
      <c r="CQ627" s="4"/>
      <c r="CR627" s="4"/>
      <c r="CS627" s="4"/>
      <c r="CT627" s="4"/>
      <c r="CU627" s="4"/>
      <c r="CV627" s="4"/>
      <c r="CW627" s="4"/>
      <c r="CX627" s="4"/>
      <c r="CY627" s="4"/>
      <c r="CZ627" s="4"/>
      <c r="DA627" s="4"/>
      <c r="DB627" s="4"/>
      <c r="DC627" s="4"/>
      <c r="DD627" s="4"/>
      <c r="DE627" s="4"/>
      <c r="DF627" s="4"/>
      <c r="DG627" s="4"/>
      <c r="DH627" s="4"/>
      <c r="DI627" s="4"/>
      <c r="DJ627" s="4"/>
      <c r="DK627" s="4"/>
      <c r="DL627" s="4"/>
      <c r="DM627" s="4"/>
      <c r="DN627" s="4"/>
      <c r="DO627" s="4"/>
      <c r="DP627" s="4"/>
      <c r="DQ627" s="4"/>
      <c r="DR627" s="4"/>
      <c r="DS627" s="4"/>
      <c r="DT627" s="4"/>
      <c r="DU627" s="4"/>
      <c r="DV627" s="4"/>
    </row>
    <row r="628">
      <c r="A628" s="2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  <c r="CI628" s="4"/>
      <c r="CJ628" s="4"/>
      <c r="CK628" s="4"/>
      <c r="CL628" s="4"/>
      <c r="CM628" s="4"/>
      <c r="CN628" s="4"/>
      <c r="CO628" s="4"/>
      <c r="CP628" s="4"/>
      <c r="CQ628" s="4"/>
      <c r="CR628" s="4"/>
      <c r="CS628" s="4"/>
      <c r="CT628" s="4"/>
      <c r="CU628" s="4"/>
      <c r="CV628" s="4"/>
      <c r="CW628" s="4"/>
      <c r="CX628" s="4"/>
      <c r="CY628" s="4"/>
      <c r="CZ628" s="4"/>
      <c r="DA628" s="4"/>
      <c r="DB628" s="4"/>
      <c r="DC628" s="4"/>
      <c r="DD628" s="4"/>
      <c r="DE628" s="4"/>
      <c r="DF628" s="4"/>
      <c r="DG628" s="4"/>
      <c r="DH628" s="4"/>
      <c r="DI628" s="4"/>
      <c r="DJ628" s="4"/>
      <c r="DK628" s="4"/>
      <c r="DL628" s="4"/>
      <c r="DM628" s="4"/>
      <c r="DN628" s="4"/>
      <c r="DO628" s="4"/>
      <c r="DP628" s="4"/>
      <c r="DQ628" s="4"/>
      <c r="DR628" s="4"/>
      <c r="DS628" s="4"/>
      <c r="DT628" s="4"/>
      <c r="DU628" s="4"/>
      <c r="DV628" s="4"/>
    </row>
    <row r="629">
      <c r="A629" s="2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  <c r="CI629" s="4"/>
      <c r="CJ629" s="4"/>
      <c r="CK629" s="4"/>
      <c r="CL629" s="4"/>
      <c r="CM629" s="4"/>
      <c r="CN629" s="4"/>
      <c r="CO629" s="4"/>
      <c r="CP629" s="4"/>
      <c r="CQ629" s="4"/>
      <c r="CR629" s="4"/>
      <c r="CS629" s="4"/>
      <c r="CT629" s="4"/>
      <c r="CU629" s="4"/>
      <c r="CV629" s="4"/>
      <c r="CW629" s="4"/>
      <c r="CX629" s="4"/>
      <c r="CY629" s="4"/>
      <c r="CZ629" s="4"/>
      <c r="DA629" s="4"/>
      <c r="DB629" s="4"/>
      <c r="DC629" s="4"/>
      <c r="DD629" s="4"/>
      <c r="DE629" s="4"/>
      <c r="DF629" s="4"/>
      <c r="DG629" s="4"/>
      <c r="DH629" s="4"/>
      <c r="DI629" s="4"/>
      <c r="DJ629" s="4"/>
      <c r="DK629" s="4"/>
      <c r="DL629" s="4"/>
      <c r="DM629" s="4"/>
      <c r="DN629" s="4"/>
      <c r="DO629" s="4"/>
      <c r="DP629" s="4"/>
      <c r="DQ629" s="4"/>
      <c r="DR629" s="4"/>
      <c r="DS629" s="4"/>
      <c r="DT629" s="4"/>
      <c r="DU629" s="4"/>
      <c r="DV629" s="4"/>
    </row>
    <row r="630">
      <c r="A630" s="2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  <c r="CI630" s="4"/>
      <c r="CJ630" s="4"/>
      <c r="CK630" s="4"/>
      <c r="CL630" s="4"/>
      <c r="CM630" s="4"/>
      <c r="CN630" s="4"/>
      <c r="CO630" s="4"/>
      <c r="CP630" s="4"/>
      <c r="CQ630" s="4"/>
      <c r="CR630" s="4"/>
      <c r="CS630" s="4"/>
      <c r="CT630" s="4"/>
      <c r="CU630" s="4"/>
      <c r="CV630" s="4"/>
      <c r="CW630" s="4"/>
      <c r="CX630" s="4"/>
      <c r="CY630" s="4"/>
      <c r="CZ630" s="4"/>
      <c r="DA630" s="4"/>
      <c r="DB630" s="4"/>
      <c r="DC630" s="4"/>
      <c r="DD630" s="4"/>
      <c r="DE630" s="4"/>
      <c r="DF630" s="4"/>
      <c r="DG630" s="4"/>
      <c r="DH630" s="4"/>
      <c r="DI630" s="4"/>
      <c r="DJ630" s="4"/>
      <c r="DK630" s="4"/>
      <c r="DL630" s="4"/>
      <c r="DM630" s="4"/>
      <c r="DN630" s="4"/>
      <c r="DO630" s="4"/>
      <c r="DP630" s="4"/>
      <c r="DQ630" s="4"/>
      <c r="DR630" s="4"/>
      <c r="DS630" s="4"/>
      <c r="DT630" s="4"/>
      <c r="DU630" s="4"/>
      <c r="DV630" s="4"/>
    </row>
    <row r="631">
      <c r="A631" s="2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  <c r="CI631" s="4"/>
      <c r="CJ631" s="4"/>
      <c r="CK631" s="4"/>
      <c r="CL631" s="4"/>
      <c r="CM631" s="4"/>
      <c r="CN631" s="4"/>
      <c r="CO631" s="4"/>
      <c r="CP631" s="4"/>
      <c r="CQ631" s="4"/>
      <c r="CR631" s="4"/>
      <c r="CS631" s="4"/>
      <c r="CT631" s="4"/>
      <c r="CU631" s="4"/>
      <c r="CV631" s="4"/>
      <c r="CW631" s="4"/>
      <c r="CX631" s="4"/>
      <c r="CY631" s="4"/>
      <c r="CZ631" s="4"/>
      <c r="DA631" s="4"/>
      <c r="DB631" s="4"/>
      <c r="DC631" s="4"/>
      <c r="DD631" s="4"/>
      <c r="DE631" s="4"/>
      <c r="DF631" s="4"/>
      <c r="DG631" s="4"/>
      <c r="DH631" s="4"/>
      <c r="DI631" s="4"/>
      <c r="DJ631" s="4"/>
      <c r="DK631" s="4"/>
      <c r="DL631" s="4"/>
      <c r="DM631" s="4"/>
      <c r="DN631" s="4"/>
      <c r="DO631" s="4"/>
      <c r="DP631" s="4"/>
      <c r="DQ631" s="4"/>
      <c r="DR631" s="4"/>
      <c r="DS631" s="4"/>
      <c r="DT631" s="4"/>
      <c r="DU631" s="4"/>
      <c r="DV631" s="4"/>
    </row>
    <row r="632">
      <c r="A632" s="2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  <c r="CI632" s="4"/>
      <c r="CJ632" s="4"/>
      <c r="CK632" s="4"/>
      <c r="CL632" s="4"/>
      <c r="CM632" s="4"/>
      <c r="CN632" s="4"/>
      <c r="CO632" s="4"/>
      <c r="CP632" s="4"/>
      <c r="CQ632" s="4"/>
      <c r="CR632" s="4"/>
      <c r="CS632" s="4"/>
      <c r="CT632" s="4"/>
      <c r="CU632" s="4"/>
      <c r="CV632" s="4"/>
      <c r="CW632" s="4"/>
      <c r="CX632" s="4"/>
      <c r="CY632" s="4"/>
      <c r="CZ632" s="4"/>
      <c r="DA632" s="4"/>
      <c r="DB632" s="4"/>
      <c r="DC632" s="4"/>
      <c r="DD632" s="4"/>
      <c r="DE632" s="4"/>
      <c r="DF632" s="4"/>
      <c r="DG632" s="4"/>
      <c r="DH632" s="4"/>
      <c r="DI632" s="4"/>
      <c r="DJ632" s="4"/>
      <c r="DK632" s="4"/>
      <c r="DL632" s="4"/>
      <c r="DM632" s="4"/>
      <c r="DN632" s="4"/>
      <c r="DO632" s="4"/>
      <c r="DP632" s="4"/>
      <c r="DQ632" s="4"/>
      <c r="DR632" s="4"/>
      <c r="DS632" s="4"/>
      <c r="DT632" s="4"/>
      <c r="DU632" s="4"/>
      <c r="DV632" s="4"/>
    </row>
    <row r="633">
      <c r="A633" s="2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  <c r="CI633" s="4"/>
      <c r="CJ633" s="4"/>
      <c r="CK633" s="4"/>
      <c r="CL633" s="4"/>
      <c r="CM633" s="4"/>
      <c r="CN633" s="4"/>
      <c r="CO633" s="4"/>
      <c r="CP633" s="4"/>
      <c r="CQ633" s="4"/>
      <c r="CR633" s="4"/>
      <c r="CS633" s="4"/>
      <c r="CT633" s="4"/>
      <c r="CU633" s="4"/>
      <c r="CV633" s="4"/>
      <c r="CW633" s="4"/>
      <c r="CX633" s="4"/>
      <c r="CY633" s="4"/>
      <c r="CZ633" s="4"/>
      <c r="DA633" s="4"/>
      <c r="DB633" s="4"/>
      <c r="DC633" s="4"/>
      <c r="DD633" s="4"/>
      <c r="DE633" s="4"/>
      <c r="DF633" s="4"/>
      <c r="DG633" s="4"/>
      <c r="DH633" s="4"/>
      <c r="DI633" s="4"/>
      <c r="DJ633" s="4"/>
      <c r="DK633" s="4"/>
      <c r="DL633" s="4"/>
      <c r="DM633" s="4"/>
      <c r="DN633" s="4"/>
      <c r="DO633" s="4"/>
      <c r="DP633" s="4"/>
      <c r="DQ633" s="4"/>
      <c r="DR633" s="4"/>
      <c r="DS633" s="4"/>
      <c r="DT633" s="4"/>
      <c r="DU633" s="4"/>
      <c r="DV633" s="4"/>
    </row>
    <row r="634">
      <c r="A634" s="2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  <c r="CI634" s="4"/>
      <c r="CJ634" s="4"/>
      <c r="CK634" s="4"/>
      <c r="CL634" s="4"/>
      <c r="CM634" s="4"/>
      <c r="CN634" s="4"/>
      <c r="CO634" s="4"/>
      <c r="CP634" s="4"/>
      <c r="CQ634" s="4"/>
      <c r="CR634" s="4"/>
      <c r="CS634" s="4"/>
      <c r="CT634" s="4"/>
      <c r="CU634" s="4"/>
      <c r="CV634" s="4"/>
      <c r="CW634" s="4"/>
      <c r="CX634" s="4"/>
      <c r="CY634" s="4"/>
      <c r="CZ634" s="4"/>
      <c r="DA634" s="4"/>
      <c r="DB634" s="4"/>
      <c r="DC634" s="4"/>
      <c r="DD634" s="4"/>
      <c r="DE634" s="4"/>
      <c r="DF634" s="4"/>
      <c r="DG634" s="4"/>
      <c r="DH634" s="4"/>
      <c r="DI634" s="4"/>
      <c r="DJ634" s="4"/>
      <c r="DK634" s="4"/>
      <c r="DL634" s="4"/>
      <c r="DM634" s="4"/>
      <c r="DN634" s="4"/>
      <c r="DO634" s="4"/>
      <c r="DP634" s="4"/>
      <c r="DQ634" s="4"/>
      <c r="DR634" s="4"/>
      <c r="DS634" s="4"/>
      <c r="DT634" s="4"/>
      <c r="DU634" s="4"/>
      <c r="DV634" s="4"/>
    </row>
    <row r="635">
      <c r="A635" s="2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  <c r="CI635" s="4"/>
      <c r="CJ635" s="4"/>
      <c r="CK635" s="4"/>
      <c r="CL635" s="4"/>
      <c r="CM635" s="4"/>
      <c r="CN635" s="4"/>
      <c r="CO635" s="4"/>
      <c r="CP635" s="4"/>
      <c r="CQ635" s="4"/>
      <c r="CR635" s="4"/>
      <c r="CS635" s="4"/>
      <c r="CT635" s="4"/>
      <c r="CU635" s="4"/>
      <c r="CV635" s="4"/>
      <c r="CW635" s="4"/>
      <c r="CX635" s="4"/>
      <c r="CY635" s="4"/>
      <c r="CZ635" s="4"/>
      <c r="DA635" s="4"/>
      <c r="DB635" s="4"/>
      <c r="DC635" s="4"/>
      <c r="DD635" s="4"/>
      <c r="DE635" s="4"/>
      <c r="DF635" s="4"/>
      <c r="DG635" s="4"/>
      <c r="DH635" s="4"/>
      <c r="DI635" s="4"/>
      <c r="DJ635" s="4"/>
      <c r="DK635" s="4"/>
      <c r="DL635" s="4"/>
      <c r="DM635" s="4"/>
      <c r="DN635" s="4"/>
      <c r="DO635" s="4"/>
      <c r="DP635" s="4"/>
      <c r="DQ635" s="4"/>
      <c r="DR635" s="4"/>
      <c r="DS635" s="4"/>
      <c r="DT635" s="4"/>
      <c r="DU635" s="4"/>
      <c r="DV635" s="4"/>
    </row>
    <row r="636">
      <c r="A636" s="2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  <c r="CI636" s="4"/>
      <c r="CJ636" s="4"/>
      <c r="CK636" s="4"/>
      <c r="CL636" s="4"/>
      <c r="CM636" s="4"/>
      <c r="CN636" s="4"/>
      <c r="CO636" s="4"/>
      <c r="CP636" s="4"/>
      <c r="CQ636" s="4"/>
      <c r="CR636" s="4"/>
      <c r="CS636" s="4"/>
      <c r="CT636" s="4"/>
      <c r="CU636" s="4"/>
      <c r="CV636" s="4"/>
      <c r="CW636" s="4"/>
      <c r="CX636" s="4"/>
      <c r="CY636" s="4"/>
      <c r="CZ636" s="4"/>
      <c r="DA636" s="4"/>
      <c r="DB636" s="4"/>
      <c r="DC636" s="4"/>
      <c r="DD636" s="4"/>
      <c r="DE636" s="4"/>
      <c r="DF636" s="4"/>
      <c r="DG636" s="4"/>
      <c r="DH636" s="4"/>
      <c r="DI636" s="4"/>
      <c r="DJ636" s="4"/>
      <c r="DK636" s="4"/>
      <c r="DL636" s="4"/>
      <c r="DM636" s="4"/>
      <c r="DN636" s="4"/>
      <c r="DO636" s="4"/>
      <c r="DP636" s="4"/>
      <c r="DQ636" s="4"/>
      <c r="DR636" s="4"/>
      <c r="DS636" s="4"/>
      <c r="DT636" s="4"/>
      <c r="DU636" s="4"/>
      <c r="DV636" s="4"/>
    </row>
    <row r="637">
      <c r="A637" s="2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  <c r="CI637" s="4"/>
      <c r="CJ637" s="4"/>
      <c r="CK637" s="4"/>
      <c r="CL637" s="4"/>
      <c r="CM637" s="4"/>
      <c r="CN637" s="4"/>
      <c r="CO637" s="4"/>
      <c r="CP637" s="4"/>
      <c r="CQ637" s="4"/>
      <c r="CR637" s="4"/>
      <c r="CS637" s="4"/>
      <c r="CT637" s="4"/>
      <c r="CU637" s="4"/>
      <c r="CV637" s="4"/>
      <c r="CW637" s="4"/>
      <c r="CX637" s="4"/>
      <c r="CY637" s="4"/>
      <c r="CZ637" s="4"/>
      <c r="DA637" s="4"/>
      <c r="DB637" s="4"/>
      <c r="DC637" s="4"/>
      <c r="DD637" s="4"/>
      <c r="DE637" s="4"/>
      <c r="DF637" s="4"/>
      <c r="DG637" s="4"/>
      <c r="DH637" s="4"/>
      <c r="DI637" s="4"/>
      <c r="DJ637" s="4"/>
      <c r="DK637" s="4"/>
      <c r="DL637" s="4"/>
      <c r="DM637" s="4"/>
      <c r="DN637" s="4"/>
      <c r="DO637" s="4"/>
      <c r="DP637" s="4"/>
      <c r="DQ637" s="4"/>
      <c r="DR637" s="4"/>
      <c r="DS637" s="4"/>
      <c r="DT637" s="4"/>
      <c r="DU637" s="4"/>
      <c r="DV637" s="4"/>
    </row>
    <row r="638">
      <c r="A638" s="2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  <c r="CI638" s="4"/>
      <c r="CJ638" s="4"/>
      <c r="CK638" s="4"/>
      <c r="CL638" s="4"/>
      <c r="CM638" s="4"/>
      <c r="CN638" s="4"/>
      <c r="CO638" s="4"/>
      <c r="CP638" s="4"/>
      <c r="CQ638" s="4"/>
      <c r="CR638" s="4"/>
      <c r="CS638" s="4"/>
      <c r="CT638" s="4"/>
      <c r="CU638" s="4"/>
      <c r="CV638" s="4"/>
      <c r="CW638" s="4"/>
      <c r="CX638" s="4"/>
      <c r="CY638" s="4"/>
      <c r="CZ638" s="4"/>
      <c r="DA638" s="4"/>
      <c r="DB638" s="4"/>
      <c r="DC638" s="4"/>
      <c r="DD638" s="4"/>
      <c r="DE638" s="4"/>
      <c r="DF638" s="4"/>
      <c r="DG638" s="4"/>
      <c r="DH638" s="4"/>
      <c r="DI638" s="4"/>
      <c r="DJ638" s="4"/>
      <c r="DK638" s="4"/>
      <c r="DL638" s="4"/>
      <c r="DM638" s="4"/>
      <c r="DN638" s="4"/>
      <c r="DO638" s="4"/>
      <c r="DP638" s="4"/>
      <c r="DQ638" s="4"/>
      <c r="DR638" s="4"/>
      <c r="DS638" s="4"/>
      <c r="DT638" s="4"/>
      <c r="DU638" s="4"/>
      <c r="DV638" s="4"/>
    </row>
    <row r="639">
      <c r="A639" s="2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  <c r="CI639" s="4"/>
      <c r="CJ639" s="4"/>
      <c r="CK639" s="4"/>
      <c r="CL639" s="4"/>
      <c r="CM639" s="4"/>
      <c r="CN639" s="4"/>
      <c r="CO639" s="4"/>
      <c r="CP639" s="4"/>
      <c r="CQ639" s="4"/>
      <c r="CR639" s="4"/>
      <c r="CS639" s="4"/>
      <c r="CT639" s="4"/>
      <c r="CU639" s="4"/>
      <c r="CV639" s="4"/>
      <c r="CW639" s="4"/>
      <c r="CX639" s="4"/>
      <c r="CY639" s="4"/>
      <c r="CZ639" s="4"/>
      <c r="DA639" s="4"/>
      <c r="DB639" s="4"/>
      <c r="DC639" s="4"/>
      <c r="DD639" s="4"/>
      <c r="DE639" s="4"/>
      <c r="DF639" s="4"/>
      <c r="DG639" s="4"/>
      <c r="DH639" s="4"/>
      <c r="DI639" s="4"/>
      <c r="DJ639" s="4"/>
      <c r="DK639" s="4"/>
      <c r="DL639" s="4"/>
      <c r="DM639" s="4"/>
      <c r="DN639" s="4"/>
      <c r="DO639" s="4"/>
      <c r="DP639" s="4"/>
      <c r="DQ639" s="4"/>
      <c r="DR639" s="4"/>
      <c r="DS639" s="4"/>
      <c r="DT639" s="4"/>
      <c r="DU639" s="4"/>
      <c r="DV639" s="4"/>
    </row>
    <row r="640">
      <c r="A640" s="2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  <c r="CI640" s="4"/>
      <c r="CJ640" s="4"/>
      <c r="CK640" s="4"/>
      <c r="CL640" s="4"/>
      <c r="CM640" s="4"/>
      <c r="CN640" s="4"/>
      <c r="CO640" s="4"/>
      <c r="CP640" s="4"/>
      <c r="CQ640" s="4"/>
      <c r="CR640" s="4"/>
      <c r="CS640" s="4"/>
      <c r="CT640" s="4"/>
      <c r="CU640" s="4"/>
      <c r="CV640" s="4"/>
      <c r="CW640" s="4"/>
      <c r="CX640" s="4"/>
      <c r="CY640" s="4"/>
      <c r="CZ640" s="4"/>
      <c r="DA640" s="4"/>
      <c r="DB640" s="4"/>
      <c r="DC640" s="4"/>
      <c r="DD640" s="4"/>
      <c r="DE640" s="4"/>
      <c r="DF640" s="4"/>
      <c r="DG640" s="4"/>
      <c r="DH640" s="4"/>
      <c r="DI640" s="4"/>
      <c r="DJ640" s="4"/>
      <c r="DK640" s="4"/>
      <c r="DL640" s="4"/>
      <c r="DM640" s="4"/>
      <c r="DN640" s="4"/>
      <c r="DO640" s="4"/>
      <c r="DP640" s="4"/>
      <c r="DQ640" s="4"/>
      <c r="DR640" s="4"/>
      <c r="DS640" s="4"/>
      <c r="DT640" s="4"/>
      <c r="DU640" s="4"/>
      <c r="DV640" s="4"/>
    </row>
    <row r="641">
      <c r="A641" s="2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  <c r="CI641" s="4"/>
      <c r="CJ641" s="4"/>
      <c r="CK641" s="4"/>
      <c r="CL641" s="4"/>
      <c r="CM641" s="4"/>
      <c r="CN641" s="4"/>
      <c r="CO641" s="4"/>
      <c r="CP641" s="4"/>
      <c r="CQ641" s="4"/>
      <c r="CR641" s="4"/>
      <c r="CS641" s="4"/>
      <c r="CT641" s="4"/>
      <c r="CU641" s="4"/>
      <c r="CV641" s="4"/>
      <c r="CW641" s="4"/>
      <c r="CX641" s="4"/>
      <c r="CY641" s="4"/>
      <c r="CZ641" s="4"/>
      <c r="DA641" s="4"/>
      <c r="DB641" s="4"/>
      <c r="DC641" s="4"/>
      <c r="DD641" s="4"/>
      <c r="DE641" s="4"/>
      <c r="DF641" s="4"/>
      <c r="DG641" s="4"/>
      <c r="DH641" s="4"/>
      <c r="DI641" s="4"/>
      <c r="DJ641" s="4"/>
      <c r="DK641" s="4"/>
      <c r="DL641" s="4"/>
      <c r="DM641" s="4"/>
      <c r="DN641" s="4"/>
      <c r="DO641" s="4"/>
      <c r="DP641" s="4"/>
      <c r="DQ641" s="4"/>
      <c r="DR641" s="4"/>
      <c r="DS641" s="4"/>
      <c r="DT641" s="4"/>
      <c r="DU641" s="4"/>
      <c r="DV641" s="4"/>
    </row>
    <row r="642">
      <c r="A642" s="2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  <c r="CI642" s="4"/>
      <c r="CJ642" s="4"/>
      <c r="CK642" s="4"/>
      <c r="CL642" s="4"/>
      <c r="CM642" s="4"/>
      <c r="CN642" s="4"/>
      <c r="CO642" s="4"/>
      <c r="CP642" s="4"/>
      <c r="CQ642" s="4"/>
      <c r="CR642" s="4"/>
      <c r="CS642" s="4"/>
      <c r="CT642" s="4"/>
      <c r="CU642" s="4"/>
      <c r="CV642" s="4"/>
      <c r="CW642" s="4"/>
      <c r="CX642" s="4"/>
      <c r="CY642" s="4"/>
      <c r="CZ642" s="4"/>
      <c r="DA642" s="4"/>
      <c r="DB642" s="4"/>
      <c r="DC642" s="4"/>
      <c r="DD642" s="4"/>
      <c r="DE642" s="4"/>
      <c r="DF642" s="4"/>
      <c r="DG642" s="4"/>
      <c r="DH642" s="4"/>
      <c r="DI642" s="4"/>
      <c r="DJ642" s="4"/>
      <c r="DK642" s="4"/>
      <c r="DL642" s="4"/>
      <c r="DM642" s="4"/>
      <c r="DN642" s="4"/>
      <c r="DO642" s="4"/>
      <c r="DP642" s="4"/>
      <c r="DQ642" s="4"/>
      <c r="DR642" s="4"/>
      <c r="DS642" s="4"/>
      <c r="DT642" s="4"/>
      <c r="DU642" s="4"/>
      <c r="DV642" s="4"/>
    </row>
    <row r="643">
      <c r="A643" s="2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  <c r="CI643" s="4"/>
      <c r="CJ643" s="4"/>
      <c r="CK643" s="4"/>
      <c r="CL643" s="4"/>
      <c r="CM643" s="4"/>
      <c r="CN643" s="4"/>
      <c r="CO643" s="4"/>
      <c r="CP643" s="4"/>
      <c r="CQ643" s="4"/>
      <c r="CR643" s="4"/>
      <c r="CS643" s="4"/>
      <c r="CT643" s="4"/>
      <c r="CU643" s="4"/>
      <c r="CV643" s="4"/>
      <c r="CW643" s="4"/>
      <c r="CX643" s="4"/>
      <c r="CY643" s="4"/>
      <c r="CZ643" s="4"/>
      <c r="DA643" s="4"/>
      <c r="DB643" s="4"/>
      <c r="DC643" s="4"/>
      <c r="DD643" s="4"/>
      <c r="DE643" s="4"/>
      <c r="DF643" s="4"/>
      <c r="DG643" s="4"/>
      <c r="DH643" s="4"/>
      <c r="DI643" s="4"/>
      <c r="DJ643" s="4"/>
      <c r="DK643" s="4"/>
      <c r="DL643" s="4"/>
      <c r="DM643" s="4"/>
      <c r="DN643" s="4"/>
      <c r="DO643" s="4"/>
      <c r="DP643" s="4"/>
      <c r="DQ643" s="4"/>
      <c r="DR643" s="4"/>
      <c r="DS643" s="4"/>
      <c r="DT643" s="4"/>
      <c r="DU643" s="4"/>
      <c r="DV643" s="4"/>
    </row>
    <row r="644">
      <c r="A644" s="2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  <c r="CI644" s="4"/>
      <c r="CJ644" s="4"/>
      <c r="CK644" s="4"/>
      <c r="CL644" s="4"/>
      <c r="CM644" s="4"/>
      <c r="CN644" s="4"/>
      <c r="CO644" s="4"/>
      <c r="CP644" s="4"/>
      <c r="CQ644" s="4"/>
      <c r="CR644" s="4"/>
      <c r="CS644" s="4"/>
      <c r="CT644" s="4"/>
      <c r="CU644" s="4"/>
      <c r="CV644" s="4"/>
      <c r="CW644" s="4"/>
      <c r="CX644" s="4"/>
      <c r="CY644" s="4"/>
      <c r="CZ644" s="4"/>
      <c r="DA644" s="4"/>
      <c r="DB644" s="4"/>
      <c r="DC644" s="4"/>
      <c r="DD644" s="4"/>
      <c r="DE644" s="4"/>
      <c r="DF644" s="4"/>
      <c r="DG644" s="4"/>
      <c r="DH644" s="4"/>
      <c r="DI644" s="4"/>
      <c r="DJ644" s="4"/>
      <c r="DK644" s="4"/>
      <c r="DL644" s="4"/>
      <c r="DM644" s="4"/>
      <c r="DN644" s="4"/>
      <c r="DO644" s="4"/>
      <c r="DP644" s="4"/>
      <c r="DQ644" s="4"/>
      <c r="DR644" s="4"/>
      <c r="DS644" s="4"/>
      <c r="DT644" s="4"/>
      <c r="DU644" s="4"/>
      <c r="DV644" s="4"/>
    </row>
    <row r="645">
      <c r="A645" s="2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  <c r="CI645" s="4"/>
      <c r="CJ645" s="4"/>
      <c r="CK645" s="4"/>
      <c r="CL645" s="4"/>
      <c r="CM645" s="4"/>
      <c r="CN645" s="4"/>
      <c r="CO645" s="4"/>
      <c r="CP645" s="4"/>
      <c r="CQ645" s="4"/>
      <c r="CR645" s="4"/>
      <c r="CS645" s="4"/>
      <c r="CT645" s="4"/>
      <c r="CU645" s="4"/>
      <c r="CV645" s="4"/>
      <c r="CW645" s="4"/>
      <c r="CX645" s="4"/>
      <c r="CY645" s="4"/>
      <c r="CZ645" s="4"/>
      <c r="DA645" s="4"/>
      <c r="DB645" s="4"/>
      <c r="DC645" s="4"/>
      <c r="DD645" s="4"/>
      <c r="DE645" s="4"/>
      <c r="DF645" s="4"/>
      <c r="DG645" s="4"/>
      <c r="DH645" s="4"/>
      <c r="DI645" s="4"/>
      <c r="DJ645" s="4"/>
      <c r="DK645" s="4"/>
      <c r="DL645" s="4"/>
      <c r="DM645" s="4"/>
      <c r="DN645" s="4"/>
      <c r="DO645" s="4"/>
      <c r="DP645" s="4"/>
      <c r="DQ645" s="4"/>
      <c r="DR645" s="4"/>
      <c r="DS645" s="4"/>
      <c r="DT645" s="4"/>
      <c r="DU645" s="4"/>
      <c r="DV645" s="4"/>
    </row>
    <row r="646">
      <c r="A646" s="2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  <c r="CI646" s="4"/>
      <c r="CJ646" s="4"/>
      <c r="CK646" s="4"/>
      <c r="CL646" s="4"/>
      <c r="CM646" s="4"/>
      <c r="CN646" s="4"/>
      <c r="CO646" s="4"/>
      <c r="CP646" s="4"/>
      <c r="CQ646" s="4"/>
      <c r="CR646" s="4"/>
      <c r="CS646" s="4"/>
      <c r="CT646" s="4"/>
      <c r="CU646" s="4"/>
      <c r="CV646" s="4"/>
      <c r="CW646" s="4"/>
      <c r="CX646" s="4"/>
      <c r="CY646" s="4"/>
      <c r="CZ646" s="4"/>
      <c r="DA646" s="4"/>
      <c r="DB646" s="4"/>
      <c r="DC646" s="4"/>
      <c r="DD646" s="4"/>
      <c r="DE646" s="4"/>
      <c r="DF646" s="4"/>
      <c r="DG646" s="4"/>
      <c r="DH646" s="4"/>
      <c r="DI646" s="4"/>
      <c r="DJ646" s="4"/>
      <c r="DK646" s="4"/>
      <c r="DL646" s="4"/>
      <c r="DM646" s="4"/>
      <c r="DN646" s="4"/>
      <c r="DO646" s="4"/>
      <c r="DP646" s="4"/>
      <c r="DQ646" s="4"/>
      <c r="DR646" s="4"/>
      <c r="DS646" s="4"/>
      <c r="DT646" s="4"/>
      <c r="DU646" s="4"/>
      <c r="DV646" s="4"/>
    </row>
    <row r="647">
      <c r="A647" s="2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  <c r="CI647" s="4"/>
      <c r="CJ647" s="4"/>
      <c r="CK647" s="4"/>
      <c r="CL647" s="4"/>
      <c r="CM647" s="4"/>
      <c r="CN647" s="4"/>
      <c r="CO647" s="4"/>
      <c r="CP647" s="4"/>
      <c r="CQ647" s="4"/>
      <c r="CR647" s="4"/>
      <c r="CS647" s="4"/>
      <c r="CT647" s="4"/>
      <c r="CU647" s="4"/>
      <c r="CV647" s="4"/>
      <c r="CW647" s="4"/>
      <c r="CX647" s="4"/>
      <c r="CY647" s="4"/>
      <c r="CZ647" s="4"/>
      <c r="DA647" s="4"/>
      <c r="DB647" s="4"/>
      <c r="DC647" s="4"/>
      <c r="DD647" s="4"/>
      <c r="DE647" s="4"/>
      <c r="DF647" s="4"/>
      <c r="DG647" s="4"/>
      <c r="DH647" s="4"/>
      <c r="DI647" s="4"/>
      <c r="DJ647" s="4"/>
      <c r="DK647" s="4"/>
      <c r="DL647" s="4"/>
      <c r="DM647" s="4"/>
      <c r="DN647" s="4"/>
      <c r="DO647" s="4"/>
      <c r="DP647" s="4"/>
      <c r="DQ647" s="4"/>
      <c r="DR647" s="4"/>
      <c r="DS647" s="4"/>
      <c r="DT647" s="4"/>
      <c r="DU647" s="4"/>
      <c r="DV647" s="4"/>
    </row>
    <row r="648">
      <c r="A648" s="2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  <c r="CI648" s="4"/>
      <c r="CJ648" s="4"/>
      <c r="CK648" s="4"/>
      <c r="CL648" s="4"/>
      <c r="CM648" s="4"/>
      <c r="CN648" s="4"/>
      <c r="CO648" s="4"/>
      <c r="CP648" s="4"/>
      <c r="CQ648" s="4"/>
      <c r="CR648" s="4"/>
      <c r="CS648" s="4"/>
      <c r="CT648" s="4"/>
      <c r="CU648" s="4"/>
      <c r="CV648" s="4"/>
      <c r="CW648" s="4"/>
      <c r="CX648" s="4"/>
      <c r="CY648" s="4"/>
      <c r="CZ648" s="4"/>
      <c r="DA648" s="4"/>
      <c r="DB648" s="4"/>
      <c r="DC648" s="4"/>
      <c r="DD648" s="4"/>
      <c r="DE648" s="4"/>
      <c r="DF648" s="4"/>
      <c r="DG648" s="4"/>
      <c r="DH648" s="4"/>
      <c r="DI648" s="4"/>
      <c r="DJ648" s="4"/>
      <c r="DK648" s="4"/>
      <c r="DL648" s="4"/>
      <c r="DM648" s="4"/>
      <c r="DN648" s="4"/>
      <c r="DO648" s="4"/>
      <c r="DP648" s="4"/>
      <c r="DQ648" s="4"/>
      <c r="DR648" s="4"/>
      <c r="DS648" s="4"/>
      <c r="DT648" s="4"/>
      <c r="DU648" s="4"/>
      <c r="DV648" s="4"/>
    </row>
    <row r="649">
      <c r="A649" s="2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  <c r="CI649" s="4"/>
      <c r="CJ649" s="4"/>
      <c r="CK649" s="4"/>
      <c r="CL649" s="4"/>
      <c r="CM649" s="4"/>
      <c r="CN649" s="4"/>
      <c r="CO649" s="4"/>
      <c r="CP649" s="4"/>
      <c r="CQ649" s="4"/>
      <c r="CR649" s="4"/>
      <c r="CS649" s="4"/>
      <c r="CT649" s="4"/>
      <c r="CU649" s="4"/>
      <c r="CV649" s="4"/>
      <c r="CW649" s="4"/>
      <c r="CX649" s="4"/>
      <c r="CY649" s="4"/>
      <c r="CZ649" s="4"/>
      <c r="DA649" s="4"/>
      <c r="DB649" s="4"/>
      <c r="DC649" s="4"/>
      <c r="DD649" s="4"/>
      <c r="DE649" s="4"/>
      <c r="DF649" s="4"/>
      <c r="DG649" s="4"/>
      <c r="DH649" s="4"/>
      <c r="DI649" s="4"/>
      <c r="DJ649" s="4"/>
      <c r="DK649" s="4"/>
      <c r="DL649" s="4"/>
      <c r="DM649" s="4"/>
      <c r="DN649" s="4"/>
      <c r="DO649" s="4"/>
      <c r="DP649" s="4"/>
      <c r="DQ649" s="4"/>
      <c r="DR649" s="4"/>
      <c r="DS649" s="4"/>
      <c r="DT649" s="4"/>
      <c r="DU649" s="4"/>
      <c r="DV649" s="4"/>
    </row>
    <row r="650">
      <c r="A650" s="2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  <c r="CI650" s="4"/>
      <c r="CJ650" s="4"/>
      <c r="CK650" s="4"/>
      <c r="CL650" s="4"/>
      <c r="CM650" s="4"/>
      <c r="CN650" s="4"/>
      <c r="CO650" s="4"/>
      <c r="CP650" s="4"/>
      <c r="CQ650" s="4"/>
      <c r="CR650" s="4"/>
      <c r="CS650" s="4"/>
      <c r="CT650" s="4"/>
      <c r="CU650" s="4"/>
      <c r="CV650" s="4"/>
      <c r="CW650" s="4"/>
      <c r="CX650" s="4"/>
      <c r="CY650" s="4"/>
      <c r="CZ650" s="4"/>
      <c r="DA650" s="4"/>
      <c r="DB650" s="4"/>
      <c r="DC650" s="4"/>
      <c r="DD650" s="4"/>
      <c r="DE650" s="4"/>
      <c r="DF650" s="4"/>
      <c r="DG650" s="4"/>
      <c r="DH650" s="4"/>
      <c r="DI650" s="4"/>
      <c r="DJ650" s="4"/>
      <c r="DK650" s="4"/>
      <c r="DL650" s="4"/>
      <c r="DM650" s="4"/>
      <c r="DN650" s="4"/>
      <c r="DO650" s="4"/>
      <c r="DP650" s="4"/>
      <c r="DQ650" s="4"/>
      <c r="DR650" s="4"/>
      <c r="DS650" s="4"/>
      <c r="DT650" s="4"/>
      <c r="DU650" s="4"/>
      <c r="DV650" s="4"/>
    </row>
    <row r="651">
      <c r="A651" s="2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  <c r="CI651" s="4"/>
      <c r="CJ651" s="4"/>
      <c r="CK651" s="4"/>
      <c r="CL651" s="4"/>
      <c r="CM651" s="4"/>
      <c r="CN651" s="4"/>
      <c r="CO651" s="4"/>
      <c r="CP651" s="4"/>
      <c r="CQ651" s="4"/>
      <c r="CR651" s="4"/>
      <c r="CS651" s="4"/>
      <c r="CT651" s="4"/>
      <c r="CU651" s="4"/>
      <c r="CV651" s="4"/>
      <c r="CW651" s="4"/>
      <c r="CX651" s="4"/>
      <c r="CY651" s="4"/>
      <c r="CZ651" s="4"/>
      <c r="DA651" s="4"/>
      <c r="DB651" s="4"/>
      <c r="DC651" s="4"/>
      <c r="DD651" s="4"/>
      <c r="DE651" s="4"/>
      <c r="DF651" s="4"/>
      <c r="DG651" s="4"/>
      <c r="DH651" s="4"/>
      <c r="DI651" s="4"/>
      <c r="DJ651" s="4"/>
      <c r="DK651" s="4"/>
      <c r="DL651" s="4"/>
      <c r="DM651" s="4"/>
      <c r="DN651" s="4"/>
      <c r="DO651" s="4"/>
      <c r="DP651" s="4"/>
      <c r="DQ651" s="4"/>
      <c r="DR651" s="4"/>
      <c r="DS651" s="4"/>
      <c r="DT651" s="4"/>
      <c r="DU651" s="4"/>
      <c r="DV651" s="4"/>
    </row>
    <row r="652">
      <c r="A652" s="2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  <c r="CI652" s="4"/>
      <c r="CJ652" s="4"/>
      <c r="CK652" s="4"/>
      <c r="CL652" s="4"/>
      <c r="CM652" s="4"/>
      <c r="CN652" s="4"/>
      <c r="CO652" s="4"/>
      <c r="CP652" s="4"/>
      <c r="CQ652" s="4"/>
      <c r="CR652" s="4"/>
      <c r="CS652" s="4"/>
      <c r="CT652" s="4"/>
      <c r="CU652" s="4"/>
      <c r="CV652" s="4"/>
      <c r="CW652" s="4"/>
      <c r="CX652" s="4"/>
      <c r="CY652" s="4"/>
      <c r="CZ652" s="4"/>
      <c r="DA652" s="4"/>
      <c r="DB652" s="4"/>
      <c r="DC652" s="4"/>
      <c r="DD652" s="4"/>
      <c r="DE652" s="4"/>
      <c r="DF652" s="4"/>
      <c r="DG652" s="4"/>
      <c r="DH652" s="4"/>
      <c r="DI652" s="4"/>
      <c r="DJ652" s="4"/>
      <c r="DK652" s="4"/>
      <c r="DL652" s="4"/>
      <c r="DM652" s="4"/>
      <c r="DN652" s="4"/>
      <c r="DO652" s="4"/>
      <c r="DP652" s="4"/>
      <c r="DQ652" s="4"/>
      <c r="DR652" s="4"/>
      <c r="DS652" s="4"/>
      <c r="DT652" s="4"/>
      <c r="DU652" s="4"/>
      <c r="DV652" s="4"/>
    </row>
    <row r="653">
      <c r="A653" s="2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  <c r="CI653" s="4"/>
      <c r="CJ653" s="4"/>
      <c r="CK653" s="4"/>
      <c r="CL653" s="4"/>
      <c r="CM653" s="4"/>
      <c r="CN653" s="4"/>
      <c r="CO653" s="4"/>
      <c r="CP653" s="4"/>
      <c r="CQ653" s="4"/>
      <c r="CR653" s="4"/>
      <c r="CS653" s="4"/>
      <c r="CT653" s="4"/>
      <c r="CU653" s="4"/>
      <c r="CV653" s="4"/>
      <c r="CW653" s="4"/>
      <c r="CX653" s="4"/>
      <c r="CY653" s="4"/>
      <c r="CZ653" s="4"/>
      <c r="DA653" s="4"/>
      <c r="DB653" s="4"/>
      <c r="DC653" s="4"/>
      <c r="DD653" s="4"/>
      <c r="DE653" s="4"/>
      <c r="DF653" s="4"/>
      <c r="DG653" s="4"/>
      <c r="DH653" s="4"/>
      <c r="DI653" s="4"/>
      <c r="DJ653" s="4"/>
      <c r="DK653" s="4"/>
      <c r="DL653" s="4"/>
      <c r="DM653" s="4"/>
      <c r="DN653" s="4"/>
      <c r="DO653" s="4"/>
      <c r="DP653" s="4"/>
      <c r="DQ653" s="4"/>
      <c r="DR653" s="4"/>
      <c r="DS653" s="4"/>
      <c r="DT653" s="4"/>
      <c r="DU653" s="4"/>
      <c r="DV653" s="4"/>
    </row>
    <row r="654">
      <c r="A654" s="2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  <c r="CI654" s="4"/>
      <c r="CJ654" s="4"/>
      <c r="CK654" s="4"/>
      <c r="CL654" s="4"/>
      <c r="CM654" s="4"/>
      <c r="CN654" s="4"/>
      <c r="CO654" s="4"/>
      <c r="CP654" s="4"/>
      <c r="CQ654" s="4"/>
      <c r="CR654" s="4"/>
      <c r="CS654" s="4"/>
      <c r="CT654" s="4"/>
      <c r="CU654" s="4"/>
      <c r="CV654" s="4"/>
      <c r="CW654" s="4"/>
      <c r="CX654" s="4"/>
      <c r="CY654" s="4"/>
      <c r="CZ654" s="4"/>
      <c r="DA654" s="4"/>
      <c r="DB654" s="4"/>
      <c r="DC654" s="4"/>
      <c r="DD654" s="4"/>
      <c r="DE654" s="4"/>
      <c r="DF654" s="4"/>
      <c r="DG654" s="4"/>
      <c r="DH654" s="4"/>
      <c r="DI654" s="4"/>
      <c r="DJ654" s="4"/>
      <c r="DK654" s="4"/>
      <c r="DL654" s="4"/>
      <c r="DM654" s="4"/>
      <c r="DN654" s="4"/>
      <c r="DO654" s="4"/>
      <c r="DP654" s="4"/>
      <c r="DQ654" s="4"/>
      <c r="DR654" s="4"/>
      <c r="DS654" s="4"/>
      <c r="DT654" s="4"/>
      <c r="DU654" s="4"/>
      <c r="DV654" s="4"/>
    </row>
    <row r="655">
      <c r="A655" s="2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  <c r="CI655" s="4"/>
      <c r="CJ655" s="4"/>
      <c r="CK655" s="4"/>
      <c r="CL655" s="4"/>
      <c r="CM655" s="4"/>
      <c r="CN655" s="4"/>
      <c r="CO655" s="4"/>
      <c r="CP655" s="4"/>
      <c r="CQ655" s="4"/>
      <c r="CR655" s="4"/>
      <c r="CS655" s="4"/>
      <c r="CT655" s="4"/>
      <c r="CU655" s="4"/>
      <c r="CV655" s="4"/>
      <c r="CW655" s="4"/>
      <c r="CX655" s="4"/>
      <c r="CY655" s="4"/>
      <c r="CZ655" s="4"/>
      <c r="DA655" s="4"/>
      <c r="DB655" s="4"/>
      <c r="DC655" s="4"/>
      <c r="DD655" s="4"/>
      <c r="DE655" s="4"/>
      <c r="DF655" s="4"/>
      <c r="DG655" s="4"/>
      <c r="DH655" s="4"/>
      <c r="DI655" s="4"/>
      <c r="DJ655" s="4"/>
      <c r="DK655" s="4"/>
      <c r="DL655" s="4"/>
      <c r="DM655" s="4"/>
      <c r="DN655" s="4"/>
      <c r="DO655" s="4"/>
      <c r="DP655" s="4"/>
      <c r="DQ655" s="4"/>
      <c r="DR655" s="4"/>
      <c r="DS655" s="4"/>
      <c r="DT655" s="4"/>
      <c r="DU655" s="4"/>
      <c r="DV655" s="4"/>
    </row>
    <row r="656">
      <c r="A656" s="2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  <c r="CI656" s="4"/>
      <c r="CJ656" s="4"/>
      <c r="CK656" s="4"/>
      <c r="CL656" s="4"/>
      <c r="CM656" s="4"/>
      <c r="CN656" s="4"/>
      <c r="CO656" s="4"/>
      <c r="CP656" s="4"/>
      <c r="CQ656" s="4"/>
      <c r="CR656" s="4"/>
      <c r="CS656" s="4"/>
      <c r="CT656" s="4"/>
      <c r="CU656" s="4"/>
      <c r="CV656" s="4"/>
      <c r="CW656" s="4"/>
      <c r="CX656" s="4"/>
      <c r="CY656" s="4"/>
      <c r="CZ656" s="4"/>
      <c r="DA656" s="4"/>
      <c r="DB656" s="4"/>
      <c r="DC656" s="4"/>
      <c r="DD656" s="4"/>
      <c r="DE656" s="4"/>
      <c r="DF656" s="4"/>
      <c r="DG656" s="4"/>
      <c r="DH656" s="4"/>
      <c r="DI656" s="4"/>
      <c r="DJ656" s="4"/>
      <c r="DK656" s="4"/>
      <c r="DL656" s="4"/>
      <c r="DM656" s="4"/>
      <c r="DN656" s="4"/>
      <c r="DO656" s="4"/>
      <c r="DP656" s="4"/>
      <c r="DQ656" s="4"/>
      <c r="DR656" s="4"/>
      <c r="DS656" s="4"/>
      <c r="DT656" s="4"/>
      <c r="DU656" s="4"/>
      <c r="DV656" s="4"/>
    </row>
    <row r="657">
      <c r="A657" s="2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  <c r="CI657" s="4"/>
      <c r="CJ657" s="4"/>
      <c r="CK657" s="4"/>
      <c r="CL657" s="4"/>
      <c r="CM657" s="4"/>
      <c r="CN657" s="4"/>
      <c r="CO657" s="4"/>
      <c r="CP657" s="4"/>
      <c r="CQ657" s="4"/>
      <c r="CR657" s="4"/>
      <c r="CS657" s="4"/>
      <c r="CT657" s="4"/>
      <c r="CU657" s="4"/>
      <c r="CV657" s="4"/>
      <c r="CW657" s="4"/>
      <c r="CX657" s="4"/>
      <c r="CY657" s="4"/>
      <c r="CZ657" s="4"/>
      <c r="DA657" s="4"/>
      <c r="DB657" s="4"/>
      <c r="DC657" s="4"/>
      <c r="DD657" s="4"/>
      <c r="DE657" s="4"/>
      <c r="DF657" s="4"/>
      <c r="DG657" s="4"/>
      <c r="DH657" s="4"/>
      <c r="DI657" s="4"/>
      <c r="DJ657" s="4"/>
      <c r="DK657" s="4"/>
      <c r="DL657" s="4"/>
      <c r="DM657" s="4"/>
      <c r="DN657" s="4"/>
      <c r="DO657" s="4"/>
      <c r="DP657" s="4"/>
      <c r="DQ657" s="4"/>
      <c r="DR657" s="4"/>
      <c r="DS657" s="4"/>
      <c r="DT657" s="4"/>
      <c r="DU657" s="4"/>
      <c r="DV657" s="4"/>
    </row>
    <row r="658">
      <c r="A658" s="2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  <c r="CI658" s="4"/>
      <c r="CJ658" s="4"/>
      <c r="CK658" s="4"/>
      <c r="CL658" s="4"/>
      <c r="CM658" s="4"/>
      <c r="CN658" s="4"/>
      <c r="CO658" s="4"/>
      <c r="CP658" s="4"/>
      <c r="CQ658" s="4"/>
      <c r="CR658" s="4"/>
      <c r="CS658" s="4"/>
      <c r="CT658" s="4"/>
      <c r="CU658" s="4"/>
      <c r="CV658" s="4"/>
      <c r="CW658" s="4"/>
      <c r="CX658" s="4"/>
      <c r="CY658" s="4"/>
      <c r="CZ658" s="4"/>
      <c r="DA658" s="4"/>
      <c r="DB658" s="4"/>
      <c r="DC658" s="4"/>
      <c r="DD658" s="4"/>
      <c r="DE658" s="4"/>
      <c r="DF658" s="4"/>
      <c r="DG658" s="4"/>
      <c r="DH658" s="4"/>
      <c r="DI658" s="4"/>
      <c r="DJ658" s="4"/>
      <c r="DK658" s="4"/>
      <c r="DL658" s="4"/>
      <c r="DM658" s="4"/>
      <c r="DN658" s="4"/>
      <c r="DO658" s="4"/>
      <c r="DP658" s="4"/>
      <c r="DQ658" s="4"/>
      <c r="DR658" s="4"/>
      <c r="DS658" s="4"/>
      <c r="DT658" s="4"/>
      <c r="DU658" s="4"/>
      <c r="DV658" s="4"/>
    </row>
    <row r="659">
      <c r="A659" s="2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  <c r="CI659" s="4"/>
      <c r="CJ659" s="4"/>
      <c r="CK659" s="4"/>
      <c r="CL659" s="4"/>
      <c r="CM659" s="4"/>
      <c r="CN659" s="4"/>
      <c r="CO659" s="4"/>
      <c r="CP659" s="4"/>
      <c r="CQ659" s="4"/>
      <c r="CR659" s="4"/>
      <c r="CS659" s="4"/>
      <c r="CT659" s="4"/>
      <c r="CU659" s="4"/>
      <c r="CV659" s="4"/>
      <c r="CW659" s="4"/>
      <c r="CX659" s="4"/>
      <c r="CY659" s="4"/>
      <c r="CZ659" s="4"/>
      <c r="DA659" s="4"/>
      <c r="DB659" s="4"/>
      <c r="DC659" s="4"/>
      <c r="DD659" s="4"/>
      <c r="DE659" s="4"/>
      <c r="DF659" s="4"/>
      <c r="DG659" s="4"/>
      <c r="DH659" s="4"/>
      <c r="DI659" s="4"/>
      <c r="DJ659" s="4"/>
      <c r="DK659" s="4"/>
      <c r="DL659" s="4"/>
      <c r="DM659" s="4"/>
      <c r="DN659" s="4"/>
      <c r="DO659" s="4"/>
      <c r="DP659" s="4"/>
      <c r="DQ659" s="4"/>
      <c r="DR659" s="4"/>
      <c r="DS659" s="4"/>
      <c r="DT659" s="4"/>
      <c r="DU659" s="4"/>
      <c r="DV659" s="4"/>
    </row>
    <row r="660">
      <c r="A660" s="2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  <c r="CI660" s="4"/>
      <c r="CJ660" s="4"/>
      <c r="CK660" s="4"/>
      <c r="CL660" s="4"/>
      <c r="CM660" s="4"/>
      <c r="CN660" s="4"/>
      <c r="CO660" s="4"/>
      <c r="CP660" s="4"/>
      <c r="CQ660" s="4"/>
      <c r="CR660" s="4"/>
      <c r="CS660" s="4"/>
      <c r="CT660" s="4"/>
      <c r="CU660" s="4"/>
      <c r="CV660" s="4"/>
      <c r="CW660" s="4"/>
      <c r="CX660" s="4"/>
      <c r="CY660" s="4"/>
      <c r="CZ660" s="4"/>
      <c r="DA660" s="4"/>
      <c r="DB660" s="4"/>
      <c r="DC660" s="4"/>
      <c r="DD660" s="4"/>
      <c r="DE660" s="4"/>
      <c r="DF660" s="4"/>
      <c r="DG660" s="4"/>
      <c r="DH660" s="4"/>
      <c r="DI660" s="4"/>
      <c r="DJ660" s="4"/>
      <c r="DK660" s="4"/>
      <c r="DL660" s="4"/>
      <c r="DM660" s="4"/>
      <c r="DN660" s="4"/>
      <c r="DO660" s="4"/>
      <c r="DP660" s="4"/>
      <c r="DQ660" s="4"/>
      <c r="DR660" s="4"/>
      <c r="DS660" s="4"/>
      <c r="DT660" s="4"/>
      <c r="DU660" s="4"/>
      <c r="DV660" s="4"/>
    </row>
    <row r="661">
      <c r="A661" s="2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  <c r="CI661" s="4"/>
      <c r="CJ661" s="4"/>
      <c r="CK661" s="4"/>
      <c r="CL661" s="4"/>
      <c r="CM661" s="4"/>
      <c r="CN661" s="4"/>
      <c r="CO661" s="4"/>
      <c r="CP661" s="4"/>
      <c r="CQ661" s="4"/>
      <c r="CR661" s="4"/>
      <c r="CS661" s="4"/>
      <c r="CT661" s="4"/>
      <c r="CU661" s="4"/>
      <c r="CV661" s="4"/>
      <c r="CW661" s="4"/>
      <c r="CX661" s="4"/>
      <c r="CY661" s="4"/>
      <c r="CZ661" s="4"/>
      <c r="DA661" s="4"/>
      <c r="DB661" s="4"/>
      <c r="DC661" s="4"/>
      <c r="DD661" s="4"/>
      <c r="DE661" s="4"/>
      <c r="DF661" s="4"/>
      <c r="DG661" s="4"/>
      <c r="DH661" s="4"/>
      <c r="DI661" s="4"/>
      <c r="DJ661" s="4"/>
      <c r="DK661" s="4"/>
      <c r="DL661" s="4"/>
      <c r="DM661" s="4"/>
      <c r="DN661" s="4"/>
      <c r="DO661" s="4"/>
      <c r="DP661" s="4"/>
      <c r="DQ661" s="4"/>
      <c r="DR661" s="4"/>
      <c r="DS661" s="4"/>
      <c r="DT661" s="4"/>
      <c r="DU661" s="4"/>
      <c r="DV661" s="4"/>
    </row>
    <row r="662">
      <c r="A662" s="2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  <c r="CI662" s="4"/>
      <c r="CJ662" s="4"/>
      <c r="CK662" s="4"/>
      <c r="CL662" s="4"/>
      <c r="CM662" s="4"/>
      <c r="CN662" s="4"/>
      <c r="CO662" s="4"/>
      <c r="CP662" s="4"/>
      <c r="CQ662" s="4"/>
      <c r="CR662" s="4"/>
      <c r="CS662" s="4"/>
      <c r="CT662" s="4"/>
      <c r="CU662" s="4"/>
      <c r="CV662" s="4"/>
      <c r="CW662" s="4"/>
      <c r="CX662" s="4"/>
      <c r="CY662" s="4"/>
      <c r="CZ662" s="4"/>
      <c r="DA662" s="4"/>
      <c r="DB662" s="4"/>
      <c r="DC662" s="4"/>
      <c r="DD662" s="4"/>
      <c r="DE662" s="4"/>
      <c r="DF662" s="4"/>
      <c r="DG662" s="4"/>
      <c r="DH662" s="4"/>
      <c r="DI662" s="4"/>
      <c r="DJ662" s="4"/>
      <c r="DK662" s="4"/>
      <c r="DL662" s="4"/>
      <c r="DM662" s="4"/>
      <c r="DN662" s="4"/>
      <c r="DO662" s="4"/>
      <c r="DP662" s="4"/>
      <c r="DQ662" s="4"/>
      <c r="DR662" s="4"/>
      <c r="DS662" s="4"/>
      <c r="DT662" s="4"/>
      <c r="DU662" s="4"/>
      <c r="DV662" s="4"/>
    </row>
    <row r="663">
      <c r="A663" s="2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  <c r="CI663" s="4"/>
      <c r="CJ663" s="4"/>
      <c r="CK663" s="4"/>
      <c r="CL663" s="4"/>
      <c r="CM663" s="4"/>
      <c r="CN663" s="4"/>
      <c r="CO663" s="4"/>
      <c r="CP663" s="4"/>
      <c r="CQ663" s="4"/>
      <c r="CR663" s="4"/>
      <c r="CS663" s="4"/>
      <c r="CT663" s="4"/>
      <c r="CU663" s="4"/>
      <c r="CV663" s="4"/>
      <c r="CW663" s="4"/>
      <c r="CX663" s="4"/>
      <c r="CY663" s="4"/>
      <c r="CZ663" s="4"/>
      <c r="DA663" s="4"/>
      <c r="DB663" s="4"/>
      <c r="DC663" s="4"/>
      <c r="DD663" s="4"/>
      <c r="DE663" s="4"/>
      <c r="DF663" s="4"/>
      <c r="DG663" s="4"/>
      <c r="DH663" s="4"/>
      <c r="DI663" s="4"/>
      <c r="DJ663" s="4"/>
      <c r="DK663" s="4"/>
      <c r="DL663" s="4"/>
      <c r="DM663" s="4"/>
      <c r="DN663" s="4"/>
      <c r="DO663" s="4"/>
      <c r="DP663" s="4"/>
      <c r="DQ663" s="4"/>
      <c r="DR663" s="4"/>
      <c r="DS663" s="4"/>
      <c r="DT663" s="4"/>
      <c r="DU663" s="4"/>
      <c r="DV663" s="4"/>
    </row>
    <row r="664">
      <c r="A664" s="2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  <c r="CI664" s="4"/>
      <c r="CJ664" s="4"/>
      <c r="CK664" s="4"/>
      <c r="CL664" s="4"/>
      <c r="CM664" s="4"/>
      <c r="CN664" s="4"/>
      <c r="CO664" s="4"/>
      <c r="CP664" s="4"/>
      <c r="CQ664" s="4"/>
      <c r="CR664" s="4"/>
      <c r="CS664" s="4"/>
      <c r="CT664" s="4"/>
      <c r="CU664" s="4"/>
      <c r="CV664" s="4"/>
      <c r="CW664" s="4"/>
      <c r="CX664" s="4"/>
      <c r="CY664" s="4"/>
      <c r="CZ664" s="4"/>
      <c r="DA664" s="4"/>
      <c r="DB664" s="4"/>
      <c r="DC664" s="4"/>
      <c r="DD664" s="4"/>
      <c r="DE664" s="4"/>
      <c r="DF664" s="4"/>
      <c r="DG664" s="4"/>
      <c r="DH664" s="4"/>
      <c r="DI664" s="4"/>
      <c r="DJ664" s="4"/>
      <c r="DK664" s="4"/>
      <c r="DL664" s="4"/>
      <c r="DM664" s="4"/>
      <c r="DN664" s="4"/>
      <c r="DO664" s="4"/>
      <c r="DP664" s="4"/>
      <c r="DQ664" s="4"/>
      <c r="DR664" s="4"/>
      <c r="DS664" s="4"/>
      <c r="DT664" s="4"/>
      <c r="DU664" s="4"/>
      <c r="DV664" s="4"/>
    </row>
    <row r="665">
      <c r="A665" s="2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  <c r="CI665" s="4"/>
      <c r="CJ665" s="4"/>
      <c r="CK665" s="4"/>
      <c r="CL665" s="4"/>
      <c r="CM665" s="4"/>
      <c r="CN665" s="4"/>
      <c r="CO665" s="4"/>
      <c r="CP665" s="4"/>
      <c r="CQ665" s="4"/>
      <c r="CR665" s="4"/>
      <c r="CS665" s="4"/>
      <c r="CT665" s="4"/>
      <c r="CU665" s="4"/>
      <c r="CV665" s="4"/>
      <c r="CW665" s="4"/>
      <c r="CX665" s="4"/>
      <c r="CY665" s="4"/>
      <c r="CZ665" s="4"/>
      <c r="DA665" s="4"/>
      <c r="DB665" s="4"/>
      <c r="DC665" s="4"/>
      <c r="DD665" s="4"/>
      <c r="DE665" s="4"/>
      <c r="DF665" s="4"/>
      <c r="DG665" s="4"/>
      <c r="DH665" s="4"/>
      <c r="DI665" s="4"/>
      <c r="DJ665" s="4"/>
      <c r="DK665" s="4"/>
      <c r="DL665" s="4"/>
      <c r="DM665" s="4"/>
      <c r="DN665" s="4"/>
      <c r="DO665" s="4"/>
      <c r="DP665" s="4"/>
      <c r="DQ665" s="4"/>
      <c r="DR665" s="4"/>
      <c r="DS665" s="4"/>
      <c r="DT665" s="4"/>
      <c r="DU665" s="4"/>
      <c r="DV665" s="4"/>
    </row>
    <row r="666">
      <c r="A666" s="2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  <c r="CI666" s="4"/>
      <c r="CJ666" s="4"/>
      <c r="CK666" s="4"/>
      <c r="CL666" s="4"/>
      <c r="CM666" s="4"/>
      <c r="CN666" s="4"/>
      <c r="CO666" s="4"/>
      <c r="CP666" s="4"/>
      <c r="CQ666" s="4"/>
      <c r="CR666" s="4"/>
      <c r="CS666" s="4"/>
      <c r="CT666" s="4"/>
      <c r="CU666" s="4"/>
      <c r="CV666" s="4"/>
      <c r="CW666" s="4"/>
      <c r="CX666" s="4"/>
      <c r="CY666" s="4"/>
      <c r="CZ666" s="4"/>
      <c r="DA666" s="4"/>
      <c r="DB666" s="4"/>
      <c r="DC666" s="4"/>
      <c r="DD666" s="4"/>
      <c r="DE666" s="4"/>
      <c r="DF666" s="4"/>
      <c r="DG666" s="4"/>
      <c r="DH666" s="4"/>
      <c r="DI666" s="4"/>
      <c r="DJ666" s="4"/>
      <c r="DK666" s="4"/>
      <c r="DL666" s="4"/>
      <c r="DM666" s="4"/>
      <c r="DN666" s="4"/>
      <c r="DO666" s="4"/>
      <c r="DP666" s="4"/>
      <c r="DQ666" s="4"/>
      <c r="DR666" s="4"/>
      <c r="DS666" s="4"/>
      <c r="DT666" s="4"/>
      <c r="DU666" s="4"/>
      <c r="DV666" s="4"/>
    </row>
    <row r="667">
      <c r="A667" s="2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  <c r="CI667" s="4"/>
      <c r="CJ667" s="4"/>
      <c r="CK667" s="4"/>
      <c r="CL667" s="4"/>
      <c r="CM667" s="4"/>
      <c r="CN667" s="4"/>
      <c r="CO667" s="4"/>
      <c r="CP667" s="4"/>
      <c r="CQ667" s="4"/>
      <c r="CR667" s="4"/>
      <c r="CS667" s="4"/>
      <c r="CT667" s="4"/>
      <c r="CU667" s="4"/>
      <c r="CV667" s="4"/>
      <c r="CW667" s="4"/>
      <c r="CX667" s="4"/>
      <c r="CY667" s="4"/>
      <c r="CZ667" s="4"/>
      <c r="DA667" s="4"/>
      <c r="DB667" s="4"/>
      <c r="DC667" s="4"/>
      <c r="DD667" s="4"/>
      <c r="DE667" s="4"/>
      <c r="DF667" s="4"/>
      <c r="DG667" s="4"/>
      <c r="DH667" s="4"/>
      <c r="DI667" s="4"/>
      <c r="DJ667" s="4"/>
      <c r="DK667" s="4"/>
      <c r="DL667" s="4"/>
      <c r="DM667" s="4"/>
      <c r="DN667" s="4"/>
      <c r="DO667" s="4"/>
      <c r="DP667" s="4"/>
      <c r="DQ667" s="4"/>
      <c r="DR667" s="4"/>
      <c r="DS667" s="4"/>
      <c r="DT667" s="4"/>
      <c r="DU667" s="4"/>
      <c r="DV667" s="4"/>
    </row>
    <row r="668">
      <c r="A668" s="2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  <c r="CI668" s="4"/>
      <c r="CJ668" s="4"/>
      <c r="CK668" s="4"/>
      <c r="CL668" s="4"/>
      <c r="CM668" s="4"/>
      <c r="CN668" s="4"/>
      <c r="CO668" s="4"/>
      <c r="CP668" s="4"/>
      <c r="CQ668" s="4"/>
      <c r="CR668" s="4"/>
      <c r="CS668" s="4"/>
      <c r="CT668" s="4"/>
      <c r="CU668" s="4"/>
      <c r="CV668" s="4"/>
      <c r="CW668" s="4"/>
      <c r="CX668" s="4"/>
      <c r="CY668" s="4"/>
      <c r="CZ668" s="4"/>
      <c r="DA668" s="4"/>
      <c r="DB668" s="4"/>
      <c r="DC668" s="4"/>
      <c r="DD668" s="4"/>
      <c r="DE668" s="4"/>
      <c r="DF668" s="4"/>
      <c r="DG668" s="4"/>
      <c r="DH668" s="4"/>
      <c r="DI668" s="4"/>
      <c r="DJ668" s="4"/>
      <c r="DK668" s="4"/>
      <c r="DL668" s="4"/>
      <c r="DM668" s="4"/>
      <c r="DN668" s="4"/>
      <c r="DO668" s="4"/>
      <c r="DP668" s="4"/>
      <c r="DQ668" s="4"/>
      <c r="DR668" s="4"/>
      <c r="DS668" s="4"/>
      <c r="DT668" s="4"/>
      <c r="DU668" s="4"/>
      <c r="DV668" s="4"/>
    </row>
    <row r="669">
      <c r="A669" s="2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  <c r="CI669" s="4"/>
      <c r="CJ669" s="4"/>
      <c r="CK669" s="4"/>
      <c r="CL669" s="4"/>
      <c r="CM669" s="4"/>
      <c r="CN669" s="4"/>
      <c r="CO669" s="4"/>
      <c r="CP669" s="4"/>
      <c r="CQ669" s="4"/>
      <c r="CR669" s="4"/>
      <c r="CS669" s="4"/>
      <c r="CT669" s="4"/>
      <c r="CU669" s="4"/>
      <c r="CV669" s="4"/>
      <c r="CW669" s="4"/>
      <c r="CX669" s="4"/>
      <c r="CY669" s="4"/>
      <c r="CZ669" s="4"/>
      <c r="DA669" s="4"/>
      <c r="DB669" s="4"/>
      <c r="DC669" s="4"/>
      <c r="DD669" s="4"/>
      <c r="DE669" s="4"/>
      <c r="DF669" s="4"/>
      <c r="DG669" s="4"/>
      <c r="DH669" s="4"/>
      <c r="DI669" s="4"/>
      <c r="DJ669" s="4"/>
      <c r="DK669" s="4"/>
      <c r="DL669" s="4"/>
      <c r="DM669" s="4"/>
      <c r="DN669" s="4"/>
      <c r="DO669" s="4"/>
      <c r="DP669" s="4"/>
      <c r="DQ669" s="4"/>
      <c r="DR669" s="4"/>
      <c r="DS669" s="4"/>
      <c r="DT669" s="4"/>
      <c r="DU669" s="4"/>
      <c r="DV669" s="4"/>
    </row>
    <row r="670">
      <c r="A670" s="2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  <c r="CI670" s="4"/>
      <c r="CJ670" s="4"/>
      <c r="CK670" s="4"/>
      <c r="CL670" s="4"/>
      <c r="CM670" s="4"/>
      <c r="CN670" s="4"/>
      <c r="CO670" s="4"/>
      <c r="CP670" s="4"/>
      <c r="CQ670" s="4"/>
      <c r="CR670" s="4"/>
      <c r="CS670" s="4"/>
      <c r="CT670" s="4"/>
      <c r="CU670" s="4"/>
      <c r="CV670" s="4"/>
      <c r="CW670" s="4"/>
      <c r="CX670" s="4"/>
      <c r="CY670" s="4"/>
      <c r="CZ670" s="4"/>
      <c r="DA670" s="4"/>
      <c r="DB670" s="4"/>
      <c r="DC670" s="4"/>
      <c r="DD670" s="4"/>
      <c r="DE670" s="4"/>
      <c r="DF670" s="4"/>
      <c r="DG670" s="4"/>
      <c r="DH670" s="4"/>
      <c r="DI670" s="4"/>
      <c r="DJ670" s="4"/>
      <c r="DK670" s="4"/>
      <c r="DL670" s="4"/>
      <c r="DM670" s="4"/>
      <c r="DN670" s="4"/>
      <c r="DO670" s="4"/>
      <c r="DP670" s="4"/>
      <c r="DQ670" s="4"/>
      <c r="DR670" s="4"/>
      <c r="DS670" s="4"/>
      <c r="DT670" s="4"/>
      <c r="DU670" s="4"/>
      <c r="DV670" s="4"/>
    </row>
    <row r="671">
      <c r="A671" s="2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  <c r="CI671" s="4"/>
      <c r="CJ671" s="4"/>
      <c r="CK671" s="4"/>
      <c r="CL671" s="4"/>
      <c r="CM671" s="4"/>
      <c r="CN671" s="4"/>
      <c r="CO671" s="4"/>
      <c r="CP671" s="4"/>
      <c r="CQ671" s="4"/>
      <c r="CR671" s="4"/>
      <c r="CS671" s="4"/>
      <c r="CT671" s="4"/>
      <c r="CU671" s="4"/>
      <c r="CV671" s="4"/>
      <c r="CW671" s="4"/>
      <c r="CX671" s="4"/>
      <c r="CY671" s="4"/>
      <c r="CZ671" s="4"/>
      <c r="DA671" s="4"/>
      <c r="DB671" s="4"/>
      <c r="DC671" s="4"/>
      <c r="DD671" s="4"/>
      <c r="DE671" s="4"/>
      <c r="DF671" s="4"/>
      <c r="DG671" s="4"/>
      <c r="DH671" s="4"/>
      <c r="DI671" s="4"/>
      <c r="DJ671" s="4"/>
      <c r="DK671" s="4"/>
      <c r="DL671" s="4"/>
      <c r="DM671" s="4"/>
      <c r="DN671" s="4"/>
      <c r="DO671" s="4"/>
      <c r="DP671" s="4"/>
      <c r="DQ671" s="4"/>
      <c r="DR671" s="4"/>
      <c r="DS671" s="4"/>
      <c r="DT671" s="4"/>
      <c r="DU671" s="4"/>
      <c r="DV671" s="4"/>
    </row>
    <row r="672">
      <c r="A672" s="2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  <c r="CI672" s="4"/>
      <c r="CJ672" s="4"/>
      <c r="CK672" s="4"/>
      <c r="CL672" s="4"/>
      <c r="CM672" s="4"/>
      <c r="CN672" s="4"/>
      <c r="CO672" s="4"/>
      <c r="CP672" s="4"/>
      <c r="CQ672" s="4"/>
      <c r="CR672" s="4"/>
      <c r="CS672" s="4"/>
      <c r="CT672" s="4"/>
      <c r="CU672" s="4"/>
      <c r="CV672" s="4"/>
      <c r="CW672" s="4"/>
      <c r="CX672" s="4"/>
      <c r="CY672" s="4"/>
      <c r="CZ672" s="4"/>
      <c r="DA672" s="4"/>
      <c r="DB672" s="4"/>
      <c r="DC672" s="4"/>
      <c r="DD672" s="4"/>
      <c r="DE672" s="4"/>
      <c r="DF672" s="4"/>
      <c r="DG672" s="4"/>
      <c r="DH672" s="4"/>
      <c r="DI672" s="4"/>
      <c r="DJ672" s="4"/>
      <c r="DK672" s="4"/>
      <c r="DL672" s="4"/>
      <c r="DM672" s="4"/>
      <c r="DN672" s="4"/>
      <c r="DO672" s="4"/>
      <c r="DP672" s="4"/>
      <c r="DQ672" s="4"/>
      <c r="DR672" s="4"/>
      <c r="DS672" s="4"/>
      <c r="DT672" s="4"/>
      <c r="DU672" s="4"/>
      <c r="DV672" s="4"/>
    </row>
    <row r="673">
      <c r="A673" s="2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  <c r="CI673" s="4"/>
      <c r="CJ673" s="4"/>
      <c r="CK673" s="4"/>
      <c r="CL673" s="4"/>
      <c r="CM673" s="4"/>
      <c r="CN673" s="4"/>
      <c r="CO673" s="4"/>
      <c r="CP673" s="4"/>
      <c r="CQ673" s="4"/>
      <c r="CR673" s="4"/>
      <c r="CS673" s="4"/>
      <c r="CT673" s="4"/>
      <c r="CU673" s="4"/>
      <c r="CV673" s="4"/>
      <c r="CW673" s="4"/>
      <c r="CX673" s="4"/>
      <c r="CY673" s="4"/>
      <c r="CZ673" s="4"/>
      <c r="DA673" s="4"/>
      <c r="DB673" s="4"/>
      <c r="DC673" s="4"/>
      <c r="DD673" s="4"/>
      <c r="DE673" s="4"/>
      <c r="DF673" s="4"/>
      <c r="DG673" s="4"/>
      <c r="DH673" s="4"/>
      <c r="DI673" s="4"/>
      <c r="DJ673" s="4"/>
      <c r="DK673" s="4"/>
      <c r="DL673" s="4"/>
      <c r="DM673" s="4"/>
      <c r="DN673" s="4"/>
      <c r="DO673" s="4"/>
      <c r="DP673" s="4"/>
      <c r="DQ673" s="4"/>
      <c r="DR673" s="4"/>
      <c r="DS673" s="4"/>
      <c r="DT673" s="4"/>
      <c r="DU673" s="4"/>
      <c r="DV673" s="4"/>
    </row>
    <row r="674">
      <c r="A674" s="2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  <c r="CI674" s="4"/>
      <c r="CJ674" s="4"/>
      <c r="CK674" s="4"/>
      <c r="CL674" s="4"/>
      <c r="CM674" s="4"/>
      <c r="CN674" s="4"/>
      <c r="CO674" s="4"/>
      <c r="CP674" s="4"/>
      <c r="CQ674" s="4"/>
      <c r="CR674" s="4"/>
      <c r="CS674" s="4"/>
      <c r="CT674" s="4"/>
      <c r="CU674" s="4"/>
      <c r="CV674" s="4"/>
      <c r="CW674" s="4"/>
      <c r="CX674" s="4"/>
      <c r="CY674" s="4"/>
      <c r="CZ674" s="4"/>
      <c r="DA674" s="4"/>
      <c r="DB674" s="4"/>
      <c r="DC674" s="4"/>
      <c r="DD674" s="4"/>
      <c r="DE674" s="4"/>
      <c r="DF674" s="4"/>
      <c r="DG674" s="4"/>
      <c r="DH674" s="4"/>
      <c r="DI674" s="4"/>
      <c r="DJ674" s="4"/>
      <c r="DK674" s="4"/>
      <c r="DL674" s="4"/>
      <c r="DM674" s="4"/>
      <c r="DN674" s="4"/>
      <c r="DO674" s="4"/>
      <c r="DP674" s="4"/>
      <c r="DQ674" s="4"/>
      <c r="DR674" s="4"/>
      <c r="DS674" s="4"/>
      <c r="DT674" s="4"/>
      <c r="DU674" s="4"/>
      <c r="DV674" s="4"/>
    </row>
    <row r="675">
      <c r="A675" s="2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  <c r="CI675" s="4"/>
      <c r="CJ675" s="4"/>
      <c r="CK675" s="4"/>
      <c r="CL675" s="4"/>
      <c r="CM675" s="4"/>
      <c r="CN675" s="4"/>
      <c r="CO675" s="4"/>
      <c r="CP675" s="4"/>
      <c r="CQ675" s="4"/>
      <c r="CR675" s="4"/>
      <c r="CS675" s="4"/>
      <c r="CT675" s="4"/>
      <c r="CU675" s="4"/>
      <c r="CV675" s="4"/>
      <c r="CW675" s="4"/>
      <c r="CX675" s="4"/>
      <c r="CY675" s="4"/>
      <c r="CZ675" s="4"/>
      <c r="DA675" s="4"/>
      <c r="DB675" s="4"/>
      <c r="DC675" s="4"/>
      <c r="DD675" s="4"/>
      <c r="DE675" s="4"/>
      <c r="DF675" s="4"/>
      <c r="DG675" s="4"/>
      <c r="DH675" s="4"/>
      <c r="DI675" s="4"/>
      <c r="DJ675" s="4"/>
      <c r="DK675" s="4"/>
      <c r="DL675" s="4"/>
      <c r="DM675" s="4"/>
      <c r="DN675" s="4"/>
      <c r="DO675" s="4"/>
      <c r="DP675" s="4"/>
      <c r="DQ675" s="4"/>
      <c r="DR675" s="4"/>
      <c r="DS675" s="4"/>
      <c r="DT675" s="4"/>
      <c r="DU675" s="4"/>
      <c r="DV675" s="4"/>
    </row>
    <row r="676">
      <c r="A676" s="2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  <c r="CI676" s="4"/>
      <c r="CJ676" s="4"/>
      <c r="CK676" s="4"/>
      <c r="CL676" s="4"/>
      <c r="CM676" s="4"/>
      <c r="CN676" s="4"/>
      <c r="CO676" s="4"/>
      <c r="CP676" s="4"/>
      <c r="CQ676" s="4"/>
      <c r="CR676" s="4"/>
      <c r="CS676" s="4"/>
      <c r="CT676" s="4"/>
      <c r="CU676" s="4"/>
      <c r="CV676" s="4"/>
      <c r="CW676" s="4"/>
      <c r="CX676" s="4"/>
      <c r="CY676" s="4"/>
      <c r="CZ676" s="4"/>
      <c r="DA676" s="4"/>
      <c r="DB676" s="4"/>
      <c r="DC676" s="4"/>
      <c r="DD676" s="4"/>
      <c r="DE676" s="4"/>
      <c r="DF676" s="4"/>
      <c r="DG676" s="4"/>
      <c r="DH676" s="4"/>
      <c r="DI676" s="4"/>
      <c r="DJ676" s="4"/>
      <c r="DK676" s="4"/>
      <c r="DL676" s="4"/>
      <c r="DM676" s="4"/>
      <c r="DN676" s="4"/>
      <c r="DO676" s="4"/>
      <c r="DP676" s="4"/>
      <c r="DQ676" s="4"/>
      <c r="DR676" s="4"/>
      <c r="DS676" s="4"/>
      <c r="DT676" s="4"/>
      <c r="DU676" s="4"/>
      <c r="DV676" s="4"/>
    </row>
    <row r="677">
      <c r="A677" s="2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  <c r="CI677" s="4"/>
      <c r="CJ677" s="4"/>
      <c r="CK677" s="4"/>
      <c r="CL677" s="4"/>
      <c r="CM677" s="4"/>
      <c r="CN677" s="4"/>
      <c r="CO677" s="4"/>
      <c r="CP677" s="4"/>
      <c r="CQ677" s="4"/>
      <c r="CR677" s="4"/>
      <c r="CS677" s="4"/>
      <c r="CT677" s="4"/>
      <c r="CU677" s="4"/>
      <c r="CV677" s="4"/>
      <c r="CW677" s="4"/>
      <c r="CX677" s="4"/>
      <c r="CY677" s="4"/>
      <c r="CZ677" s="4"/>
      <c r="DA677" s="4"/>
      <c r="DB677" s="4"/>
      <c r="DC677" s="4"/>
      <c r="DD677" s="4"/>
      <c r="DE677" s="4"/>
      <c r="DF677" s="4"/>
      <c r="DG677" s="4"/>
      <c r="DH677" s="4"/>
      <c r="DI677" s="4"/>
      <c r="DJ677" s="4"/>
      <c r="DK677" s="4"/>
      <c r="DL677" s="4"/>
      <c r="DM677" s="4"/>
      <c r="DN677" s="4"/>
      <c r="DO677" s="4"/>
      <c r="DP677" s="4"/>
      <c r="DQ677" s="4"/>
      <c r="DR677" s="4"/>
      <c r="DS677" s="4"/>
      <c r="DT677" s="4"/>
      <c r="DU677" s="4"/>
      <c r="DV677" s="4"/>
    </row>
    <row r="678">
      <c r="A678" s="2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  <c r="CI678" s="4"/>
      <c r="CJ678" s="4"/>
      <c r="CK678" s="4"/>
      <c r="CL678" s="4"/>
      <c r="CM678" s="4"/>
      <c r="CN678" s="4"/>
      <c r="CO678" s="4"/>
      <c r="CP678" s="4"/>
      <c r="CQ678" s="4"/>
      <c r="CR678" s="4"/>
      <c r="CS678" s="4"/>
      <c r="CT678" s="4"/>
      <c r="CU678" s="4"/>
      <c r="CV678" s="4"/>
      <c r="CW678" s="4"/>
      <c r="CX678" s="4"/>
      <c r="CY678" s="4"/>
      <c r="CZ678" s="4"/>
      <c r="DA678" s="4"/>
      <c r="DB678" s="4"/>
      <c r="DC678" s="4"/>
      <c r="DD678" s="4"/>
      <c r="DE678" s="4"/>
      <c r="DF678" s="4"/>
      <c r="DG678" s="4"/>
      <c r="DH678" s="4"/>
      <c r="DI678" s="4"/>
      <c r="DJ678" s="4"/>
      <c r="DK678" s="4"/>
      <c r="DL678" s="4"/>
      <c r="DM678" s="4"/>
      <c r="DN678" s="4"/>
      <c r="DO678" s="4"/>
      <c r="DP678" s="4"/>
      <c r="DQ678" s="4"/>
      <c r="DR678" s="4"/>
      <c r="DS678" s="4"/>
      <c r="DT678" s="4"/>
      <c r="DU678" s="4"/>
      <c r="DV678" s="4"/>
    </row>
    <row r="679">
      <c r="A679" s="2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  <c r="CI679" s="4"/>
      <c r="CJ679" s="4"/>
      <c r="CK679" s="4"/>
      <c r="CL679" s="4"/>
      <c r="CM679" s="4"/>
      <c r="CN679" s="4"/>
      <c r="CO679" s="4"/>
      <c r="CP679" s="4"/>
      <c r="CQ679" s="4"/>
      <c r="CR679" s="4"/>
      <c r="CS679" s="4"/>
      <c r="CT679" s="4"/>
      <c r="CU679" s="4"/>
      <c r="CV679" s="4"/>
      <c r="CW679" s="4"/>
      <c r="CX679" s="4"/>
      <c r="CY679" s="4"/>
      <c r="CZ679" s="4"/>
      <c r="DA679" s="4"/>
      <c r="DB679" s="4"/>
      <c r="DC679" s="4"/>
      <c r="DD679" s="4"/>
      <c r="DE679" s="4"/>
      <c r="DF679" s="4"/>
      <c r="DG679" s="4"/>
      <c r="DH679" s="4"/>
      <c r="DI679" s="4"/>
      <c r="DJ679" s="4"/>
      <c r="DK679" s="4"/>
      <c r="DL679" s="4"/>
      <c r="DM679" s="4"/>
      <c r="DN679" s="4"/>
      <c r="DO679" s="4"/>
      <c r="DP679" s="4"/>
      <c r="DQ679" s="4"/>
      <c r="DR679" s="4"/>
      <c r="DS679" s="4"/>
      <c r="DT679" s="4"/>
      <c r="DU679" s="4"/>
      <c r="DV679" s="4"/>
    </row>
    <row r="680">
      <c r="A680" s="2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  <c r="CI680" s="4"/>
      <c r="CJ680" s="4"/>
      <c r="CK680" s="4"/>
      <c r="CL680" s="4"/>
      <c r="CM680" s="4"/>
      <c r="CN680" s="4"/>
      <c r="CO680" s="4"/>
      <c r="CP680" s="4"/>
      <c r="CQ680" s="4"/>
      <c r="CR680" s="4"/>
      <c r="CS680" s="4"/>
      <c r="CT680" s="4"/>
      <c r="CU680" s="4"/>
      <c r="CV680" s="4"/>
      <c r="CW680" s="4"/>
      <c r="CX680" s="4"/>
      <c r="CY680" s="4"/>
      <c r="CZ680" s="4"/>
      <c r="DA680" s="4"/>
      <c r="DB680" s="4"/>
      <c r="DC680" s="4"/>
      <c r="DD680" s="4"/>
      <c r="DE680" s="4"/>
      <c r="DF680" s="4"/>
      <c r="DG680" s="4"/>
      <c r="DH680" s="4"/>
      <c r="DI680" s="4"/>
      <c r="DJ680" s="4"/>
      <c r="DK680" s="4"/>
      <c r="DL680" s="4"/>
      <c r="DM680" s="4"/>
      <c r="DN680" s="4"/>
      <c r="DO680" s="4"/>
      <c r="DP680" s="4"/>
      <c r="DQ680" s="4"/>
      <c r="DR680" s="4"/>
      <c r="DS680" s="4"/>
      <c r="DT680" s="4"/>
      <c r="DU680" s="4"/>
      <c r="DV680" s="4"/>
    </row>
    <row r="681">
      <c r="A681" s="2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  <c r="CI681" s="4"/>
      <c r="CJ681" s="4"/>
      <c r="CK681" s="4"/>
      <c r="CL681" s="4"/>
      <c r="CM681" s="4"/>
      <c r="CN681" s="4"/>
      <c r="CO681" s="4"/>
      <c r="CP681" s="4"/>
      <c r="CQ681" s="4"/>
      <c r="CR681" s="4"/>
      <c r="CS681" s="4"/>
      <c r="CT681" s="4"/>
      <c r="CU681" s="4"/>
      <c r="CV681" s="4"/>
      <c r="CW681" s="4"/>
      <c r="CX681" s="4"/>
      <c r="CY681" s="4"/>
      <c r="CZ681" s="4"/>
      <c r="DA681" s="4"/>
      <c r="DB681" s="4"/>
      <c r="DC681" s="4"/>
      <c r="DD681" s="4"/>
      <c r="DE681" s="4"/>
      <c r="DF681" s="4"/>
      <c r="DG681" s="4"/>
      <c r="DH681" s="4"/>
      <c r="DI681" s="4"/>
      <c r="DJ681" s="4"/>
      <c r="DK681" s="4"/>
      <c r="DL681" s="4"/>
      <c r="DM681" s="4"/>
      <c r="DN681" s="4"/>
      <c r="DO681" s="4"/>
      <c r="DP681" s="4"/>
      <c r="DQ681" s="4"/>
      <c r="DR681" s="4"/>
      <c r="DS681" s="4"/>
      <c r="DT681" s="4"/>
      <c r="DU681" s="4"/>
      <c r="DV681" s="4"/>
    </row>
    <row r="682">
      <c r="A682" s="2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  <c r="CI682" s="4"/>
      <c r="CJ682" s="4"/>
      <c r="CK682" s="4"/>
      <c r="CL682" s="4"/>
      <c r="CM682" s="4"/>
      <c r="CN682" s="4"/>
      <c r="CO682" s="4"/>
      <c r="CP682" s="4"/>
      <c r="CQ682" s="4"/>
      <c r="CR682" s="4"/>
      <c r="CS682" s="4"/>
      <c r="CT682" s="4"/>
      <c r="CU682" s="4"/>
      <c r="CV682" s="4"/>
      <c r="CW682" s="4"/>
      <c r="CX682" s="4"/>
      <c r="CY682" s="4"/>
      <c r="CZ682" s="4"/>
      <c r="DA682" s="4"/>
      <c r="DB682" s="4"/>
      <c r="DC682" s="4"/>
      <c r="DD682" s="4"/>
      <c r="DE682" s="4"/>
      <c r="DF682" s="4"/>
      <c r="DG682" s="4"/>
      <c r="DH682" s="4"/>
      <c r="DI682" s="4"/>
      <c r="DJ682" s="4"/>
      <c r="DK682" s="4"/>
      <c r="DL682" s="4"/>
      <c r="DM682" s="4"/>
      <c r="DN682" s="4"/>
      <c r="DO682" s="4"/>
      <c r="DP682" s="4"/>
      <c r="DQ682" s="4"/>
      <c r="DR682" s="4"/>
      <c r="DS682" s="4"/>
      <c r="DT682" s="4"/>
      <c r="DU682" s="4"/>
      <c r="DV682" s="4"/>
    </row>
    <row r="683">
      <c r="A683" s="2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  <c r="CI683" s="4"/>
      <c r="CJ683" s="4"/>
      <c r="CK683" s="4"/>
      <c r="CL683" s="4"/>
      <c r="CM683" s="4"/>
      <c r="CN683" s="4"/>
      <c r="CO683" s="4"/>
      <c r="CP683" s="4"/>
      <c r="CQ683" s="4"/>
      <c r="CR683" s="4"/>
      <c r="CS683" s="4"/>
      <c r="CT683" s="4"/>
      <c r="CU683" s="4"/>
      <c r="CV683" s="4"/>
      <c r="CW683" s="4"/>
      <c r="CX683" s="4"/>
      <c r="CY683" s="4"/>
      <c r="CZ683" s="4"/>
      <c r="DA683" s="4"/>
      <c r="DB683" s="4"/>
      <c r="DC683" s="4"/>
      <c r="DD683" s="4"/>
      <c r="DE683" s="4"/>
      <c r="DF683" s="4"/>
      <c r="DG683" s="4"/>
      <c r="DH683" s="4"/>
      <c r="DI683" s="4"/>
      <c r="DJ683" s="4"/>
      <c r="DK683" s="4"/>
      <c r="DL683" s="4"/>
      <c r="DM683" s="4"/>
      <c r="DN683" s="4"/>
      <c r="DO683" s="4"/>
      <c r="DP683" s="4"/>
      <c r="DQ683" s="4"/>
      <c r="DR683" s="4"/>
      <c r="DS683" s="4"/>
      <c r="DT683" s="4"/>
      <c r="DU683" s="4"/>
      <c r="DV683" s="4"/>
    </row>
    <row r="684">
      <c r="A684" s="2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  <c r="CI684" s="4"/>
      <c r="CJ684" s="4"/>
      <c r="CK684" s="4"/>
      <c r="CL684" s="4"/>
      <c r="CM684" s="4"/>
      <c r="CN684" s="4"/>
      <c r="CO684" s="4"/>
      <c r="CP684" s="4"/>
      <c r="CQ684" s="4"/>
      <c r="CR684" s="4"/>
      <c r="CS684" s="4"/>
      <c r="CT684" s="4"/>
      <c r="CU684" s="4"/>
      <c r="CV684" s="4"/>
      <c r="CW684" s="4"/>
      <c r="CX684" s="4"/>
      <c r="CY684" s="4"/>
      <c r="CZ684" s="4"/>
      <c r="DA684" s="4"/>
      <c r="DB684" s="4"/>
      <c r="DC684" s="4"/>
      <c r="DD684" s="4"/>
      <c r="DE684" s="4"/>
      <c r="DF684" s="4"/>
      <c r="DG684" s="4"/>
      <c r="DH684" s="4"/>
      <c r="DI684" s="4"/>
      <c r="DJ684" s="4"/>
      <c r="DK684" s="4"/>
      <c r="DL684" s="4"/>
      <c r="DM684" s="4"/>
      <c r="DN684" s="4"/>
      <c r="DO684" s="4"/>
      <c r="DP684" s="4"/>
      <c r="DQ684" s="4"/>
      <c r="DR684" s="4"/>
      <c r="DS684" s="4"/>
      <c r="DT684" s="4"/>
      <c r="DU684" s="4"/>
      <c r="DV684" s="4"/>
    </row>
    <row r="685">
      <c r="A685" s="2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  <c r="CI685" s="4"/>
      <c r="CJ685" s="4"/>
      <c r="CK685" s="4"/>
      <c r="CL685" s="4"/>
      <c r="CM685" s="4"/>
      <c r="CN685" s="4"/>
      <c r="CO685" s="4"/>
      <c r="CP685" s="4"/>
      <c r="CQ685" s="4"/>
      <c r="CR685" s="4"/>
      <c r="CS685" s="4"/>
      <c r="CT685" s="4"/>
      <c r="CU685" s="4"/>
      <c r="CV685" s="4"/>
      <c r="CW685" s="4"/>
      <c r="CX685" s="4"/>
      <c r="CY685" s="4"/>
      <c r="CZ685" s="4"/>
      <c r="DA685" s="4"/>
      <c r="DB685" s="4"/>
      <c r="DC685" s="4"/>
      <c r="DD685" s="4"/>
      <c r="DE685" s="4"/>
      <c r="DF685" s="4"/>
      <c r="DG685" s="4"/>
      <c r="DH685" s="4"/>
      <c r="DI685" s="4"/>
      <c r="DJ685" s="4"/>
      <c r="DK685" s="4"/>
      <c r="DL685" s="4"/>
      <c r="DM685" s="4"/>
      <c r="DN685" s="4"/>
      <c r="DO685" s="4"/>
      <c r="DP685" s="4"/>
      <c r="DQ685" s="4"/>
      <c r="DR685" s="4"/>
      <c r="DS685" s="4"/>
      <c r="DT685" s="4"/>
      <c r="DU685" s="4"/>
      <c r="DV685" s="4"/>
    </row>
    <row r="686">
      <c r="A686" s="2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  <c r="CI686" s="4"/>
      <c r="CJ686" s="4"/>
      <c r="CK686" s="4"/>
      <c r="CL686" s="4"/>
      <c r="CM686" s="4"/>
      <c r="CN686" s="4"/>
      <c r="CO686" s="4"/>
      <c r="CP686" s="4"/>
      <c r="CQ686" s="4"/>
      <c r="CR686" s="4"/>
      <c r="CS686" s="4"/>
      <c r="CT686" s="4"/>
      <c r="CU686" s="4"/>
      <c r="CV686" s="4"/>
      <c r="CW686" s="4"/>
      <c r="CX686" s="4"/>
      <c r="CY686" s="4"/>
      <c r="CZ686" s="4"/>
      <c r="DA686" s="4"/>
      <c r="DB686" s="4"/>
      <c r="DC686" s="4"/>
      <c r="DD686" s="4"/>
      <c r="DE686" s="4"/>
      <c r="DF686" s="4"/>
      <c r="DG686" s="4"/>
      <c r="DH686" s="4"/>
      <c r="DI686" s="4"/>
      <c r="DJ686" s="4"/>
      <c r="DK686" s="4"/>
      <c r="DL686" s="4"/>
      <c r="DM686" s="4"/>
      <c r="DN686" s="4"/>
      <c r="DO686" s="4"/>
      <c r="DP686" s="4"/>
      <c r="DQ686" s="4"/>
      <c r="DR686" s="4"/>
      <c r="DS686" s="4"/>
      <c r="DT686" s="4"/>
      <c r="DU686" s="4"/>
      <c r="DV686" s="4"/>
    </row>
    <row r="687">
      <c r="A687" s="2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  <c r="CI687" s="4"/>
      <c r="CJ687" s="4"/>
      <c r="CK687" s="4"/>
      <c r="CL687" s="4"/>
      <c r="CM687" s="4"/>
      <c r="CN687" s="4"/>
      <c r="CO687" s="4"/>
      <c r="CP687" s="4"/>
      <c r="CQ687" s="4"/>
      <c r="CR687" s="4"/>
      <c r="CS687" s="4"/>
      <c r="CT687" s="4"/>
      <c r="CU687" s="4"/>
      <c r="CV687" s="4"/>
      <c r="CW687" s="4"/>
      <c r="CX687" s="4"/>
      <c r="CY687" s="4"/>
      <c r="CZ687" s="4"/>
      <c r="DA687" s="4"/>
      <c r="DB687" s="4"/>
      <c r="DC687" s="4"/>
      <c r="DD687" s="4"/>
      <c r="DE687" s="4"/>
      <c r="DF687" s="4"/>
      <c r="DG687" s="4"/>
      <c r="DH687" s="4"/>
      <c r="DI687" s="4"/>
      <c r="DJ687" s="4"/>
      <c r="DK687" s="4"/>
      <c r="DL687" s="4"/>
      <c r="DM687" s="4"/>
      <c r="DN687" s="4"/>
      <c r="DO687" s="4"/>
      <c r="DP687" s="4"/>
      <c r="DQ687" s="4"/>
      <c r="DR687" s="4"/>
      <c r="DS687" s="4"/>
      <c r="DT687" s="4"/>
      <c r="DU687" s="4"/>
      <c r="DV687" s="4"/>
    </row>
    <row r="688">
      <c r="A688" s="2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  <c r="CI688" s="4"/>
      <c r="CJ688" s="4"/>
      <c r="CK688" s="4"/>
      <c r="CL688" s="4"/>
      <c r="CM688" s="4"/>
      <c r="CN688" s="4"/>
      <c r="CO688" s="4"/>
      <c r="CP688" s="4"/>
      <c r="CQ688" s="4"/>
      <c r="CR688" s="4"/>
      <c r="CS688" s="4"/>
      <c r="CT688" s="4"/>
      <c r="CU688" s="4"/>
      <c r="CV688" s="4"/>
      <c r="CW688" s="4"/>
      <c r="CX688" s="4"/>
      <c r="CY688" s="4"/>
      <c r="CZ688" s="4"/>
      <c r="DA688" s="4"/>
      <c r="DB688" s="4"/>
      <c r="DC688" s="4"/>
      <c r="DD688" s="4"/>
      <c r="DE688" s="4"/>
      <c r="DF688" s="4"/>
      <c r="DG688" s="4"/>
      <c r="DH688" s="4"/>
      <c r="DI688" s="4"/>
      <c r="DJ688" s="4"/>
      <c r="DK688" s="4"/>
      <c r="DL688" s="4"/>
      <c r="DM688" s="4"/>
      <c r="DN688" s="4"/>
      <c r="DO688" s="4"/>
      <c r="DP688" s="4"/>
      <c r="DQ688" s="4"/>
      <c r="DR688" s="4"/>
      <c r="DS688" s="4"/>
      <c r="DT688" s="4"/>
      <c r="DU688" s="4"/>
      <c r="DV688" s="4"/>
    </row>
    <row r="689">
      <c r="A689" s="2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  <c r="CI689" s="4"/>
      <c r="CJ689" s="4"/>
      <c r="CK689" s="4"/>
      <c r="CL689" s="4"/>
      <c r="CM689" s="4"/>
      <c r="CN689" s="4"/>
      <c r="CO689" s="4"/>
      <c r="CP689" s="4"/>
      <c r="CQ689" s="4"/>
      <c r="CR689" s="4"/>
      <c r="CS689" s="4"/>
      <c r="CT689" s="4"/>
      <c r="CU689" s="4"/>
      <c r="CV689" s="4"/>
      <c r="CW689" s="4"/>
      <c r="CX689" s="4"/>
      <c r="CY689" s="4"/>
      <c r="CZ689" s="4"/>
      <c r="DA689" s="4"/>
      <c r="DB689" s="4"/>
      <c r="DC689" s="4"/>
      <c r="DD689" s="4"/>
      <c r="DE689" s="4"/>
      <c r="DF689" s="4"/>
      <c r="DG689" s="4"/>
      <c r="DH689" s="4"/>
      <c r="DI689" s="4"/>
      <c r="DJ689" s="4"/>
      <c r="DK689" s="4"/>
      <c r="DL689" s="4"/>
      <c r="DM689" s="4"/>
      <c r="DN689" s="4"/>
      <c r="DO689" s="4"/>
      <c r="DP689" s="4"/>
      <c r="DQ689" s="4"/>
      <c r="DR689" s="4"/>
      <c r="DS689" s="4"/>
      <c r="DT689" s="4"/>
      <c r="DU689" s="4"/>
      <c r="DV689" s="4"/>
    </row>
    <row r="690">
      <c r="A690" s="2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  <c r="CI690" s="4"/>
      <c r="CJ690" s="4"/>
      <c r="CK690" s="4"/>
      <c r="CL690" s="4"/>
      <c r="CM690" s="4"/>
      <c r="CN690" s="4"/>
      <c r="CO690" s="4"/>
      <c r="CP690" s="4"/>
      <c r="CQ690" s="4"/>
      <c r="CR690" s="4"/>
      <c r="CS690" s="4"/>
      <c r="CT690" s="4"/>
      <c r="CU690" s="4"/>
      <c r="CV690" s="4"/>
      <c r="CW690" s="4"/>
      <c r="CX690" s="4"/>
      <c r="CY690" s="4"/>
      <c r="CZ690" s="4"/>
      <c r="DA690" s="4"/>
      <c r="DB690" s="4"/>
      <c r="DC690" s="4"/>
      <c r="DD690" s="4"/>
      <c r="DE690" s="4"/>
      <c r="DF690" s="4"/>
      <c r="DG690" s="4"/>
      <c r="DH690" s="4"/>
      <c r="DI690" s="4"/>
      <c r="DJ690" s="4"/>
      <c r="DK690" s="4"/>
      <c r="DL690" s="4"/>
      <c r="DM690" s="4"/>
      <c r="DN690" s="4"/>
      <c r="DO690" s="4"/>
      <c r="DP690" s="4"/>
      <c r="DQ690" s="4"/>
      <c r="DR690" s="4"/>
      <c r="DS690" s="4"/>
      <c r="DT690" s="4"/>
      <c r="DU690" s="4"/>
      <c r="DV690" s="4"/>
    </row>
    <row r="691">
      <c r="A691" s="2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  <c r="CI691" s="4"/>
      <c r="CJ691" s="4"/>
      <c r="CK691" s="4"/>
      <c r="CL691" s="4"/>
      <c r="CM691" s="4"/>
      <c r="CN691" s="4"/>
      <c r="CO691" s="4"/>
      <c r="CP691" s="4"/>
      <c r="CQ691" s="4"/>
      <c r="CR691" s="4"/>
      <c r="CS691" s="4"/>
      <c r="CT691" s="4"/>
      <c r="CU691" s="4"/>
      <c r="CV691" s="4"/>
      <c r="CW691" s="4"/>
      <c r="CX691" s="4"/>
      <c r="CY691" s="4"/>
      <c r="CZ691" s="4"/>
      <c r="DA691" s="4"/>
      <c r="DB691" s="4"/>
      <c r="DC691" s="4"/>
      <c r="DD691" s="4"/>
      <c r="DE691" s="4"/>
      <c r="DF691" s="4"/>
      <c r="DG691" s="4"/>
      <c r="DH691" s="4"/>
      <c r="DI691" s="4"/>
      <c r="DJ691" s="4"/>
      <c r="DK691" s="4"/>
      <c r="DL691" s="4"/>
      <c r="DM691" s="4"/>
      <c r="DN691" s="4"/>
      <c r="DO691" s="4"/>
      <c r="DP691" s="4"/>
      <c r="DQ691" s="4"/>
      <c r="DR691" s="4"/>
      <c r="DS691" s="4"/>
      <c r="DT691" s="4"/>
      <c r="DU691" s="4"/>
      <c r="DV691" s="4"/>
    </row>
    <row r="692">
      <c r="A692" s="2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  <c r="CI692" s="4"/>
      <c r="CJ692" s="4"/>
      <c r="CK692" s="4"/>
      <c r="CL692" s="4"/>
      <c r="CM692" s="4"/>
      <c r="CN692" s="4"/>
      <c r="CO692" s="4"/>
      <c r="CP692" s="4"/>
      <c r="CQ692" s="4"/>
      <c r="CR692" s="4"/>
      <c r="CS692" s="4"/>
      <c r="CT692" s="4"/>
      <c r="CU692" s="4"/>
      <c r="CV692" s="4"/>
      <c r="CW692" s="4"/>
      <c r="CX692" s="4"/>
      <c r="CY692" s="4"/>
      <c r="CZ692" s="4"/>
      <c r="DA692" s="4"/>
      <c r="DB692" s="4"/>
      <c r="DC692" s="4"/>
      <c r="DD692" s="4"/>
      <c r="DE692" s="4"/>
      <c r="DF692" s="4"/>
      <c r="DG692" s="4"/>
      <c r="DH692" s="4"/>
      <c r="DI692" s="4"/>
      <c r="DJ692" s="4"/>
      <c r="DK692" s="4"/>
      <c r="DL692" s="4"/>
      <c r="DM692" s="4"/>
      <c r="DN692" s="4"/>
      <c r="DO692" s="4"/>
      <c r="DP692" s="4"/>
      <c r="DQ692" s="4"/>
      <c r="DR692" s="4"/>
      <c r="DS692" s="4"/>
      <c r="DT692" s="4"/>
      <c r="DU692" s="4"/>
      <c r="DV692" s="4"/>
    </row>
    <row r="693">
      <c r="A693" s="2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  <c r="CI693" s="4"/>
      <c r="CJ693" s="4"/>
      <c r="CK693" s="4"/>
      <c r="CL693" s="4"/>
      <c r="CM693" s="4"/>
      <c r="CN693" s="4"/>
      <c r="CO693" s="4"/>
      <c r="CP693" s="4"/>
      <c r="CQ693" s="4"/>
      <c r="CR693" s="4"/>
      <c r="CS693" s="4"/>
      <c r="CT693" s="4"/>
      <c r="CU693" s="4"/>
      <c r="CV693" s="4"/>
      <c r="CW693" s="4"/>
      <c r="CX693" s="4"/>
      <c r="CY693" s="4"/>
      <c r="CZ693" s="4"/>
      <c r="DA693" s="4"/>
      <c r="DB693" s="4"/>
      <c r="DC693" s="4"/>
      <c r="DD693" s="4"/>
      <c r="DE693" s="4"/>
      <c r="DF693" s="4"/>
      <c r="DG693" s="4"/>
      <c r="DH693" s="4"/>
      <c r="DI693" s="4"/>
      <c r="DJ693" s="4"/>
      <c r="DK693" s="4"/>
      <c r="DL693" s="4"/>
      <c r="DM693" s="4"/>
      <c r="DN693" s="4"/>
      <c r="DO693" s="4"/>
      <c r="DP693" s="4"/>
      <c r="DQ693" s="4"/>
      <c r="DR693" s="4"/>
      <c r="DS693" s="4"/>
      <c r="DT693" s="4"/>
      <c r="DU693" s="4"/>
      <c r="DV693" s="4"/>
    </row>
    <row r="694">
      <c r="A694" s="2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  <c r="CI694" s="4"/>
      <c r="CJ694" s="4"/>
      <c r="CK694" s="4"/>
      <c r="CL694" s="4"/>
      <c r="CM694" s="4"/>
      <c r="CN694" s="4"/>
      <c r="CO694" s="4"/>
      <c r="CP694" s="4"/>
      <c r="CQ694" s="4"/>
      <c r="CR694" s="4"/>
      <c r="CS694" s="4"/>
      <c r="CT694" s="4"/>
      <c r="CU694" s="4"/>
      <c r="CV694" s="4"/>
      <c r="CW694" s="4"/>
      <c r="CX694" s="4"/>
      <c r="CY694" s="4"/>
      <c r="CZ694" s="4"/>
      <c r="DA694" s="4"/>
      <c r="DB694" s="4"/>
      <c r="DC694" s="4"/>
      <c r="DD694" s="4"/>
      <c r="DE694" s="4"/>
      <c r="DF694" s="4"/>
      <c r="DG694" s="4"/>
      <c r="DH694" s="4"/>
      <c r="DI694" s="4"/>
      <c r="DJ694" s="4"/>
      <c r="DK694" s="4"/>
      <c r="DL694" s="4"/>
      <c r="DM694" s="4"/>
      <c r="DN694" s="4"/>
      <c r="DO694" s="4"/>
      <c r="DP694" s="4"/>
      <c r="DQ694" s="4"/>
      <c r="DR694" s="4"/>
      <c r="DS694" s="4"/>
      <c r="DT694" s="4"/>
      <c r="DU694" s="4"/>
      <c r="DV694" s="4"/>
    </row>
    <row r="695">
      <c r="A695" s="2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  <c r="CI695" s="4"/>
      <c r="CJ695" s="4"/>
      <c r="CK695" s="4"/>
      <c r="CL695" s="4"/>
      <c r="CM695" s="4"/>
      <c r="CN695" s="4"/>
      <c r="CO695" s="4"/>
      <c r="CP695" s="4"/>
      <c r="CQ695" s="4"/>
      <c r="CR695" s="4"/>
      <c r="CS695" s="4"/>
      <c r="CT695" s="4"/>
      <c r="CU695" s="4"/>
      <c r="CV695" s="4"/>
      <c r="CW695" s="4"/>
      <c r="CX695" s="4"/>
      <c r="CY695" s="4"/>
      <c r="CZ695" s="4"/>
      <c r="DA695" s="4"/>
      <c r="DB695" s="4"/>
      <c r="DC695" s="4"/>
      <c r="DD695" s="4"/>
      <c r="DE695" s="4"/>
      <c r="DF695" s="4"/>
      <c r="DG695" s="4"/>
      <c r="DH695" s="4"/>
      <c r="DI695" s="4"/>
      <c r="DJ695" s="4"/>
      <c r="DK695" s="4"/>
      <c r="DL695" s="4"/>
      <c r="DM695" s="4"/>
      <c r="DN695" s="4"/>
      <c r="DO695" s="4"/>
      <c r="DP695" s="4"/>
      <c r="DQ695" s="4"/>
      <c r="DR695" s="4"/>
      <c r="DS695" s="4"/>
      <c r="DT695" s="4"/>
      <c r="DU695" s="4"/>
      <c r="DV695" s="4"/>
    </row>
    <row r="696">
      <c r="A696" s="2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  <c r="CI696" s="4"/>
      <c r="CJ696" s="4"/>
      <c r="CK696" s="4"/>
      <c r="CL696" s="4"/>
      <c r="CM696" s="4"/>
      <c r="CN696" s="4"/>
      <c r="CO696" s="4"/>
      <c r="CP696" s="4"/>
      <c r="CQ696" s="4"/>
      <c r="CR696" s="4"/>
      <c r="CS696" s="4"/>
      <c r="CT696" s="4"/>
      <c r="CU696" s="4"/>
      <c r="CV696" s="4"/>
      <c r="CW696" s="4"/>
      <c r="CX696" s="4"/>
      <c r="CY696" s="4"/>
      <c r="CZ696" s="4"/>
      <c r="DA696" s="4"/>
      <c r="DB696" s="4"/>
      <c r="DC696" s="4"/>
      <c r="DD696" s="4"/>
      <c r="DE696" s="4"/>
      <c r="DF696" s="4"/>
      <c r="DG696" s="4"/>
      <c r="DH696" s="4"/>
      <c r="DI696" s="4"/>
      <c r="DJ696" s="4"/>
      <c r="DK696" s="4"/>
      <c r="DL696" s="4"/>
      <c r="DM696" s="4"/>
      <c r="DN696" s="4"/>
      <c r="DO696" s="4"/>
      <c r="DP696" s="4"/>
      <c r="DQ696" s="4"/>
      <c r="DR696" s="4"/>
      <c r="DS696" s="4"/>
      <c r="DT696" s="4"/>
      <c r="DU696" s="4"/>
      <c r="DV696" s="4"/>
    </row>
    <row r="697">
      <c r="A697" s="2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  <c r="CI697" s="4"/>
      <c r="CJ697" s="4"/>
      <c r="CK697" s="4"/>
      <c r="CL697" s="4"/>
      <c r="CM697" s="4"/>
      <c r="CN697" s="4"/>
      <c r="CO697" s="4"/>
      <c r="CP697" s="4"/>
      <c r="CQ697" s="4"/>
      <c r="CR697" s="4"/>
      <c r="CS697" s="4"/>
      <c r="CT697" s="4"/>
      <c r="CU697" s="4"/>
      <c r="CV697" s="4"/>
      <c r="CW697" s="4"/>
      <c r="CX697" s="4"/>
      <c r="CY697" s="4"/>
      <c r="CZ697" s="4"/>
      <c r="DA697" s="4"/>
      <c r="DB697" s="4"/>
      <c r="DC697" s="4"/>
      <c r="DD697" s="4"/>
      <c r="DE697" s="4"/>
      <c r="DF697" s="4"/>
      <c r="DG697" s="4"/>
      <c r="DH697" s="4"/>
      <c r="DI697" s="4"/>
      <c r="DJ697" s="4"/>
      <c r="DK697" s="4"/>
      <c r="DL697" s="4"/>
      <c r="DM697" s="4"/>
      <c r="DN697" s="4"/>
      <c r="DO697" s="4"/>
      <c r="DP697" s="4"/>
      <c r="DQ697" s="4"/>
      <c r="DR697" s="4"/>
      <c r="DS697" s="4"/>
      <c r="DT697" s="4"/>
      <c r="DU697" s="4"/>
      <c r="DV697" s="4"/>
    </row>
    <row r="698">
      <c r="A698" s="2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  <c r="CI698" s="4"/>
      <c r="CJ698" s="4"/>
      <c r="CK698" s="4"/>
      <c r="CL698" s="4"/>
      <c r="CM698" s="4"/>
      <c r="CN698" s="4"/>
      <c r="CO698" s="4"/>
      <c r="CP698" s="4"/>
      <c r="CQ698" s="4"/>
      <c r="CR698" s="4"/>
      <c r="CS698" s="4"/>
      <c r="CT698" s="4"/>
      <c r="CU698" s="4"/>
      <c r="CV698" s="4"/>
      <c r="CW698" s="4"/>
      <c r="CX698" s="4"/>
      <c r="CY698" s="4"/>
      <c r="CZ698" s="4"/>
      <c r="DA698" s="4"/>
      <c r="DB698" s="4"/>
      <c r="DC698" s="4"/>
      <c r="DD698" s="4"/>
      <c r="DE698" s="4"/>
      <c r="DF698" s="4"/>
      <c r="DG698" s="4"/>
      <c r="DH698" s="4"/>
      <c r="DI698" s="4"/>
      <c r="DJ698" s="4"/>
      <c r="DK698" s="4"/>
      <c r="DL698" s="4"/>
      <c r="DM698" s="4"/>
      <c r="DN698" s="4"/>
      <c r="DO698" s="4"/>
      <c r="DP698" s="4"/>
      <c r="DQ698" s="4"/>
      <c r="DR698" s="4"/>
      <c r="DS698" s="4"/>
      <c r="DT698" s="4"/>
      <c r="DU698" s="4"/>
      <c r="DV698" s="4"/>
    </row>
    <row r="699">
      <c r="A699" s="2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  <c r="CI699" s="4"/>
      <c r="CJ699" s="4"/>
      <c r="CK699" s="4"/>
      <c r="CL699" s="4"/>
      <c r="CM699" s="4"/>
      <c r="CN699" s="4"/>
      <c r="CO699" s="4"/>
      <c r="CP699" s="4"/>
      <c r="CQ699" s="4"/>
      <c r="CR699" s="4"/>
      <c r="CS699" s="4"/>
      <c r="CT699" s="4"/>
      <c r="CU699" s="4"/>
      <c r="CV699" s="4"/>
      <c r="CW699" s="4"/>
      <c r="CX699" s="4"/>
      <c r="CY699" s="4"/>
      <c r="CZ699" s="4"/>
      <c r="DA699" s="4"/>
      <c r="DB699" s="4"/>
      <c r="DC699" s="4"/>
      <c r="DD699" s="4"/>
      <c r="DE699" s="4"/>
      <c r="DF699" s="4"/>
      <c r="DG699" s="4"/>
      <c r="DH699" s="4"/>
      <c r="DI699" s="4"/>
      <c r="DJ699" s="4"/>
      <c r="DK699" s="4"/>
      <c r="DL699" s="4"/>
      <c r="DM699" s="4"/>
      <c r="DN699" s="4"/>
      <c r="DO699" s="4"/>
      <c r="DP699" s="4"/>
      <c r="DQ699" s="4"/>
      <c r="DR699" s="4"/>
      <c r="DS699" s="4"/>
      <c r="DT699" s="4"/>
      <c r="DU699" s="4"/>
      <c r="DV699" s="4"/>
    </row>
    <row r="700">
      <c r="A700" s="2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  <c r="CI700" s="4"/>
      <c r="CJ700" s="4"/>
      <c r="CK700" s="4"/>
      <c r="CL700" s="4"/>
      <c r="CM700" s="4"/>
      <c r="CN700" s="4"/>
      <c r="CO700" s="4"/>
      <c r="CP700" s="4"/>
      <c r="CQ700" s="4"/>
      <c r="CR700" s="4"/>
      <c r="CS700" s="4"/>
      <c r="CT700" s="4"/>
      <c r="CU700" s="4"/>
      <c r="CV700" s="4"/>
      <c r="CW700" s="4"/>
      <c r="CX700" s="4"/>
      <c r="CY700" s="4"/>
      <c r="CZ700" s="4"/>
      <c r="DA700" s="4"/>
      <c r="DB700" s="4"/>
      <c r="DC700" s="4"/>
      <c r="DD700" s="4"/>
      <c r="DE700" s="4"/>
      <c r="DF700" s="4"/>
      <c r="DG700" s="4"/>
      <c r="DH700" s="4"/>
      <c r="DI700" s="4"/>
      <c r="DJ700" s="4"/>
      <c r="DK700" s="4"/>
      <c r="DL700" s="4"/>
      <c r="DM700" s="4"/>
      <c r="DN700" s="4"/>
      <c r="DO700" s="4"/>
      <c r="DP700" s="4"/>
      <c r="DQ700" s="4"/>
      <c r="DR700" s="4"/>
      <c r="DS700" s="4"/>
      <c r="DT700" s="4"/>
      <c r="DU700" s="4"/>
      <c r="DV700" s="4"/>
    </row>
    <row r="701">
      <c r="A701" s="2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  <c r="CI701" s="4"/>
      <c r="CJ701" s="4"/>
      <c r="CK701" s="4"/>
      <c r="CL701" s="4"/>
      <c r="CM701" s="4"/>
      <c r="CN701" s="4"/>
      <c r="CO701" s="4"/>
      <c r="CP701" s="4"/>
      <c r="CQ701" s="4"/>
      <c r="CR701" s="4"/>
      <c r="CS701" s="4"/>
      <c r="CT701" s="4"/>
      <c r="CU701" s="4"/>
      <c r="CV701" s="4"/>
      <c r="CW701" s="4"/>
      <c r="CX701" s="4"/>
      <c r="CY701" s="4"/>
      <c r="CZ701" s="4"/>
      <c r="DA701" s="4"/>
      <c r="DB701" s="4"/>
      <c r="DC701" s="4"/>
      <c r="DD701" s="4"/>
      <c r="DE701" s="4"/>
      <c r="DF701" s="4"/>
      <c r="DG701" s="4"/>
      <c r="DH701" s="4"/>
      <c r="DI701" s="4"/>
      <c r="DJ701" s="4"/>
      <c r="DK701" s="4"/>
      <c r="DL701" s="4"/>
      <c r="DM701" s="4"/>
      <c r="DN701" s="4"/>
      <c r="DO701" s="4"/>
      <c r="DP701" s="4"/>
      <c r="DQ701" s="4"/>
      <c r="DR701" s="4"/>
      <c r="DS701" s="4"/>
      <c r="DT701" s="4"/>
      <c r="DU701" s="4"/>
      <c r="DV701" s="4"/>
    </row>
    <row r="702">
      <c r="A702" s="2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  <c r="CI702" s="4"/>
      <c r="CJ702" s="4"/>
      <c r="CK702" s="4"/>
      <c r="CL702" s="4"/>
      <c r="CM702" s="4"/>
      <c r="CN702" s="4"/>
      <c r="CO702" s="4"/>
      <c r="CP702" s="4"/>
      <c r="CQ702" s="4"/>
      <c r="CR702" s="4"/>
      <c r="CS702" s="4"/>
      <c r="CT702" s="4"/>
      <c r="CU702" s="4"/>
      <c r="CV702" s="4"/>
      <c r="CW702" s="4"/>
      <c r="CX702" s="4"/>
      <c r="CY702" s="4"/>
      <c r="CZ702" s="4"/>
      <c r="DA702" s="4"/>
      <c r="DB702" s="4"/>
      <c r="DC702" s="4"/>
      <c r="DD702" s="4"/>
      <c r="DE702" s="4"/>
      <c r="DF702" s="4"/>
      <c r="DG702" s="4"/>
      <c r="DH702" s="4"/>
      <c r="DI702" s="4"/>
      <c r="DJ702" s="4"/>
      <c r="DK702" s="4"/>
      <c r="DL702" s="4"/>
      <c r="DM702" s="4"/>
      <c r="DN702" s="4"/>
      <c r="DO702" s="4"/>
      <c r="DP702" s="4"/>
      <c r="DQ702" s="4"/>
      <c r="DR702" s="4"/>
      <c r="DS702" s="4"/>
      <c r="DT702" s="4"/>
      <c r="DU702" s="4"/>
      <c r="DV702" s="4"/>
    </row>
    <row r="703">
      <c r="A703" s="2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  <c r="CI703" s="4"/>
      <c r="CJ703" s="4"/>
      <c r="CK703" s="4"/>
      <c r="CL703" s="4"/>
      <c r="CM703" s="4"/>
      <c r="CN703" s="4"/>
      <c r="CO703" s="4"/>
      <c r="CP703" s="4"/>
      <c r="CQ703" s="4"/>
      <c r="CR703" s="4"/>
      <c r="CS703" s="4"/>
      <c r="CT703" s="4"/>
      <c r="CU703" s="4"/>
      <c r="CV703" s="4"/>
      <c r="CW703" s="4"/>
      <c r="CX703" s="4"/>
      <c r="CY703" s="4"/>
      <c r="CZ703" s="4"/>
      <c r="DA703" s="4"/>
      <c r="DB703" s="4"/>
      <c r="DC703" s="4"/>
      <c r="DD703" s="4"/>
      <c r="DE703" s="4"/>
      <c r="DF703" s="4"/>
      <c r="DG703" s="4"/>
      <c r="DH703" s="4"/>
      <c r="DI703" s="4"/>
      <c r="DJ703" s="4"/>
      <c r="DK703" s="4"/>
      <c r="DL703" s="4"/>
      <c r="DM703" s="4"/>
      <c r="DN703" s="4"/>
      <c r="DO703" s="4"/>
      <c r="DP703" s="4"/>
      <c r="DQ703" s="4"/>
      <c r="DR703" s="4"/>
      <c r="DS703" s="4"/>
      <c r="DT703" s="4"/>
      <c r="DU703" s="4"/>
      <c r="DV703" s="4"/>
    </row>
    <row r="704">
      <c r="A704" s="2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  <c r="CI704" s="4"/>
      <c r="CJ704" s="4"/>
      <c r="CK704" s="4"/>
      <c r="CL704" s="4"/>
      <c r="CM704" s="4"/>
      <c r="CN704" s="4"/>
      <c r="CO704" s="4"/>
      <c r="CP704" s="4"/>
      <c r="CQ704" s="4"/>
      <c r="CR704" s="4"/>
      <c r="CS704" s="4"/>
      <c r="CT704" s="4"/>
      <c r="CU704" s="4"/>
      <c r="CV704" s="4"/>
      <c r="CW704" s="4"/>
      <c r="CX704" s="4"/>
      <c r="CY704" s="4"/>
      <c r="CZ704" s="4"/>
      <c r="DA704" s="4"/>
      <c r="DB704" s="4"/>
      <c r="DC704" s="4"/>
      <c r="DD704" s="4"/>
      <c r="DE704" s="4"/>
      <c r="DF704" s="4"/>
      <c r="DG704" s="4"/>
      <c r="DH704" s="4"/>
      <c r="DI704" s="4"/>
      <c r="DJ704" s="4"/>
      <c r="DK704" s="4"/>
      <c r="DL704" s="4"/>
      <c r="DM704" s="4"/>
      <c r="DN704" s="4"/>
      <c r="DO704" s="4"/>
      <c r="DP704" s="4"/>
      <c r="DQ704" s="4"/>
      <c r="DR704" s="4"/>
      <c r="DS704" s="4"/>
      <c r="DT704" s="4"/>
      <c r="DU704" s="4"/>
      <c r="DV704" s="4"/>
    </row>
    <row r="705">
      <c r="A705" s="2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  <c r="CI705" s="4"/>
      <c r="CJ705" s="4"/>
      <c r="CK705" s="4"/>
      <c r="CL705" s="4"/>
      <c r="CM705" s="4"/>
      <c r="CN705" s="4"/>
      <c r="CO705" s="4"/>
      <c r="CP705" s="4"/>
      <c r="CQ705" s="4"/>
      <c r="CR705" s="4"/>
      <c r="CS705" s="4"/>
      <c r="CT705" s="4"/>
      <c r="CU705" s="4"/>
      <c r="CV705" s="4"/>
      <c r="CW705" s="4"/>
      <c r="CX705" s="4"/>
      <c r="CY705" s="4"/>
      <c r="CZ705" s="4"/>
      <c r="DA705" s="4"/>
      <c r="DB705" s="4"/>
      <c r="DC705" s="4"/>
      <c r="DD705" s="4"/>
      <c r="DE705" s="4"/>
      <c r="DF705" s="4"/>
      <c r="DG705" s="4"/>
      <c r="DH705" s="4"/>
      <c r="DI705" s="4"/>
      <c r="DJ705" s="4"/>
      <c r="DK705" s="4"/>
      <c r="DL705" s="4"/>
      <c r="DM705" s="4"/>
      <c r="DN705" s="4"/>
      <c r="DO705" s="4"/>
      <c r="DP705" s="4"/>
      <c r="DQ705" s="4"/>
      <c r="DR705" s="4"/>
      <c r="DS705" s="4"/>
      <c r="DT705" s="4"/>
      <c r="DU705" s="4"/>
      <c r="DV705" s="4"/>
    </row>
    <row r="706">
      <c r="A706" s="2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  <c r="CI706" s="4"/>
      <c r="CJ706" s="4"/>
      <c r="CK706" s="4"/>
      <c r="CL706" s="4"/>
      <c r="CM706" s="4"/>
      <c r="CN706" s="4"/>
      <c r="CO706" s="4"/>
      <c r="CP706" s="4"/>
      <c r="CQ706" s="4"/>
      <c r="CR706" s="4"/>
      <c r="CS706" s="4"/>
      <c r="CT706" s="4"/>
      <c r="CU706" s="4"/>
      <c r="CV706" s="4"/>
      <c r="CW706" s="4"/>
      <c r="CX706" s="4"/>
      <c r="CY706" s="4"/>
      <c r="CZ706" s="4"/>
      <c r="DA706" s="4"/>
      <c r="DB706" s="4"/>
      <c r="DC706" s="4"/>
      <c r="DD706" s="4"/>
      <c r="DE706" s="4"/>
      <c r="DF706" s="4"/>
      <c r="DG706" s="4"/>
      <c r="DH706" s="4"/>
      <c r="DI706" s="4"/>
      <c r="DJ706" s="4"/>
      <c r="DK706" s="4"/>
      <c r="DL706" s="4"/>
      <c r="DM706" s="4"/>
      <c r="DN706" s="4"/>
      <c r="DO706" s="4"/>
      <c r="DP706" s="4"/>
      <c r="DQ706" s="4"/>
      <c r="DR706" s="4"/>
      <c r="DS706" s="4"/>
      <c r="DT706" s="4"/>
      <c r="DU706" s="4"/>
      <c r="DV706" s="4"/>
    </row>
    <row r="707">
      <c r="A707" s="2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  <c r="CI707" s="4"/>
      <c r="CJ707" s="4"/>
      <c r="CK707" s="4"/>
      <c r="CL707" s="4"/>
      <c r="CM707" s="4"/>
      <c r="CN707" s="4"/>
      <c r="CO707" s="4"/>
      <c r="CP707" s="4"/>
      <c r="CQ707" s="4"/>
      <c r="CR707" s="4"/>
      <c r="CS707" s="4"/>
      <c r="CT707" s="4"/>
      <c r="CU707" s="4"/>
      <c r="CV707" s="4"/>
      <c r="CW707" s="4"/>
      <c r="CX707" s="4"/>
      <c r="CY707" s="4"/>
      <c r="CZ707" s="4"/>
      <c r="DA707" s="4"/>
      <c r="DB707" s="4"/>
      <c r="DC707" s="4"/>
      <c r="DD707" s="4"/>
      <c r="DE707" s="4"/>
      <c r="DF707" s="4"/>
      <c r="DG707" s="4"/>
      <c r="DH707" s="4"/>
      <c r="DI707" s="4"/>
      <c r="DJ707" s="4"/>
      <c r="DK707" s="4"/>
      <c r="DL707" s="4"/>
      <c r="DM707" s="4"/>
      <c r="DN707" s="4"/>
      <c r="DO707" s="4"/>
      <c r="DP707" s="4"/>
      <c r="DQ707" s="4"/>
      <c r="DR707" s="4"/>
      <c r="DS707" s="4"/>
      <c r="DT707" s="4"/>
      <c r="DU707" s="4"/>
      <c r="DV707" s="4"/>
    </row>
    <row r="708">
      <c r="A708" s="2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  <c r="CI708" s="4"/>
      <c r="CJ708" s="4"/>
      <c r="CK708" s="4"/>
      <c r="CL708" s="4"/>
      <c r="CM708" s="4"/>
      <c r="CN708" s="4"/>
      <c r="CO708" s="4"/>
      <c r="CP708" s="4"/>
      <c r="CQ708" s="4"/>
      <c r="CR708" s="4"/>
      <c r="CS708" s="4"/>
      <c r="CT708" s="4"/>
      <c r="CU708" s="4"/>
      <c r="CV708" s="4"/>
      <c r="CW708" s="4"/>
      <c r="CX708" s="4"/>
      <c r="CY708" s="4"/>
      <c r="CZ708" s="4"/>
      <c r="DA708" s="4"/>
      <c r="DB708" s="4"/>
      <c r="DC708" s="4"/>
      <c r="DD708" s="4"/>
      <c r="DE708" s="4"/>
      <c r="DF708" s="4"/>
      <c r="DG708" s="4"/>
      <c r="DH708" s="4"/>
      <c r="DI708" s="4"/>
      <c r="DJ708" s="4"/>
      <c r="DK708" s="4"/>
      <c r="DL708" s="4"/>
      <c r="DM708" s="4"/>
      <c r="DN708" s="4"/>
      <c r="DO708" s="4"/>
      <c r="DP708" s="4"/>
      <c r="DQ708" s="4"/>
      <c r="DR708" s="4"/>
      <c r="DS708" s="4"/>
      <c r="DT708" s="4"/>
      <c r="DU708" s="4"/>
      <c r="DV708" s="4"/>
    </row>
    <row r="709">
      <c r="A709" s="2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  <c r="CI709" s="4"/>
      <c r="CJ709" s="4"/>
      <c r="CK709" s="4"/>
      <c r="CL709" s="4"/>
      <c r="CM709" s="4"/>
      <c r="CN709" s="4"/>
      <c r="CO709" s="4"/>
      <c r="CP709" s="4"/>
      <c r="CQ709" s="4"/>
      <c r="CR709" s="4"/>
      <c r="CS709" s="4"/>
      <c r="CT709" s="4"/>
      <c r="CU709" s="4"/>
      <c r="CV709" s="4"/>
      <c r="CW709" s="4"/>
      <c r="CX709" s="4"/>
      <c r="CY709" s="4"/>
      <c r="CZ709" s="4"/>
      <c r="DA709" s="4"/>
      <c r="DB709" s="4"/>
      <c r="DC709" s="4"/>
      <c r="DD709" s="4"/>
      <c r="DE709" s="4"/>
      <c r="DF709" s="4"/>
      <c r="DG709" s="4"/>
      <c r="DH709" s="4"/>
      <c r="DI709" s="4"/>
      <c r="DJ709" s="4"/>
      <c r="DK709" s="4"/>
      <c r="DL709" s="4"/>
      <c r="DM709" s="4"/>
      <c r="DN709" s="4"/>
      <c r="DO709" s="4"/>
      <c r="DP709" s="4"/>
      <c r="DQ709" s="4"/>
      <c r="DR709" s="4"/>
      <c r="DS709" s="4"/>
      <c r="DT709" s="4"/>
      <c r="DU709" s="4"/>
      <c r="DV709" s="4"/>
    </row>
    <row r="710">
      <c r="A710" s="2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  <c r="CI710" s="4"/>
      <c r="CJ710" s="4"/>
      <c r="CK710" s="4"/>
      <c r="CL710" s="4"/>
      <c r="CM710" s="4"/>
      <c r="CN710" s="4"/>
      <c r="CO710" s="4"/>
      <c r="CP710" s="4"/>
      <c r="CQ710" s="4"/>
      <c r="CR710" s="4"/>
      <c r="CS710" s="4"/>
      <c r="CT710" s="4"/>
      <c r="CU710" s="4"/>
      <c r="CV710" s="4"/>
      <c r="CW710" s="4"/>
      <c r="CX710" s="4"/>
      <c r="CY710" s="4"/>
      <c r="CZ710" s="4"/>
      <c r="DA710" s="4"/>
      <c r="DB710" s="4"/>
      <c r="DC710" s="4"/>
      <c r="DD710" s="4"/>
      <c r="DE710" s="4"/>
      <c r="DF710" s="4"/>
      <c r="DG710" s="4"/>
      <c r="DH710" s="4"/>
      <c r="DI710" s="4"/>
      <c r="DJ710" s="4"/>
      <c r="DK710" s="4"/>
      <c r="DL710" s="4"/>
      <c r="DM710" s="4"/>
      <c r="DN710" s="4"/>
      <c r="DO710" s="4"/>
      <c r="DP710" s="4"/>
      <c r="DQ710" s="4"/>
      <c r="DR710" s="4"/>
      <c r="DS710" s="4"/>
      <c r="DT710" s="4"/>
      <c r="DU710" s="4"/>
      <c r="DV710" s="4"/>
    </row>
    <row r="711">
      <c r="A711" s="2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  <c r="CI711" s="4"/>
      <c r="CJ711" s="4"/>
      <c r="CK711" s="4"/>
      <c r="CL711" s="4"/>
      <c r="CM711" s="4"/>
      <c r="CN711" s="4"/>
      <c r="CO711" s="4"/>
      <c r="CP711" s="4"/>
      <c r="CQ711" s="4"/>
      <c r="CR711" s="4"/>
      <c r="CS711" s="4"/>
      <c r="CT711" s="4"/>
      <c r="CU711" s="4"/>
      <c r="CV711" s="4"/>
      <c r="CW711" s="4"/>
      <c r="CX711" s="4"/>
      <c r="CY711" s="4"/>
      <c r="CZ711" s="4"/>
      <c r="DA711" s="4"/>
      <c r="DB711" s="4"/>
      <c r="DC711" s="4"/>
      <c r="DD711" s="4"/>
      <c r="DE711" s="4"/>
      <c r="DF711" s="4"/>
      <c r="DG711" s="4"/>
      <c r="DH711" s="4"/>
      <c r="DI711" s="4"/>
      <c r="DJ711" s="4"/>
      <c r="DK711" s="4"/>
      <c r="DL711" s="4"/>
      <c r="DM711" s="4"/>
      <c r="DN711" s="4"/>
      <c r="DO711" s="4"/>
      <c r="DP711" s="4"/>
      <c r="DQ711" s="4"/>
      <c r="DR711" s="4"/>
      <c r="DS711" s="4"/>
      <c r="DT711" s="4"/>
      <c r="DU711" s="4"/>
      <c r="DV711" s="4"/>
    </row>
    <row r="712">
      <c r="A712" s="2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  <c r="CI712" s="4"/>
      <c r="CJ712" s="4"/>
      <c r="CK712" s="4"/>
      <c r="CL712" s="4"/>
      <c r="CM712" s="4"/>
      <c r="CN712" s="4"/>
      <c r="CO712" s="4"/>
      <c r="CP712" s="4"/>
      <c r="CQ712" s="4"/>
      <c r="CR712" s="4"/>
      <c r="CS712" s="4"/>
      <c r="CT712" s="4"/>
      <c r="CU712" s="4"/>
      <c r="CV712" s="4"/>
      <c r="CW712" s="4"/>
      <c r="CX712" s="4"/>
      <c r="CY712" s="4"/>
      <c r="CZ712" s="4"/>
      <c r="DA712" s="4"/>
      <c r="DB712" s="4"/>
      <c r="DC712" s="4"/>
      <c r="DD712" s="4"/>
      <c r="DE712" s="4"/>
      <c r="DF712" s="4"/>
      <c r="DG712" s="4"/>
      <c r="DH712" s="4"/>
      <c r="DI712" s="4"/>
      <c r="DJ712" s="4"/>
      <c r="DK712" s="4"/>
      <c r="DL712" s="4"/>
      <c r="DM712" s="4"/>
      <c r="DN712" s="4"/>
      <c r="DO712" s="4"/>
      <c r="DP712" s="4"/>
      <c r="DQ712" s="4"/>
      <c r="DR712" s="4"/>
      <c r="DS712" s="4"/>
      <c r="DT712" s="4"/>
      <c r="DU712" s="4"/>
      <c r="DV712" s="4"/>
    </row>
    <row r="713">
      <c r="A713" s="2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  <c r="CI713" s="4"/>
      <c r="CJ713" s="4"/>
      <c r="CK713" s="4"/>
      <c r="CL713" s="4"/>
      <c r="CM713" s="4"/>
      <c r="CN713" s="4"/>
      <c r="CO713" s="4"/>
      <c r="CP713" s="4"/>
      <c r="CQ713" s="4"/>
      <c r="CR713" s="4"/>
      <c r="CS713" s="4"/>
      <c r="CT713" s="4"/>
      <c r="CU713" s="4"/>
      <c r="CV713" s="4"/>
      <c r="CW713" s="4"/>
      <c r="CX713" s="4"/>
      <c r="CY713" s="4"/>
      <c r="CZ713" s="4"/>
      <c r="DA713" s="4"/>
      <c r="DB713" s="4"/>
      <c r="DC713" s="4"/>
      <c r="DD713" s="4"/>
      <c r="DE713" s="4"/>
      <c r="DF713" s="4"/>
      <c r="DG713" s="4"/>
      <c r="DH713" s="4"/>
      <c r="DI713" s="4"/>
      <c r="DJ713" s="4"/>
      <c r="DK713" s="4"/>
      <c r="DL713" s="4"/>
      <c r="DM713" s="4"/>
      <c r="DN713" s="4"/>
      <c r="DO713" s="4"/>
      <c r="DP713" s="4"/>
      <c r="DQ713" s="4"/>
      <c r="DR713" s="4"/>
      <c r="DS713" s="4"/>
      <c r="DT713" s="4"/>
      <c r="DU713" s="4"/>
      <c r="DV713" s="4"/>
    </row>
    <row r="714">
      <c r="A714" s="2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  <c r="CI714" s="4"/>
      <c r="CJ714" s="4"/>
      <c r="CK714" s="4"/>
      <c r="CL714" s="4"/>
      <c r="CM714" s="4"/>
      <c r="CN714" s="4"/>
      <c r="CO714" s="4"/>
      <c r="CP714" s="4"/>
      <c r="CQ714" s="4"/>
      <c r="CR714" s="4"/>
      <c r="CS714" s="4"/>
      <c r="CT714" s="4"/>
      <c r="CU714" s="4"/>
      <c r="CV714" s="4"/>
      <c r="CW714" s="4"/>
      <c r="CX714" s="4"/>
      <c r="CY714" s="4"/>
      <c r="CZ714" s="4"/>
      <c r="DA714" s="4"/>
      <c r="DB714" s="4"/>
      <c r="DC714" s="4"/>
      <c r="DD714" s="4"/>
      <c r="DE714" s="4"/>
      <c r="DF714" s="4"/>
      <c r="DG714" s="4"/>
      <c r="DH714" s="4"/>
      <c r="DI714" s="4"/>
      <c r="DJ714" s="4"/>
      <c r="DK714" s="4"/>
      <c r="DL714" s="4"/>
      <c r="DM714" s="4"/>
      <c r="DN714" s="4"/>
      <c r="DO714" s="4"/>
      <c r="DP714" s="4"/>
      <c r="DQ714" s="4"/>
      <c r="DR714" s="4"/>
      <c r="DS714" s="4"/>
      <c r="DT714" s="4"/>
      <c r="DU714" s="4"/>
      <c r="DV714" s="4"/>
    </row>
    <row r="715">
      <c r="A715" s="2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  <c r="CI715" s="4"/>
      <c r="CJ715" s="4"/>
      <c r="CK715" s="4"/>
      <c r="CL715" s="4"/>
      <c r="CM715" s="4"/>
      <c r="CN715" s="4"/>
      <c r="CO715" s="4"/>
      <c r="CP715" s="4"/>
      <c r="CQ715" s="4"/>
      <c r="CR715" s="4"/>
      <c r="CS715" s="4"/>
      <c r="CT715" s="4"/>
      <c r="CU715" s="4"/>
      <c r="CV715" s="4"/>
      <c r="CW715" s="4"/>
      <c r="CX715" s="4"/>
      <c r="CY715" s="4"/>
      <c r="CZ715" s="4"/>
      <c r="DA715" s="4"/>
      <c r="DB715" s="4"/>
      <c r="DC715" s="4"/>
      <c r="DD715" s="4"/>
      <c r="DE715" s="4"/>
      <c r="DF715" s="4"/>
      <c r="DG715" s="4"/>
      <c r="DH715" s="4"/>
      <c r="DI715" s="4"/>
      <c r="DJ715" s="4"/>
      <c r="DK715" s="4"/>
      <c r="DL715" s="4"/>
      <c r="DM715" s="4"/>
      <c r="DN715" s="4"/>
      <c r="DO715" s="4"/>
      <c r="DP715" s="4"/>
      <c r="DQ715" s="4"/>
      <c r="DR715" s="4"/>
      <c r="DS715" s="4"/>
      <c r="DT715" s="4"/>
      <c r="DU715" s="4"/>
      <c r="DV715" s="4"/>
    </row>
    <row r="716">
      <c r="A716" s="2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  <c r="CI716" s="4"/>
      <c r="CJ716" s="4"/>
      <c r="CK716" s="4"/>
      <c r="CL716" s="4"/>
      <c r="CM716" s="4"/>
      <c r="CN716" s="4"/>
      <c r="CO716" s="4"/>
      <c r="CP716" s="4"/>
      <c r="CQ716" s="4"/>
      <c r="CR716" s="4"/>
      <c r="CS716" s="4"/>
      <c r="CT716" s="4"/>
      <c r="CU716" s="4"/>
      <c r="CV716" s="4"/>
      <c r="CW716" s="4"/>
      <c r="CX716" s="4"/>
      <c r="CY716" s="4"/>
      <c r="CZ716" s="4"/>
      <c r="DA716" s="4"/>
      <c r="DB716" s="4"/>
      <c r="DC716" s="4"/>
      <c r="DD716" s="4"/>
      <c r="DE716" s="4"/>
      <c r="DF716" s="4"/>
      <c r="DG716" s="4"/>
      <c r="DH716" s="4"/>
      <c r="DI716" s="4"/>
      <c r="DJ716" s="4"/>
      <c r="DK716" s="4"/>
      <c r="DL716" s="4"/>
      <c r="DM716" s="4"/>
      <c r="DN716" s="4"/>
      <c r="DO716" s="4"/>
      <c r="DP716" s="4"/>
      <c r="DQ716" s="4"/>
      <c r="DR716" s="4"/>
      <c r="DS716" s="4"/>
      <c r="DT716" s="4"/>
      <c r="DU716" s="4"/>
      <c r="DV716" s="4"/>
    </row>
    <row r="717">
      <c r="A717" s="2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  <c r="CI717" s="4"/>
      <c r="CJ717" s="4"/>
      <c r="CK717" s="4"/>
      <c r="CL717" s="4"/>
      <c r="CM717" s="4"/>
      <c r="CN717" s="4"/>
      <c r="CO717" s="4"/>
      <c r="CP717" s="4"/>
      <c r="CQ717" s="4"/>
      <c r="CR717" s="4"/>
      <c r="CS717" s="4"/>
      <c r="CT717" s="4"/>
      <c r="CU717" s="4"/>
      <c r="CV717" s="4"/>
      <c r="CW717" s="4"/>
      <c r="CX717" s="4"/>
      <c r="CY717" s="4"/>
      <c r="CZ717" s="4"/>
      <c r="DA717" s="4"/>
      <c r="DB717" s="4"/>
      <c r="DC717" s="4"/>
      <c r="DD717" s="4"/>
      <c r="DE717" s="4"/>
      <c r="DF717" s="4"/>
      <c r="DG717" s="4"/>
      <c r="DH717" s="4"/>
      <c r="DI717" s="4"/>
      <c r="DJ717" s="4"/>
      <c r="DK717" s="4"/>
      <c r="DL717" s="4"/>
      <c r="DM717" s="4"/>
      <c r="DN717" s="4"/>
      <c r="DO717" s="4"/>
      <c r="DP717" s="4"/>
      <c r="DQ717" s="4"/>
      <c r="DR717" s="4"/>
      <c r="DS717" s="4"/>
      <c r="DT717" s="4"/>
      <c r="DU717" s="4"/>
      <c r="DV717" s="4"/>
    </row>
    <row r="718">
      <c r="A718" s="2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  <c r="CI718" s="4"/>
      <c r="CJ718" s="4"/>
      <c r="CK718" s="4"/>
      <c r="CL718" s="4"/>
      <c r="CM718" s="4"/>
      <c r="CN718" s="4"/>
      <c r="CO718" s="4"/>
      <c r="CP718" s="4"/>
      <c r="CQ718" s="4"/>
      <c r="CR718" s="4"/>
      <c r="CS718" s="4"/>
      <c r="CT718" s="4"/>
      <c r="CU718" s="4"/>
      <c r="CV718" s="4"/>
      <c r="CW718" s="4"/>
      <c r="CX718" s="4"/>
      <c r="CY718" s="4"/>
      <c r="CZ718" s="4"/>
      <c r="DA718" s="4"/>
      <c r="DB718" s="4"/>
      <c r="DC718" s="4"/>
      <c r="DD718" s="4"/>
      <c r="DE718" s="4"/>
      <c r="DF718" s="4"/>
      <c r="DG718" s="4"/>
      <c r="DH718" s="4"/>
      <c r="DI718" s="4"/>
      <c r="DJ718" s="4"/>
      <c r="DK718" s="4"/>
      <c r="DL718" s="4"/>
      <c r="DM718" s="4"/>
      <c r="DN718" s="4"/>
      <c r="DO718" s="4"/>
      <c r="DP718" s="4"/>
      <c r="DQ718" s="4"/>
      <c r="DR718" s="4"/>
      <c r="DS718" s="4"/>
      <c r="DT718" s="4"/>
      <c r="DU718" s="4"/>
      <c r="DV718" s="4"/>
    </row>
    <row r="719">
      <c r="A719" s="2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  <c r="CI719" s="4"/>
      <c r="CJ719" s="4"/>
      <c r="CK719" s="4"/>
      <c r="CL719" s="4"/>
      <c r="CM719" s="4"/>
      <c r="CN719" s="4"/>
      <c r="CO719" s="4"/>
      <c r="CP719" s="4"/>
      <c r="CQ719" s="4"/>
      <c r="CR719" s="4"/>
      <c r="CS719" s="4"/>
      <c r="CT719" s="4"/>
      <c r="CU719" s="4"/>
      <c r="CV719" s="4"/>
      <c r="CW719" s="4"/>
      <c r="CX719" s="4"/>
      <c r="CY719" s="4"/>
      <c r="CZ719" s="4"/>
      <c r="DA719" s="4"/>
      <c r="DB719" s="4"/>
      <c r="DC719" s="4"/>
      <c r="DD719" s="4"/>
      <c r="DE719" s="4"/>
      <c r="DF719" s="4"/>
      <c r="DG719" s="4"/>
      <c r="DH719" s="4"/>
      <c r="DI719" s="4"/>
      <c r="DJ719" s="4"/>
      <c r="DK719" s="4"/>
      <c r="DL719" s="4"/>
      <c r="DM719" s="4"/>
      <c r="DN719" s="4"/>
      <c r="DO719" s="4"/>
      <c r="DP719" s="4"/>
      <c r="DQ719" s="4"/>
      <c r="DR719" s="4"/>
      <c r="DS719" s="4"/>
      <c r="DT719" s="4"/>
      <c r="DU719" s="4"/>
      <c r="DV719" s="4"/>
    </row>
    <row r="720">
      <c r="A720" s="2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  <c r="CI720" s="4"/>
      <c r="CJ720" s="4"/>
      <c r="CK720" s="4"/>
      <c r="CL720" s="4"/>
      <c r="CM720" s="4"/>
      <c r="CN720" s="4"/>
      <c r="CO720" s="4"/>
      <c r="CP720" s="4"/>
      <c r="CQ720" s="4"/>
      <c r="CR720" s="4"/>
      <c r="CS720" s="4"/>
      <c r="CT720" s="4"/>
      <c r="CU720" s="4"/>
      <c r="CV720" s="4"/>
      <c r="CW720" s="4"/>
      <c r="CX720" s="4"/>
      <c r="CY720" s="4"/>
      <c r="CZ720" s="4"/>
      <c r="DA720" s="4"/>
      <c r="DB720" s="4"/>
      <c r="DC720" s="4"/>
      <c r="DD720" s="4"/>
      <c r="DE720" s="4"/>
      <c r="DF720" s="4"/>
      <c r="DG720" s="4"/>
      <c r="DH720" s="4"/>
      <c r="DI720" s="4"/>
      <c r="DJ720" s="4"/>
      <c r="DK720" s="4"/>
      <c r="DL720" s="4"/>
      <c r="DM720" s="4"/>
      <c r="DN720" s="4"/>
      <c r="DO720" s="4"/>
      <c r="DP720" s="4"/>
      <c r="DQ720" s="4"/>
      <c r="DR720" s="4"/>
      <c r="DS720" s="4"/>
      <c r="DT720" s="4"/>
      <c r="DU720" s="4"/>
      <c r="DV720" s="4"/>
    </row>
    <row r="721">
      <c r="A721" s="2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  <c r="CI721" s="4"/>
      <c r="CJ721" s="4"/>
      <c r="CK721" s="4"/>
      <c r="CL721" s="4"/>
      <c r="CM721" s="4"/>
      <c r="CN721" s="4"/>
      <c r="CO721" s="4"/>
      <c r="CP721" s="4"/>
      <c r="CQ721" s="4"/>
      <c r="CR721" s="4"/>
      <c r="CS721" s="4"/>
      <c r="CT721" s="4"/>
      <c r="CU721" s="4"/>
      <c r="CV721" s="4"/>
      <c r="CW721" s="4"/>
      <c r="CX721" s="4"/>
      <c r="CY721" s="4"/>
      <c r="CZ721" s="4"/>
      <c r="DA721" s="4"/>
      <c r="DB721" s="4"/>
      <c r="DC721" s="4"/>
      <c r="DD721" s="4"/>
      <c r="DE721" s="4"/>
      <c r="DF721" s="4"/>
      <c r="DG721" s="4"/>
      <c r="DH721" s="4"/>
      <c r="DI721" s="4"/>
      <c r="DJ721" s="4"/>
      <c r="DK721" s="4"/>
      <c r="DL721" s="4"/>
      <c r="DM721" s="4"/>
      <c r="DN721" s="4"/>
      <c r="DO721" s="4"/>
      <c r="DP721" s="4"/>
      <c r="DQ721" s="4"/>
      <c r="DR721" s="4"/>
      <c r="DS721" s="4"/>
      <c r="DT721" s="4"/>
      <c r="DU721" s="4"/>
      <c r="DV721" s="4"/>
    </row>
    <row r="722">
      <c r="A722" s="2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  <c r="CI722" s="4"/>
      <c r="CJ722" s="4"/>
      <c r="CK722" s="4"/>
      <c r="CL722" s="4"/>
      <c r="CM722" s="4"/>
      <c r="CN722" s="4"/>
      <c r="CO722" s="4"/>
      <c r="CP722" s="4"/>
      <c r="CQ722" s="4"/>
      <c r="CR722" s="4"/>
      <c r="CS722" s="4"/>
      <c r="CT722" s="4"/>
      <c r="CU722" s="4"/>
      <c r="CV722" s="4"/>
      <c r="CW722" s="4"/>
      <c r="CX722" s="4"/>
      <c r="CY722" s="4"/>
      <c r="CZ722" s="4"/>
      <c r="DA722" s="4"/>
      <c r="DB722" s="4"/>
      <c r="DC722" s="4"/>
      <c r="DD722" s="4"/>
      <c r="DE722" s="4"/>
      <c r="DF722" s="4"/>
      <c r="DG722" s="4"/>
      <c r="DH722" s="4"/>
      <c r="DI722" s="4"/>
      <c r="DJ722" s="4"/>
      <c r="DK722" s="4"/>
      <c r="DL722" s="4"/>
      <c r="DM722" s="4"/>
      <c r="DN722" s="4"/>
      <c r="DO722" s="4"/>
      <c r="DP722" s="4"/>
      <c r="DQ722" s="4"/>
      <c r="DR722" s="4"/>
      <c r="DS722" s="4"/>
      <c r="DT722" s="4"/>
      <c r="DU722" s="4"/>
      <c r="DV722" s="4"/>
    </row>
    <row r="723">
      <c r="A723" s="2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  <c r="CI723" s="4"/>
      <c r="CJ723" s="4"/>
      <c r="CK723" s="4"/>
      <c r="CL723" s="4"/>
      <c r="CM723" s="4"/>
      <c r="CN723" s="4"/>
      <c r="CO723" s="4"/>
      <c r="CP723" s="4"/>
      <c r="CQ723" s="4"/>
      <c r="CR723" s="4"/>
      <c r="CS723" s="4"/>
      <c r="CT723" s="4"/>
      <c r="CU723" s="4"/>
      <c r="CV723" s="4"/>
      <c r="CW723" s="4"/>
      <c r="CX723" s="4"/>
      <c r="CY723" s="4"/>
      <c r="CZ723" s="4"/>
      <c r="DA723" s="4"/>
      <c r="DB723" s="4"/>
      <c r="DC723" s="4"/>
      <c r="DD723" s="4"/>
      <c r="DE723" s="4"/>
      <c r="DF723" s="4"/>
      <c r="DG723" s="4"/>
      <c r="DH723" s="4"/>
      <c r="DI723" s="4"/>
      <c r="DJ723" s="4"/>
      <c r="DK723" s="4"/>
      <c r="DL723" s="4"/>
      <c r="DM723" s="4"/>
      <c r="DN723" s="4"/>
      <c r="DO723" s="4"/>
      <c r="DP723" s="4"/>
      <c r="DQ723" s="4"/>
      <c r="DR723" s="4"/>
      <c r="DS723" s="4"/>
      <c r="DT723" s="4"/>
      <c r="DU723" s="4"/>
      <c r="DV723" s="4"/>
    </row>
    <row r="724">
      <c r="A724" s="2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  <c r="CI724" s="4"/>
      <c r="CJ724" s="4"/>
      <c r="CK724" s="4"/>
      <c r="CL724" s="4"/>
      <c r="CM724" s="4"/>
      <c r="CN724" s="4"/>
      <c r="CO724" s="4"/>
      <c r="CP724" s="4"/>
      <c r="CQ724" s="4"/>
      <c r="CR724" s="4"/>
      <c r="CS724" s="4"/>
      <c r="CT724" s="4"/>
      <c r="CU724" s="4"/>
      <c r="CV724" s="4"/>
      <c r="CW724" s="4"/>
      <c r="CX724" s="4"/>
      <c r="CY724" s="4"/>
      <c r="CZ724" s="4"/>
      <c r="DA724" s="4"/>
      <c r="DB724" s="4"/>
      <c r="DC724" s="4"/>
      <c r="DD724" s="4"/>
      <c r="DE724" s="4"/>
      <c r="DF724" s="4"/>
      <c r="DG724" s="4"/>
      <c r="DH724" s="4"/>
      <c r="DI724" s="4"/>
      <c r="DJ724" s="4"/>
      <c r="DK724" s="4"/>
      <c r="DL724" s="4"/>
      <c r="DM724" s="4"/>
      <c r="DN724" s="4"/>
      <c r="DO724" s="4"/>
      <c r="DP724" s="4"/>
      <c r="DQ724" s="4"/>
      <c r="DR724" s="4"/>
      <c r="DS724" s="4"/>
      <c r="DT724" s="4"/>
      <c r="DU724" s="4"/>
      <c r="DV724" s="4"/>
    </row>
    <row r="725">
      <c r="A725" s="2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  <c r="CI725" s="4"/>
      <c r="CJ725" s="4"/>
      <c r="CK725" s="4"/>
      <c r="CL725" s="4"/>
      <c r="CM725" s="4"/>
      <c r="CN725" s="4"/>
      <c r="CO725" s="4"/>
      <c r="CP725" s="4"/>
      <c r="CQ725" s="4"/>
      <c r="CR725" s="4"/>
      <c r="CS725" s="4"/>
      <c r="CT725" s="4"/>
      <c r="CU725" s="4"/>
      <c r="CV725" s="4"/>
      <c r="CW725" s="4"/>
      <c r="CX725" s="4"/>
      <c r="CY725" s="4"/>
      <c r="CZ725" s="4"/>
      <c r="DA725" s="4"/>
      <c r="DB725" s="4"/>
      <c r="DC725" s="4"/>
      <c r="DD725" s="4"/>
      <c r="DE725" s="4"/>
      <c r="DF725" s="4"/>
      <c r="DG725" s="4"/>
      <c r="DH725" s="4"/>
      <c r="DI725" s="4"/>
      <c r="DJ725" s="4"/>
      <c r="DK725" s="4"/>
      <c r="DL725" s="4"/>
      <c r="DM725" s="4"/>
      <c r="DN725" s="4"/>
      <c r="DO725" s="4"/>
      <c r="DP725" s="4"/>
      <c r="DQ725" s="4"/>
      <c r="DR725" s="4"/>
      <c r="DS725" s="4"/>
      <c r="DT725" s="4"/>
      <c r="DU725" s="4"/>
      <c r="DV725" s="4"/>
    </row>
    <row r="726">
      <c r="A726" s="2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  <c r="CI726" s="4"/>
      <c r="CJ726" s="4"/>
      <c r="CK726" s="4"/>
      <c r="CL726" s="4"/>
      <c r="CM726" s="4"/>
      <c r="CN726" s="4"/>
      <c r="CO726" s="4"/>
      <c r="CP726" s="4"/>
      <c r="CQ726" s="4"/>
      <c r="CR726" s="4"/>
      <c r="CS726" s="4"/>
      <c r="CT726" s="4"/>
      <c r="CU726" s="4"/>
      <c r="CV726" s="4"/>
      <c r="CW726" s="4"/>
      <c r="CX726" s="4"/>
      <c r="CY726" s="4"/>
      <c r="CZ726" s="4"/>
      <c r="DA726" s="4"/>
      <c r="DB726" s="4"/>
      <c r="DC726" s="4"/>
      <c r="DD726" s="4"/>
      <c r="DE726" s="4"/>
      <c r="DF726" s="4"/>
      <c r="DG726" s="4"/>
      <c r="DH726" s="4"/>
      <c r="DI726" s="4"/>
      <c r="DJ726" s="4"/>
      <c r="DK726" s="4"/>
      <c r="DL726" s="4"/>
      <c r="DM726" s="4"/>
      <c r="DN726" s="4"/>
      <c r="DO726" s="4"/>
      <c r="DP726" s="4"/>
      <c r="DQ726" s="4"/>
      <c r="DR726" s="4"/>
      <c r="DS726" s="4"/>
      <c r="DT726" s="4"/>
      <c r="DU726" s="4"/>
      <c r="DV726" s="4"/>
    </row>
    <row r="727">
      <c r="A727" s="2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  <c r="CI727" s="4"/>
      <c r="CJ727" s="4"/>
      <c r="CK727" s="4"/>
      <c r="CL727" s="4"/>
      <c r="CM727" s="4"/>
      <c r="CN727" s="4"/>
      <c r="CO727" s="4"/>
      <c r="CP727" s="4"/>
      <c r="CQ727" s="4"/>
      <c r="CR727" s="4"/>
      <c r="CS727" s="4"/>
      <c r="CT727" s="4"/>
      <c r="CU727" s="4"/>
      <c r="CV727" s="4"/>
      <c r="CW727" s="4"/>
      <c r="CX727" s="4"/>
      <c r="CY727" s="4"/>
      <c r="CZ727" s="4"/>
      <c r="DA727" s="4"/>
      <c r="DB727" s="4"/>
      <c r="DC727" s="4"/>
      <c r="DD727" s="4"/>
      <c r="DE727" s="4"/>
      <c r="DF727" s="4"/>
      <c r="DG727" s="4"/>
      <c r="DH727" s="4"/>
      <c r="DI727" s="4"/>
      <c r="DJ727" s="4"/>
      <c r="DK727" s="4"/>
      <c r="DL727" s="4"/>
      <c r="DM727" s="4"/>
      <c r="DN727" s="4"/>
      <c r="DO727" s="4"/>
      <c r="DP727" s="4"/>
      <c r="DQ727" s="4"/>
      <c r="DR727" s="4"/>
      <c r="DS727" s="4"/>
      <c r="DT727" s="4"/>
      <c r="DU727" s="4"/>
      <c r="DV727" s="4"/>
    </row>
    <row r="728">
      <c r="A728" s="2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  <c r="CI728" s="4"/>
      <c r="CJ728" s="4"/>
      <c r="CK728" s="4"/>
      <c r="CL728" s="4"/>
      <c r="CM728" s="4"/>
      <c r="CN728" s="4"/>
      <c r="CO728" s="4"/>
      <c r="CP728" s="4"/>
      <c r="CQ728" s="4"/>
      <c r="CR728" s="4"/>
      <c r="CS728" s="4"/>
      <c r="CT728" s="4"/>
      <c r="CU728" s="4"/>
      <c r="CV728" s="4"/>
      <c r="CW728" s="4"/>
      <c r="CX728" s="4"/>
      <c r="CY728" s="4"/>
      <c r="CZ728" s="4"/>
      <c r="DA728" s="4"/>
      <c r="DB728" s="4"/>
      <c r="DC728" s="4"/>
      <c r="DD728" s="4"/>
      <c r="DE728" s="4"/>
      <c r="DF728" s="4"/>
      <c r="DG728" s="4"/>
      <c r="DH728" s="4"/>
      <c r="DI728" s="4"/>
      <c r="DJ728" s="4"/>
      <c r="DK728" s="4"/>
      <c r="DL728" s="4"/>
      <c r="DM728" s="4"/>
      <c r="DN728" s="4"/>
      <c r="DO728" s="4"/>
      <c r="DP728" s="4"/>
      <c r="DQ728" s="4"/>
      <c r="DR728" s="4"/>
      <c r="DS728" s="4"/>
      <c r="DT728" s="4"/>
      <c r="DU728" s="4"/>
      <c r="DV728" s="4"/>
    </row>
    <row r="729">
      <c r="A729" s="2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  <c r="CI729" s="4"/>
      <c r="CJ729" s="4"/>
      <c r="CK729" s="4"/>
      <c r="CL729" s="4"/>
      <c r="CM729" s="4"/>
      <c r="CN729" s="4"/>
      <c r="CO729" s="4"/>
      <c r="CP729" s="4"/>
      <c r="CQ729" s="4"/>
      <c r="CR729" s="4"/>
      <c r="CS729" s="4"/>
      <c r="CT729" s="4"/>
      <c r="CU729" s="4"/>
      <c r="CV729" s="4"/>
      <c r="CW729" s="4"/>
      <c r="CX729" s="4"/>
      <c r="CY729" s="4"/>
      <c r="CZ729" s="4"/>
      <c r="DA729" s="4"/>
      <c r="DB729" s="4"/>
      <c r="DC729" s="4"/>
      <c r="DD729" s="4"/>
      <c r="DE729" s="4"/>
      <c r="DF729" s="4"/>
      <c r="DG729" s="4"/>
      <c r="DH729" s="4"/>
      <c r="DI729" s="4"/>
      <c r="DJ729" s="4"/>
      <c r="DK729" s="4"/>
      <c r="DL729" s="4"/>
      <c r="DM729" s="4"/>
      <c r="DN729" s="4"/>
      <c r="DO729" s="4"/>
      <c r="DP729" s="4"/>
      <c r="DQ729" s="4"/>
      <c r="DR729" s="4"/>
      <c r="DS729" s="4"/>
      <c r="DT729" s="4"/>
      <c r="DU729" s="4"/>
      <c r="DV729" s="4"/>
    </row>
    <row r="730">
      <c r="A730" s="2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  <c r="CI730" s="4"/>
      <c r="CJ730" s="4"/>
      <c r="CK730" s="4"/>
      <c r="CL730" s="4"/>
      <c r="CM730" s="4"/>
      <c r="CN730" s="4"/>
      <c r="CO730" s="4"/>
      <c r="CP730" s="4"/>
      <c r="CQ730" s="4"/>
      <c r="CR730" s="4"/>
      <c r="CS730" s="4"/>
      <c r="CT730" s="4"/>
      <c r="CU730" s="4"/>
      <c r="CV730" s="4"/>
      <c r="CW730" s="4"/>
      <c r="CX730" s="4"/>
      <c r="CY730" s="4"/>
      <c r="CZ730" s="4"/>
      <c r="DA730" s="4"/>
      <c r="DB730" s="4"/>
      <c r="DC730" s="4"/>
      <c r="DD730" s="4"/>
      <c r="DE730" s="4"/>
      <c r="DF730" s="4"/>
      <c r="DG730" s="4"/>
      <c r="DH730" s="4"/>
      <c r="DI730" s="4"/>
      <c r="DJ730" s="4"/>
      <c r="DK730" s="4"/>
      <c r="DL730" s="4"/>
      <c r="DM730" s="4"/>
      <c r="DN730" s="4"/>
      <c r="DO730" s="4"/>
      <c r="DP730" s="4"/>
      <c r="DQ730" s="4"/>
      <c r="DR730" s="4"/>
      <c r="DS730" s="4"/>
      <c r="DT730" s="4"/>
      <c r="DU730" s="4"/>
      <c r="DV730" s="4"/>
    </row>
    <row r="731">
      <c r="A731" s="2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  <c r="CI731" s="4"/>
      <c r="CJ731" s="4"/>
      <c r="CK731" s="4"/>
      <c r="CL731" s="4"/>
      <c r="CM731" s="4"/>
      <c r="CN731" s="4"/>
      <c r="CO731" s="4"/>
      <c r="CP731" s="4"/>
      <c r="CQ731" s="4"/>
      <c r="CR731" s="4"/>
      <c r="CS731" s="4"/>
      <c r="CT731" s="4"/>
      <c r="CU731" s="4"/>
      <c r="CV731" s="4"/>
      <c r="CW731" s="4"/>
      <c r="CX731" s="4"/>
      <c r="CY731" s="4"/>
      <c r="CZ731" s="4"/>
      <c r="DA731" s="4"/>
      <c r="DB731" s="4"/>
      <c r="DC731" s="4"/>
      <c r="DD731" s="4"/>
      <c r="DE731" s="4"/>
      <c r="DF731" s="4"/>
      <c r="DG731" s="4"/>
      <c r="DH731" s="4"/>
      <c r="DI731" s="4"/>
      <c r="DJ731" s="4"/>
      <c r="DK731" s="4"/>
      <c r="DL731" s="4"/>
      <c r="DM731" s="4"/>
      <c r="DN731" s="4"/>
      <c r="DO731" s="4"/>
      <c r="DP731" s="4"/>
      <c r="DQ731" s="4"/>
      <c r="DR731" s="4"/>
      <c r="DS731" s="4"/>
      <c r="DT731" s="4"/>
      <c r="DU731" s="4"/>
      <c r="DV731" s="4"/>
    </row>
    <row r="732">
      <c r="A732" s="2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  <c r="CI732" s="4"/>
      <c r="CJ732" s="4"/>
      <c r="CK732" s="4"/>
      <c r="CL732" s="4"/>
      <c r="CM732" s="4"/>
      <c r="CN732" s="4"/>
      <c r="CO732" s="4"/>
      <c r="CP732" s="4"/>
      <c r="CQ732" s="4"/>
      <c r="CR732" s="4"/>
      <c r="CS732" s="4"/>
      <c r="CT732" s="4"/>
      <c r="CU732" s="4"/>
      <c r="CV732" s="4"/>
      <c r="CW732" s="4"/>
      <c r="CX732" s="4"/>
      <c r="CY732" s="4"/>
      <c r="CZ732" s="4"/>
      <c r="DA732" s="4"/>
      <c r="DB732" s="4"/>
      <c r="DC732" s="4"/>
      <c r="DD732" s="4"/>
      <c r="DE732" s="4"/>
      <c r="DF732" s="4"/>
      <c r="DG732" s="4"/>
      <c r="DH732" s="4"/>
      <c r="DI732" s="4"/>
      <c r="DJ732" s="4"/>
      <c r="DK732" s="4"/>
      <c r="DL732" s="4"/>
      <c r="DM732" s="4"/>
      <c r="DN732" s="4"/>
      <c r="DO732" s="4"/>
      <c r="DP732" s="4"/>
      <c r="DQ732" s="4"/>
      <c r="DR732" s="4"/>
      <c r="DS732" s="4"/>
      <c r="DT732" s="4"/>
      <c r="DU732" s="4"/>
      <c r="DV732" s="4"/>
    </row>
    <row r="733">
      <c r="A733" s="2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  <c r="CI733" s="4"/>
      <c r="CJ733" s="4"/>
      <c r="CK733" s="4"/>
      <c r="CL733" s="4"/>
      <c r="CM733" s="4"/>
      <c r="CN733" s="4"/>
      <c r="CO733" s="4"/>
      <c r="CP733" s="4"/>
      <c r="CQ733" s="4"/>
      <c r="CR733" s="4"/>
      <c r="CS733" s="4"/>
      <c r="CT733" s="4"/>
      <c r="CU733" s="4"/>
      <c r="CV733" s="4"/>
      <c r="CW733" s="4"/>
      <c r="CX733" s="4"/>
      <c r="CY733" s="4"/>
      <c r="CZ733" s="4"/>
      <c r="DA733" s="4"/>
      <c r="DB733" s="4"/>
      <c r="DC733" s="4"/>
      <c r="DD733" s="4"/>
      <c r="DE733" s="4"/>
      <c r="DF733" s="4"/>
      <c r="DG733" s="4"/>
      <c r="DH733" s="4"/>
      <c r="DI733" s="4"/>
      <c r="DJ733" s="4"/>
      <c r="DK733" s="4"/>
      <c r="DL733" s="4"/>
      <c r="DM733" s="4"/>
      <c r="DN733" s="4"/>
      <c r="DO733" s="4"/>
      <c r="DP733" s="4"/>
      <c r="DQ733" s="4"/>
      <c r="DR733" s="4"/>
      <c r="DS733" s="4"/>
      <c r="DT733" s="4"/>
      <c r="DU733" s="4"/>
      <c r="DV733" s="4"/>
    </row>
    <row r="734">
      <c r="A734" s="2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  <c r="CI734" s="4"/>
      <c r="CJ734" s="4"/>
      <c r="CK734" s="4"/>
      <c r="CL734" s="4"/>
      <c r="CM734" s="4"/>
      <c r="CN734" s="4"/>
      <c r="CO734" s="4"/>
      <c r="CP734" s="4"/>
      <c r="CQ734" s="4"/>
      <c r="CR734" s="4"/>
      <c r="CS734" s="4"/>
      <c r="CT734" s="4"/>
      <c r="CU734" s="4"/>
      <c r="CV734" s="4"/>
      <c r="CW734" s="4"/>
      <c r="CX734" s="4"/>
      <c r="CY734" s="4"/>
      <c r="CZ734" s="4"/>
      <c r="DA734" s="4"/>
      <c r="DB734" s="4"/>
      <c r="DC734" s="4"/>
      <c r="DD734" s="4"/>
      <c r="DE734" s="4"/>
      <c r="DF734" s="4"/>
      <c r="DG734" s="4"/>
      <c r="DH734" s="4"/>
      <c r="DI734" s="4"/>
      <c r="DJ734" s="4"/>
      <c r="DK734" s="4"/>
      <c r="DL734" s="4"/>
      <c r="DM734" s="4"/>
      <c r="DN734" s="4"/>
      <c r="DO734" s="4"/>
      <c r="DP734" s="4"/>
      <c r="DQ734" s="4"/>
      <c r="DR734" s="4"/>
      <c r="DS734" s="4"/>
      <c r="DT734" s="4"/>
      <c r="DU734" s="4"/>
      <c r="DV734" s="4"/>
    </row>
    <row r="735">
      <c r="A735" s="2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  <c r="CI735" s="4"/>
      <c r="CJ735" s="4"/>
      <c r="CK735" s="4"/>
      <c r="CL735" s="4"/>
      <c r="CM735" s="4"/>
      <c r="CN735" s="4"/>
      <c r="CO735" s="4"/>
      <c r="CP735" s="4"/>
      <c r="CQ735" s="4"/>
      <c r="CR735" s="4"/>
      <c r="CS735" s="4"/>
      <c r="CT735" s="4"/>
      <c r="CU735" s="4"/>
      <c r="CV735" s="4"/>
      <c r="CW735" s="4"/>
      <c r="CX735" s="4"/>
      <c r="CY735" s="4"/>
      <c r="CZ735" s="4"/>
      <c r="DA735" s="4"/>
      <c r="DB735" s="4"/>
      <c r="DC735" s="4"/>
      <c r="DD735" s="4"/>
      <c r="DE735" s="4"/>
      <c r="DF735" s="4"/>
      <c r="DG735" s="4"/>
      <c r="DH735" s="4"/>
      <c r="DI735" s="4"/>
      <c r="DJ735" s="4"/>
      <c r="DK735" s="4"/>
      <c r="DL735" s="4"/>
      <c r="DM735" s="4"/>
      <c r="DN735" s="4"/>
      <c r="DO735" s="4"/>
      <c r="DP735" s="4"/>
      <c r="DQ735" s="4"/>
      <c r="DR735" s="4"/>
      <c r="DS735" s="4"/>
      <c r="DT735" s="4"/>
      <c r="DU735" s="4"/>
      <c r="DV735" s="4"/>
    </row>
    <row r="736">
      <c r="A736" s="2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  <c r="CI736" s="4"/>
      <c r="CJ736" s="4"/>
      <c r="CK736" s="4"/>
      <c r="CL736" s="4"/>
      <c r="CM736" s="4"/>
      <c r="CN736" s="4"/>
      <c r="CO736" s="4"/>
      <c r="CP736" s="4"/>
      <c r="CQ736" s="4"/>
      <c r="CR736" s="4"/>
      <c r="CS736" s="4"/>
      <c r="CT736" s="4"/>
      <c r="CU736" s="4"/>
      <c r="CV736" s="4"/>
      <c r="CW736" s="4"/>
      <c r="CX736" s="4"/>
      <c r="CY736" s="4"/>
      <c r="CZ736" s="4"/>
      <c r="DA736" s="4"/>
      <c r="DB736" s="4"/>
      <c r="DC736" s="4"/>
      <c r="DD736" s="4"/>
      <c r="DE736" s="4"/>
      <c r="DF736" s="4"/>
      <c r="DG736" s="4"/>
      <c r="DH736" s="4"/>
      <c r="DI736" s="4"/>
      <c r="DJ736" s="4"/>
      <c r="DK736" s="4"/>
      <c r="DL736" s="4"/>
      <c r="DM736" s="4"/>
      <c r="DN736" s="4"/>
      <c r="DO736" s="4"/>
      <c r="DP736" s="4"/>
      <c r="DQ736" s="4"/>
      <c r="DR736" s="4"/>
      <c r="DS736" s="4"/>
      <c r="DT736" s="4"/>
      <c r="DU736" s="4"/>
      <c r="DV736" s="4"/>
    </row>
    <row r="737">
      <c r="A737" s="2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  <c r="CI737" s="4"/>
      <c r="CJ737" s="4"/>
      <c r="CK737" s="4"/>
      <c r="CL737" s="4"/>
      <c r="CM737" s="4"/>
      <c r="CN737" s="4"/>
      <c r="CO737" s="4"/>
      <c r="CP737" s="4"/>
      <c r="CQ737" s="4"/>
      <c r="CR737" s="4"/>
      <c r="CS737" s="4"/>
      <c r="CT737" s="4"/>
      <c r="CU737" s="4"/>
      <c r="CV737" s="4"/>
      <c r="CW737" s="4"/>
      <c r="CX737" s="4"/>
      <c r="CY737" s="4"/>
      <c r="CZ737" s="4"/>
      <c r="DA737" s="4"/>
      <c r="DB737" s="4"/>
      <c r="DC737" s="4"/>
      <c r="DD737" s="4"/>
      <c r="DE737" s="4"/>
      <c r="DF737" s="4"/>
      <c r="DG737" s="4"/>
      <c r="DH737" s="4"/>
      <c r="DI737" s="4"/>
      <c r="DJ737" s="4"/>
      <c r="DK737" s="4"/>
      <c r="DL737" s="4"/>
      <c r="DM737" s="4"/>
      <c r="DN737" s="4"/>
      <c r="DO737" s="4"/>
      <c r="DP737" s="4"/>
      <c r="DQ737" s="4"/>
      <c r="DR737" s="4"/>
      <c r="DS737" s="4"/>
      <c r="DT737" s="4"/>
      <c r="DU737" s="4"/>
      <c r="DV737" s="4"/>
    </row>
    <row r="738">
      <c r="A738" s="2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  <c r="CI738" s="4"/>
      <c r="CJ738" s="4"/>
      <c r="CK738" s="4"/>
      <c r="CL738" s="4"/>
      <c r="CM738" s="4"/>
      <c r="CN738" s="4"/>
      <c r="CO738" s="4"/>
      <c r="CP738" s="4"/>
      <c r="CQ738" s="4"/>
      <c r="CR738" s="4"/>
      <c r="CS738" s="4"/>
      <c r="CT738" s="4"/>
      <c r="CU738" s="4"/>
      <c r="CV738" s="4"/>
      <c r="CW738" s="4"/>
      <c r="CX738" s="4"/>
      <c r="CY738" s="4"/>
      <c r="CZ738" s="4"/>
      <c r="DA738" s="4"/>
      <c r="DB738" s="4"/>
      <c r="DC738" s="4"/>
      <c r="DD738" s="4"/>
      <c r="DE738" s="4"/>
      <c r="DF738" s="4"/>
      <c r="DG738" s="4"/>
      <c r="DH738" s="4"/>
      <c r="DI738" s="4"/>
      <c r="DJ738" s="4"/>
      <c r="DK738" s="4"/>
      <c r="DL738" s="4"/>
      <c r="DM738" s="4"/>
      <c r="DN738" s="4"/>
      <c r="DO738" s="4"/>
      <c r="DP738" s="4"/>
      <c r="DQ738" s="4"/>
      <c r="DR738" s="4"/>
      <c r="DS738" s="4"/>
      <c r="DT738" s="4"/>
      <c r="DU738" s="4"/>
      <c r="DV738" s="4"/>
    </row>
    <row r="739">
      <c r="A739" s="2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  <c r="CI739" s="4"/>
      <c r="CJ739" s="4"/>
      <c r="CK739" s="4"/>
      <c r="CL739" s="4"/>
      <c r="CM739" s="4"/>
      <c r="CN739" s="4"/>
      <c r="CO739" s="4"/>
      <c r="CP739" s="4"/>
      <c r="CQ739" s="4"/>
      <c r="CR739" s="4"/>
      <c r="CS739" s="4"/>
      <c r="CT739" s="4"/>
      <c r="CU739" s="4"/>
      <c r="CV739" s="4"/>
      <c r="CW739" s="4"/>
      <c r="CX739" s="4"/>
      <c r="CY739" s="4"/>
      <c r="CZ739" s="4"/>
      <c r="DA739" s="4"/>
      <c r="DB739" s="4"/>
      <c r="DC739" s="4"/>
      <c r="DD739" s="4"/>
      <c r="DE739" s="4"/>
      <c r="DF739" s="4"/>
      <c r="DG739" s="4"/>
      <c r="DH739" s="4"/>
      <c r="DI739" s="4"/>
      <c r="DJ739" s="4"/>
      <c r="DK739" s="4"/>
      <c r="DL739" s="4"/>
      <c r="DM739" s="4"/>
      <c r="DN739" s="4"/>
      <c r="DO739" s="4"/>
      <c r="DP739" s="4"/>
      <c r="DQ739" s="4"/>
      <c r="DR739" s="4"/>
      <c r="DS739" s="4"/>
      <c r="DT739" s="4"/>
      <c r="DU739" s="4"/>
      <c r="DV739" s="4"/>
    </row>
    <row r="740">
      <c r="A740" s="2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  <c r="CI740" s="4"/>
      <c r="CJ740" s="4"/>
      <c r="CK740" s="4"/>
      <c r="CL740" s="4"/>
      <c r="CM740" s="4"/>
      <c r="CN740" s="4"/>
      <c r="CO740" s="4"/>
      <c r="CP740" s="4"/>
      <c r="CQ740" s="4"/>
      <c r="CR740" s="4"/>
      <c r="CS740" s="4"/>
      <c r="CT740" s="4"/>
      <c r="CU740" s="4"/>
      <c r="CV740" s="4"/>
      <c r="CW740" s="4"/>
      <c r="CX740" s="4"/>
      <c r="CY740" s="4"/>
      <c r="CZ740" s="4"/>
      <c r="DA740" s="4"/>
      <c r="DB740" s="4"/>
      <c r="DC740" s="4"/>
      <c r="DD740" s="4"/>
      <c r="DE740" s="4"/>
      <c r="DF740" s="4"/>
      <c r="DG740" s="4"/>
      <c r="DH740" s="4"/>
      <c r="DI740" s="4"/>
      <c r="DJ740" s="4"/>
      <c r="DK740" s="4"/>
      <c r="DL740" s="4"/>
      <c r="DM740" s="4"/>
      <c r="DN740" s="4"/>
      <c r="DO740" s="4"/>
      <c r="DP740" s="4"/>
      <c r="DQ740" s="4"/>
      <c r="DR740" s="4"/>
      <c r="DS740" s="4"/>
      <c r="DT740" s="4"/>
      <c r="DU740" s="4"/>
      <c r="DV740" s="4"/>
    </row>
    <row r="741">
      <c r="A741" s="2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  <c r="CI741" s="4"/>
      <c r="CJ741" s="4"/>
      <c r="CK741" s="4"/>
      <c r="CL741" s="4"/>
      <c r="CM741" s="4"/>
      <c r="CN741" s="4"/>
      <c r="CO741" s="4"/>
      <c r="CP741" s="4"/>
      <c r="CQ741" s="4"/>
      <c r="CR741" s="4"/>
      <c r="CS741" s="4"/>
      <c r="CT741" s="4"/>
      <c r="CU741" s="4"/>
      <c r="CV741" s="4"/>
      <c r="CW741" s="4"/>
      <c r="CX741" s="4"/>
      <c r="CY741" s="4"/>
      <c r="CZ741" s="4"/>
      <c r="DA741" s="4"/>
      <c r="DB741" s="4"/>
      <c r="DC741" s="4"/>
      <c r="DD741" s="4"/>
      <c r="DE741" s="4"/>
      <c r="DF741" s="4"/>
      <c r="DG741" s="4"/>
      <c r="DH741" s="4"/>
      <c r="DI741" s="4"/>
      <c r="DJ741" s="4"/>
      <c r="DK741" s="4"/>
      <c r="DL741" s="4"/>
      <c r="DM741" s="4"/>
      <c r="DN741" s="4"/>
      <c r="DO741" s="4"/>
      <c r="DP741" s="4"/>
      <c r="DQ741" s="4"/>
      <c r="DR741" s="4"/>
      <c r="DS741" s="4"/>
      <c r="DT741" s="4"/>
      <c r="DU741" s="4"/>
      <c r="DV741" s="4"/>
    </row>
    <row r="742">
      <c r="A742" s="2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  <c r="CI742" s="4"/>
      <c r="CJ742" s="4"/>
      <c r="CK742" s="4"/>
      <c r="CL742" s="4"/>
      <c r="CM742" s="4"/>
      <c r="CN742" s="4"/>
      <c r="CO742" s="4"/>
      <c r="CP742" s="4"/>
      <c r="CQ742" s="4"/>
      <c r="CR742" s="4"/>
      <c r="CS742" s="4"/>
      <c r="CT742" s="4"/>
      <c r="CU742" s="4"/>
      <c r="CV742" s="4"/>
      <c r="CW742" s="4"/>
      <c r="CX742" s="4"/>
      <c r="CY742" s="4"/>
      <c r="CZ742" s="4"/>
      <c r="DA742" s="4"/>
      <c r="DB742" s="4"/>
      <c r="DC742" s="4"/>
      <c r="DD742" s="4"/>
      <c r="DE742" s="4"/>
      <c r="DF742" s="4"/>
      <c r="DG742" s="4"/>
      <c r="DH742" s="4"/>
      <c r="DI742" s="4"/>
      <c r="DJ742" s="4"/>
      <c r="DK742" s="4"/>
      <c r="DL742" s="4"/>
      <c r="DM742" s="4"/>
      <c r="DN742" s="4"/>
      <c r="DO742" s="4"/>
      <c r="DP742" s="4"/>
      <c r="DQ742" s="4"/>
      <c r="DR742" s="4"/>
      <c r="DS742" s="4"/>
      <c r="DT742" s="4"/>
      <c r="DU742" s="4"/>
      <c r="DV742" s="4"/>
    </row>
    <row r="743">
      <c r="A743" s="2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  <c r="CI743" s="4"/>
      <c r="CJ743" s="4"/>
      <c r="CK743" s="4"/>
      <c r="CL743" s="4"/>
      <c r="CM743" s="4"/>
      <c r="CN743" s="4"/>
      <c r="CO743" s="4"/>
      <c r="CP743" s="4"/>
      <c r="CQ743" s="4"/>
      <c r="CR743" s="4"/>
      <c r="CS743" s="4"/>
      <c r="CT743" s="4"/>
      <c r="CU743" s="4"/>
      <c r="CV743" s="4"/>
      <c r="CW743" s="4"/>
      <c r="CX743" s="4"/>
      <c r="CY743" s="4"/>
      <c r="CZ743" s="4"/>
      <c r="DA743" s="4"/>
      <c r="DB743" s="4"/>
      <c r="DC743" s="4"/>
      <c r="DD743" s="4"/>
      <c r="DE743" s="4"/>
      <c r="DF743" s="4"/>
      <c r="DG743" s="4"/>
      <c r="DH743" s="4"/>
      <c r="DI743" s="4"/>
      <c r="DJ743" s="4"/>
      <c r="DK743" s="4"/>
      <c r="DL743" s="4"/>
      <c r="DM743" s="4"/>
      <c r="DN743" s="4"/>
      <c r="DO743" s="4"/>
      <c r="DP743" s="4"/>
      <c r="DQ743" s="4"/>
      <c r="DR743" s="4"/>
      <c r="DS743" s="4"/>
      <c r="DT743" s="4"/>
      <c r="DU743" s="4"/>
      <c r="DV743" s="4"/>
    </row>
    <row r="744">
      <c r="A744" s="2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  <c r="CI744" s="4"/>
      <c r="CJ744" s="4"/>
      <c r="CK744" s="4"/>
      <c r="CL744" s="4"/>
      <c r="CM744" s="4"/>
      <c r="CN744" s="4"/>
      <c r="CO744" s="4"/>
      <c r="CP744" s="4"/>
      <c r="CQ744" s="4"/>
      <c r="CR744" s="4"/>
      <c r="CS744" s="4"/>
      <c r="CT744" s="4"/>
      <c r="CU744" s="4"/>
      <c r="CV744" s="4"/>
      <c r="CW744" s="4"/>
      <c r="CX744" s="4"/>
      <c r="CY744" s="4"/>
      <c r="CZ744" s="4"/>
      <c r="DA744" s="4"/>
      <c r="DB744" s="4"/>
      <c r="DC744" s="4"/>
      <c r="DD744" s="4"/>
      <c r="DE744" s="4"/>
      <c r="DF744" s="4"/>
      <c r="DG744" s="4"/>
      <c r="DH744" s="4"/>
      <c r="DI744" s="4"/>
      <c r="DJ744" s="4"/>
      <c r="DK744" s="4"/>
      <c r="DL744" s="4"/>
      <c r="DM744" s="4"/>
      <c r="DN744" s="4"/>
      <c r="DO744" s="4"/>
      <c r="DP744" s="4"/>
      <c r="DQ744" s="4"/>
      <c r="DR744" s="4"/>
      <c r="DS744" s="4"/>
      <c r="DT744" s="4"/>
      <c r="DU744" s="4"/>
      <c r="DV744" s="4"/>
    </row>
    <row r="745">
      <c r="A745" s="2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  <c r="CI745" s="4"/>
      <c r="CJ745" s="4"/>
      <c r="CK745" s="4"/>
      <c r="CL745" s="4"/>
      <c r="CM745" s="4"/>
      <c r="CN745" s="4"/>
      <c r="CO745" s="4"/>
      <c r="CP745" s="4"/>
      <c r="CQ745" s="4"/>
      <c r="CR745" s="4"/>
      <c r="CS745" s="4"/>
      <c r="CT745" s="4"/>
      <c r="CU745" s="4"/>
      <c r="CV745" s="4"/>
      <c r="CW745" s="4"/>
      <c r="CX745" s="4"/>
      <c r="CY745" s="4"/>
      <c r="CZ745" s="4"/>
      <c r="DA745" s="4"/>
      <c r="DB745" s="4"/>
      <c r="DC745" s="4"/>
      <c r="DD745" s="4"/>
      <c r="DE745" s="4"/>
      <c r="DF745" s="4"/>
      <c r="DG745" s="4"/>
      <c r="DH745" s="4"/>
      <c r="DI745" s="4"/>
      <c r="DJ745" s="4"/>
      <c r="DK745" s="4"/>
      <c r="DL745" s="4"/>
      <c r="DM745" s="4"/>
      <c r="DN745" s="4"/>
      <c r="DO745" s="4"/>
      <c r="DP745" s="4"/>
      <c r="DQ745" s="4"/>
      <c r="DR745" s="4"/>
      <c r="DS745" s="4"/>
      <c r="DT745" s="4"/>
      <c r="DU745" s="4"/>
      <c r="DV745" s="4"/>
    </row>
    <row r="746">
      <c r="A746" s="2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  <c r="CI746" s="4"/>
      <c r="CJ746" s="4"/>
      <c r="CK746" s="4"/>
      <c r="CL746" s="4"/>
      <c r="CM746" s="4"/>
      <c r="CN746" s="4"/>
      <c r="CO746" s="4"/>
      <c r="CP746" s="4"/>
      <c r="CQ746" s="4"/>
      <c r="CR746" s="4"/>
      <c r="CS746" s="4"/>
      <c r="CT746" s="4"/>
      <c r="CU746" s="4"/>
      <c r="CV746" s="4"/>
      <c r="CW746" s="4"/>
      <c r="CX746" s="4"/>
      <c r="CY746" s="4"/>
      <c r="CZ746" s="4"/>
      <c r="DA746" s="4"/>
      <c r="DB746" s="4"/>
      <c r="DC746" s="4"/>
      <c r="DD746" s="4"/>
      <c r="DE746" s="4"/>
      <c r="DF746" s="4"/>
      <c r="DG746" s="4"/>
      <c r="DH746" s="4"/>
      <c r="DI746" s="4"/>
      <c r="DJ746" s="4"/>
      <c r="DK746" s="4"/>
      <c r="DL746" s="4"/>
      <c r="DM746" s="4"/>
      <c r="DN746" s="4"/>
      <c r="DO746" s="4"/>
      <c r="DP746" s="4"/>
      <c r="DQ746" s="4"/>
      <c r="DR746" s="4"/>
      <c r="DS746" s="4"/>
      <c r="DT746" s="4"/>
      <c r="DU746" s="4"/>
      <c r="DV746" s="4"/>
    </row>
    <row r="747">
      <c r="A747" s="2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  <c r="CI747" s="4"/>
      <c r="CJ747" s="4"/>
      <c r="CK747" s="4"/>
      <c r="CL747" s="4"/>
      <c r="CM747" s="4"/>
      <c r="CN747" s="4"/>
      <c r="CO747" s="4"/>
      <c r="CP747" s="4"/>
      <c r="CQ747" s="4"/>
      <c r="CR747" s="4"/>
      <c r="CS747" s="4"/>
      <c r="CT747" s="4"/>
      <c r="CU747" s="4"/>
      <c r="CV747" s="4"/>
      <c r="CW747" s="4"/>
      <c r="CX747" s="4"/>
      <c r="CY747" s="4"/>
      <c r="CZ747" s="4"/>
      <c r="DA747" s="4"/>
      <c r="DB747" s="4"/>
      <c r="DC747" s="4"/>
      <c r="DD747" s="4"/>
      <c r="DE747" s="4"/>
      <c r="DF747" s="4"/>
      <c r="DG747" s="4"/>
      <c r="DH747" s="4"/>
      <c r="DI747" s="4"/>
      <c r="DJ747" s="4"/>
      <c r="DK747" s="4"/>
      <c r="DL747" s="4"/>
      <c r="DM747" s="4"/>
      <c r="DN747" s="4"/>
      <c r="DO747" s="4"/>
      <c r="DP747" s="4"/>
      <c r="DQ747" s="4"/>
      <c r="DR747" s="4"/>
      <c r="DS747" s="4"/>
      <c r="DT747" s="4"/>
      <c r="DU747" s="4"/>
      <c r="DV747" s="4"/>
    </row>
    <row r="748">
      <c r="A748" s="2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  <c r="CI748" s="4"/>
      <c r="CJ748" s="4"/>
      <c r="CK748" s="4"/>
      <c r="CL748" s="4"/>
      <c r="CM748" s="4"/>
      <c r="CN748" s="4"/>
      <c r="CO748" s="4"/>
      <c r="CP748" s="4"/>
      <c r="CQ748" s="4"/>
      <c r="CR748" s="4"/>
      <c r="CS748" s="4"/>
      <c r="CT748" s="4"/>
      <c r="CU748" s="4"/>
      <c r="CV748" s="4"/>
      <c r="CW748" s="4"/>
      <c r="CX748" s="4"/>
      <c r="CY748" s="4"/>
      <c r="CZ748" s="4"/>
      <c r="DA748" s="4"/>
      <c r="DB748" s="4"/>
      <c r="DC748" s="4"/>
      <c r="DD748" s="4"/>
      <c r="DE748" s="4"/>
      <c r="DF748" s="4"/>
      <c r="DG748" s="4"/>
      <c r="DH748" s="4"/>
      <c r="DI748" s="4"/>
      <c r="DJ748" s="4"/>
      <c r="DK748" s="4"/>
      <c r="DL748" s="4"/>
      <c r="DM748" s="4"/>
      <c r="DN748" s="4"/>
      <c r="DO748" s="4"/>
      <c r="DP748" s="4"/>
      <c r="DQ748" s="4"/>
      <c r="DR748" s="4"/>
      <c r="DS748" s="4"/>
      <c r="DT748" s="4"/>
      <c r="DU748" s="4"/>
      <c r="DV748" s="4"/>
    </row>
    <row r="749">
      <c r="A749" s="2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  <c r="CI749" s="4"/>
      <c r="CJ749" s="4"/>
      <c r="CK749" s="4"/>
      <c r="CL749" s="4"/>
      <c r="CM749" s="4"/>
      <c r="CN749" s="4"/>
      <c r="CO749" s="4"/>
      <c r="CP749" s="4"/>
      <c r="CQ749" s="4"/>
      <c r="CR749" s="4"/>
      <c r="CS749" s="4"/>
      <c r="CT749" s="4"/>
      <c r="CU749" s="4"/>
      <c r="CV749" s="4"/>
      <c r="CW749" s="4"/>
      <c r="CX749" s="4"/>
      <c r="CY749" s="4"/>
      <c r="CZ749" s="4"/>
      <c r="DA749" s="4"/>
      <c r="DB749" s="4"/>
      <c r="DC749" s="4"/>
      <c r="DD749" s="4"/>
      <c r="DE749" s="4"/>
      <c r="DF749" s="4"/>
      <c r="DG749" s="4"/>
      <c r="DH749" s="4"/>
      <c r="DI749" s="4"/>
      <c r="DJ749" s="4"/>
      <c r="DK749" s="4"/>
      <c r="DL749" s="4"/>
      <c r="DM749" s="4"/>
      <c r="DN749" s="4"/>
      <c r="DO749" s="4"/>
      <c r="DP749" s="4"/>
      <c r="DQ749" s="4"/>
      <c r="DR749" s="4"/>
      <c r="DS749" s="4"/>
      <c r="DT749" s="4"/>
      <c r="DU749" s="4"/>
      <c r="DV749" s="4"/>
    </row>
    <row r="750">
      <c r="A750" s="2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  <c r="CI750" s="4"/>
      <c r="CJ750" s="4"/>
      <c r="CK750" s="4"/>
      <c r="CL750" s="4"/>
      <c r="CM750" s="4"/>
      <c r="CN750" s="4"/>
      <c r="CO750" s="4"/>
      <c r="CP750" s="4"/>
      <c r="CQ750" s="4"/>
      <c r="CR750" s="4"/>
      <c r="CS750" s="4"/>
      <c r="CT750" s="4"/>
      <c r="CU750" s="4"/>
      <c r="CV750" s="4"/>
      <c r="CW750" s="4"/>
      <c r="CX750" s="4"/>
      <c r="CY750" s="4"/>
      <c r="CZ750" s="4"/>
      <c r="DA750" s="4"/>
      <c r="DB750" s="4"/>
      <c r="DC750" s="4"/>
      <c r="DD750" s="4"/>
      <c r="DE750" s="4"/>
      <c r="DF750" s="4"/>
      <c r="DG750" s="4"/>
      <c r="DH750" s="4"/>
      <c r="DI750" s="4"/>
      <c r="DJ750" s="4"/>
      <c r="DK750" s="4"/>
      <c r="DL750" s="4"/>
      <c r="DM750" s="4"/>
      <c r="DN750" s="4"/>
      <c r="DO750" s="4"/>
      <c r="DP750" s="4"/>
      <c r="DQ750" s="4"/>
      <c r="DR750" s="4"/>
      <c r="DS750" s="4"/>
      <c r="DT750" s="4"/>
      <c r="DU750" s="4"/>
      <c r="DV750" s="4"/>
    </row>
    <row r="751">
      <c r="A751" s="2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  <c r="CI751" s="4"/>
      <c r="CJ751" s="4"/>
      <c r="CK751" s="4"/>
      <c r="CL751" s="4"/>
      <c r="CM751" s="4"/>
      <c r="CN751" s="4"/>
      <c r="CO751" s="4"/>
      <c r="CP751" s="4"/>
      <c r="CQ751" s="4"/>
      <c r="CR751" s="4"/>
      <c r="CS751" s="4"/>
      <c r="CT751" s="4"/>
      <c r="CU751" s="4"/>
      <c r="CV751" s="4"/>
      <c r="CW751" s="4"/>
      <c r="CX751" s="4"/>
      <c r="CY751" s="4"/>
      <c r="CZ751" s="4"/>
      <c r="DA751" s="4"/>
      <c r="DB751" s="4"/>
      <c r="DC751" s="4"/>
      <c r="DD751" s="4"/>
      <c r="DE751" s="4"/>
      <c r="DF751" s="4"/>
      <c r="DG751" s="4"/>
      <c r="DH751" s="4"/>
      <c r="DI751" s="4"/>
      <c r="DJ751" s="4"/>
      <c r="DK751" s="4"/>
      <c r="DL751" s="4"/>
      <c r="DM751" s="4"/>
      <c r="DN751" s="4"/>
      <c r="DO751" s="4"/>
      <c r="DP751" s="4"/>
      <c r="DQ751" s="4"/>
      <c r="DR751" s="4"/>
      <c r="DS751" s="4"/>
      <c r="DT751" s="4"/>
      <c r="DU751" s="4"/>
      <c r="DV751" s="4"/>
    </row>
    <row r="752">
      <c r="A752" s="2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  <c r="CI752" s="4"/>
      <c r="CJ752" s="4"/>
      <c r="CK752" s="4"/>
      <c r="CL752" s="4"/>
      <c r="CM752" s="4"/>
      <c r="CN752" s="4"/>
      <c r="CO752" s="4"/>
      <c r="CP752" s="4"/>
      <c r="CQ752" s="4"/>
      <c r="CR752" s="4"/>
      <c r="CS752" s="4"/>
      <c r="CT752" s="4"/>
      <c r="CU752" s="4"/>
      <c r="CV752" s="4"/>
      <c r="CW752" s="4"/>
      <c r="CX752" s="4"/>
      <c r="CY752" s="4"/>
      <c r="CZ752" s="4"/>
      <c r="DA752" s="4"/>
      <c r="DB752" s="4"/>
      <c r="DC752" s="4"/>
      <c r="DD752" s="4"/>
      <c r="DE752" s="4"/>
      <c r="DF752" s="4"/>
      <c r="DG752" s="4"/>
      <c r="DH752" s="4"/>
      <c r="DI752" s="4"/>
      <c r="DJ752" s="4"/>
      <c r="DK752" s="4"/>
      <c r="DL752" s="4"/>
      <c r="DM752" s="4"/>
      <c r="DN752" s="4"/>
      <c r="DO752" s="4"/>
      <c r="DP752" s="4"/>
      <c r="DQ752" s="4"/>
      <c r="DR752" s="4"/>
      <c r="DS752" s="4"/>
      <c r="DT752" s="4"/>
      <c r="DU752" s="4"/>
      <c r="DV752" s="4"/>
    </row>
    <row r="753">
      <c r="A753" s="2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  <c r="CI753" s="4"/>
      <c r="CJ753" s="4"/>
      <c r="CK753" s="4"/>
      <c r="CL753" s="4"/>
      <c r="CM753" s="4"/>
      <c r="CN753" s="4"/>
      <c r="CO753" s="4"/>
      <c r="CP753" s="4"/>
      <c r="CQ753" s="4"/>
      <c r="CR753" s="4"/>
      <c r="CS753" s="4"/>
      <c r="CT753" s="4"/>
      <c r="CU753" s="4"/>
      <c r="CV753" s="4"/>
      <c r="CW753" s="4"/>
      <c r="CX753" s="4"/>
      <c r="CY753" s="4"/>
      <c r="CZ753" s="4"/>
      <c r="DA753" s="4"/>
      <c r="DB753" s="4"/>
      <c r="DC753" s="4"/>
      <c r="DD753" s="4"/>
      <c r="DE753" s="4"/>
      <c r="DF753" s="4"/>
      <c r="DG753" s="4"/>
      <c r="DH753" s="4"/>
      <c r="DI753" s="4"/>
      <c r="DJ753" s="4"/>
      <c r="DK753" s="4"/>
      <c r="DL753" s="4"/>
      <c r="DM753" s="4"/>
      <c r="DN753" s="4"/>
      <c r="DO753" s="4"/>
      <c r="DP753" s="4"/>
      <c r="DQ753" s="4"/>
      <c r="DR753" s="4"/>
      <c r="DS753" s="4"/>
      <c r="DT753" s="4"/>
      <c r="DU753" s="4"/>
      <c r="DV753" s="4"/>
    </row>
    <row r="754">
      <c r="A754" s="2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  <c r="CI754" s="4"/>
      <c r="CJ754" s="4"/>
      <c r="CK754" s="4"/>
      <c r="CL754" s="4"/>
      <c r="CM754" s="4"/>
      <c r="CN754" s="4"/>
      <c r="CO754" s="4"/>
      <c r="CP754" s="4"/>
      <c r="CQ754" s="4"/>
      <c r="CR754" s="4"/>
      <c r="CS754" s="4"/>
      <c r="CT754" s="4"/>
      <c r="CU754" s="4"/>
      <c r="CV754" s="4"/>
      <c r="CW754" s="4"/>
      <c r="CX754" s="4"/>
      <c r="CY754" s="4"/>
      <c r="CZ754" s="4"/>
      <c r="DA754" s="4"/>
      <c r="DB754" s="4"/>
      <c r="DC754" s="4"/>
      <c r="DD754" s="4"/>
      <c r="DE754" s="4"/>
      <c r="DF754" s="4"/>
      <c r="DG754" s="4"/>
      <c r="DH754" s="4"/>
      <c r="DI754" s="4"/>
      <c r="DJ754" s="4"/>
      <c r="DK754" s="4"/>
      <c r="DL754" s="4"/>
      <c r="DM754" s="4"/>
      <c r="DN754" s="4"/>
      <c r="DO754" s="4"/>
      <c r="DP754" s="4"/>
      <c r="DQ754" s="4"/>
      <c r="DR754" s="4"/>
      <c r="DS754" s="4"/>
      <c r="DT754" s="4"/>
      <c r="DU754" s="4"/>
      <c r="DV754" s="4"/>
    </row>
    <row r="755">
      <c r="A755" s="2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  <c r="CI755" s="4"/>
      <c r="CJ755" s="4"/>
      <c r="CK755" s="4"/>
      <c r="CL755" s="4"/>
      <c r="CM755" s="4"/>
      <c r="CN755" s="4"/>
      <c r="CO755" s="4"/>
      <c r="CP755" s="4"/>
      <c r="CQ755" s="4"/>
      <c r="CR755" s="4"/>
      <c r="CS755" s="4"/>
      <c r="CT755" s="4"/>
      <c r="CU755" s="4"/>
      <c r="CV755" s="4"/>
      <c r="CW755" s="4"/>
      <c r="CX755" s="4"/>
      <c r="CY755" s="4"/>
      <c r="CZ755" s="4"/>
      <c r="DA755" s="4"/>
      <c r="DB755" s="4"/>
      <c r="DC755" s="4"/>
      <c r="DD755" s="4"/>
      <c r="DE755" s="4"/>
      <c r="DF755" s="4"/>
      <c r="DG755" s="4"/>
      <c r="DH755" s="4"/>
      <c r="DI755" s="4"/>
      <c r="DJ755" s="4"/>
      <c r="DK755" s="4"/>
      <c r="DL755" s="4"/>
      <c r="DM755" s="4"/>
      <c r="DN755" s="4"/>
      <c r="DO755" s="4"/>
      <c r="DP755" s="4"/>
      <c r="DQ755" s="4"/>
      <c r="DR755" s="4"/>
      <c r="DS755" s="4"/>
      <c r="DT755" s="4"/>
      <c r="DU755" s="4"/>
      <c r="DV755" s="4"/>
    </row>
    <row r="756">
      <c r="A756" s="2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  <c r="CI756" s="4"/>
      <c r="CJ756" s="4"/>
      <c r="CK756" s="4"/>
      <c r="CL756" s="4"/>
      <c r="CM756" s="4"/>
      <c r="CN756" s="4"/>
      <c r="CO756" s="4"/>
      <c r="CP756" s="4"/>
      <c r="CQ756" s="4"/>
      <c r="CR756" s="4"/>
      <c r="CS756" s="4"/>
      <c r="CT756" s="4"/>
      <c r="CU756" s="4"/>
      <c r="CV756" s="4"/>
      <c r="CW756" s="4"/>
      <c r="CX756" s="4"/>
      <c r="CY756" s="4"/>
      <c r="CZ756" s="4"/>
      <c r="DA756" s="4"/>
      <c r="DB756" s="4"/>
      <c r="DC756" s="4"/>
      <c r="DD756" s="4"/>
      <c r="DE756" s="4"/>
      <c r="DF756" s="4"/>
      <c r="DG756" s="4"/>
      <c r="DH756" s="4"/>
      <c r="DI756" s="4"/>
      <c r="DJ756" s="4"/>
      <c r="DK756" s="4"/>
      <c r="DL756" s="4"/>
      <c r="DM756" s="4"/>
      <c r="DN756" s="4"/>
      <c r="DO756" s="4"/>
      <c r="DP756" s="4"/>
      <c r="DQ756" s="4"/>
      <c r="DR756" s="4"/>
      <c r="DS756" s="4"/>
      <c r="DT756" s="4"/>
      <c r="DU756" s="4"/>
      <c r="DV756" s="4"/>
    </row>
    <row r="757">
      <c r="A757" s="2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  <c r="CI757" s="4"/>
      <c r="CJ757" s="4"/>
      <c r="CK757" s="4"/>
      <c r="CL757" s="4"/>
      <c r="CM757" s="4"/>
      <c r="CN757" s="4"/>
      <c r="CO757" s="4"/>
      <c r="CP757" s="4"/>
      <c r="CQ757" s="4"/>
      <c r="CR757" s="4"/>
      <c r="CS757" s="4"/>
      <c r="CT757" s="4"/>
      <c r="CU757" s="4"/>
      <c r="CV757" s="4"/>
      <c r="CW757" s="4"/>
      <c r="CX757" s="4"/>
      <c r="CY757" s="4"/>
      <c r="CZ757" s="4"/>
      <c r="DA757" s="4"/>
      <c r="DB757" s="4"/>
      <c r="DC757" s="4"/>
      <c r="DD757" s="4"/>
      <c r="DE757" s="4"/>
      <c r="DF757" s="4"/>
      <c r="DG757" s="4"/>
      <c r="DH757" s="4"/>
      <c r="DI757" s="4"/>
      <c r="DJ757" s="4"/>
      <c r="DK757" s="4"/>
      <c r="DL757" s="4"/>
      <c r="DM757" s="4"/>
      <c r="DN757" s="4"/>
      <c r="DO757" s="4"/>
      <c r="DP757" s="4"/>
      <c r="DQ757" s="4"/>
      <c r="DR757" s="4"/>
      <c r="DS757" s="4"/>
      <c r="DT757" s="4"/>
      <c r="DU757" s="4"/>
      <c r="DV757" s="4"/>
    </row>
    <row r="758">
      <c r="A758" s="2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  <c r="CI758" s="4"/>
      <c r="CJ758" s="4"/>
      <c r="CK758" s="4"/>
      <c r="CL758" s="4"/>
      <c r="CM758" s="4"/>
      <c r="CN758" s="4"/>
      <c r="CO758" s="4"/>
      <c r="CP758" s="4"/>
      <c r="CQ758" s="4"/>
      <c r="CR758" s="4"/>
      <c r="CS758" s="4"/>
      <c r="CT758" s="4"/>
      <c r="CU758" s="4"/>
      <c r="CV758" s="4"/>
      <c r="CW758" s="4"/>
      <c r="CX758" s="4"/>
      <c r="CY758" s="4"/>
      <c r="CZ758" s="4"/>
      <c r="DA758" s="4"/>
      <c r="DB758" s="4"/>
      <c r="DC758" s="4"/>
      <c r="DD758" s="4"/>
      <c r="DE758" s="4"/>
      <c r="DF758" s="4"/>
      <c r="DG758" s="4"/>
      <c r="DH758" s="4"/>
      <c r="DI758" s="4"/>
      <c r="DJ758" s="4"/>
      <c r="DK758" s="4"/>
      <c r="DL758" s="4"/>
      <c r="DM758" s="4"/>
      <c r="DN758" s="4"/>
      <c r="DO758" s="4"/>
      <c r="DP758" s="4"/>
      <c r="DQ758" s="4"/>
      <c r="DR758" s="4"/>
      <c r="DS758" s="4"/>
      <c r="DT758" s="4"/>
      <c r="DU758" s="4"/>
      <c r="DV758" s="4"/>
    </row>
    <row r="759">
      <c r="A759" s="2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  <c r="CI759" s="4"/>
      <c r="CJ759" s="4"/>
      <c r="CK759" s="4"/>
      <c r="CL759" s="4"/>
      <c r="CM759" s="4"/>
      <c r="CN759" s="4"/>
      <c r="CO759" s="4"/>
      <c r="CP759" s="4"/>
      <c r="CQ759" s="4"/>
      <c r="CR759" s="4"/>
      <c r="CS759" s="4"/>
      <c r="CT759" s="4"/>
      <c r="CU759" s="4"/>
      <c r="CV759" s="4"/>
      <c r="CW759" s="4"/>
      <c r="CX759" s="4"/>
      <c r="CY759" s="4"/>
      <c r="CZ759" s="4"/>
      <c r="DA759" s="4"/>
      <c r="DB759" s="4"/>
      <c r="DC759" s="4"/>
      <c r="DD759" s="4"/>
      <c r="DE759" s="4"/>
      <c r="DF759" s="4"/>
      <c r="DG759" s="4"/>
      <c r="DH759" s="4"/>
      <c r="DI759" s="4"/>
      <c r="DJ759" s="4"/>
      <c r="DK759" s="4"/>
      <c r="DL759" s="4"/>
      <c r="DM759" s="4"/>
      <c r="DN759" s="4"/>
      <c r="DO759" s="4"/>
      <c r="DP759" s="4"/>
      <c r="DQ759" s="4"/>
      <c r="DR759" s="4"/>
      <c r="DS759" s="4"/>
      <c r="DT759" s="4"/>
      <c r="DU759" s="4"/>
      <c r="DV759" s="4"/>
    </row>
    <row r="760">
      <c r="A760" s="2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  <c r="CI760" s="4"/>
      <c r="CJ760" s="4"/>
      <c r="CK760" s="4"/>
      <c r="CL760" s="4"/>
      <c r="CM760" s="4"/>
      <c r="CN760" s="4"/>
      <c r="CO760" s="4"/>
      <c r="CP760" s="4"/>
      <c r="CQ760" s="4"/>
      <c r="CR760" s="4"/>
      <c r="CS760" s="4"/>
      <c r="CT760" s="4"/>
      <c r="CU760" s="4"/>
      <c r="CV760" s="4"/>
      <c r="CW760" s="4"/>
      <c r="CX760" s="4"/>
      <c r="CY760" s="4"/>
      <c r="CZ760" s="4"/>
      <c r="DA760" s="4"/>
      <c r="DB760" s="4"/>
      <c r="DC760" s="4"/>
      <c r="DD760" s="4"/>
      <c r="DE760" s="4"/>
      <c r="DF760" s="4"/>
      <c r="DG760" s="4"/>
      <c r="DH760" s="4"/>
      <c r="DI760" s="4"/>
      <c r="DJ760" s="4"/>
      <c r="DK760" s="4"/>
      <c r="DL760" s="4"/>
      <c r="DM760" s="4"/>
      <c r="DN760" s="4"/>
      <c r="DO760" s="4"/>
      <c r="DP760" s="4"/>
      <c r="DQ760" s="4"/>
      <c r="DR760" s="4"/>
      <c r="DS760" s="4"/>
      <c r="DT760" s="4"/>
      <c r="DU760" s="4"/>
      <c r="DV760" s="4"/>
    </row>
    <row r="761">
      <c r="A761" s="2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  <c r="CI761" s="4"/>
      <c r="CJ761" s="4"/>
      <c r="CK761" s="4"/>
      <c r="CL761" s="4"/>
      <c r="CM761" s="4"/>
      <c r="CN761" s="4"/>
      <c r="CO761" s="4"/>
      <c r="CP761" s="4"/>
      <c r="CQ761" s="4"/>
      <c r="CR761" s="4"/>
      <c r="CS761" s="4"/>
      <c r="CT761" s="4"/>
      <c r="CU761" s="4"/>
      <c r="CV761" s="4"/>
      <c r="CW761" s="4"/>
      <c r="CX761" s="4"/>
      <c r="CY761" s="4"/>
      <c r="CZ761" s="4"/>
      <c r="DA761" s="4"/>
      <c r="DB761" s="4"/>
      <c r="DC761" s="4"/>
      <c r="DD761" s="4"/>
      <c r="DE761" s="4"/>
      <c r="DF761" s="4"/>
      <c r="DG761" s="4"/>
      <c r="DH761" s="4"/>
      <c r="DI761" s="4"/>
      <c r="DJ761" s="4"/>
      <c r="DK761" s="4"/>
      <c r="DL761" s="4"/>
      <c r="DM761" s="4"/>
      <c r="DN761" s="4"/>
      <c r="DO761" s="4"/>
      <c r="DP761" s="4"/>
      <c r="DQ761" s="4"/>
      <c r="DR761" s="4"/>
      <c r="DS761" s="4"/>
      <c r="DT761" s="4"/>
      <c r="DU761" s="4"/>
      <c r="DV761" s="4"/>
    </row>
    <row r="762">
      <c r="A762" s="2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  <c r="CI762" s="4"/>
      <c r="CJ762" s="4"/>
      <c r="CK762" s="4"/>
      <c r="CL762" s="4"/>
      <c r="CM762" s="4"/>
      <c r="CN762" s="4"/>
      <c r="CO762" s="4"/>
      <c r="CP762" s="4"/>
      <c r="CQ762" s="4"/>
      <c r="CR762" s="4"/>
      <c r="CS762" s="4"/>
      <c r="CT762" s="4"/>
      <c r="CU762" s="4"/>
      <c r="CV762" s="4"/>
      <c r="CW762" s="4"/>
      <c r="CX762" s="4"/>
      <c r="CY762" s="4"/>
      <c r="CZ762" s="4"/>
      <c r="DA762" s="4"/>
      <c r="DB762" s="4"/>
      <c r="DC762" s="4"/>
      <c r="DD762" s="4"/>
      <c r="DE762" s="4"/>
      <c r="DF762" s="4"/>
      <c r="DG762" s="4"/>
      <c r="DH762" s="4"/>
      <c r="DI762" s="4"/>
      <c r="DJ762" s="4"/>
      <c r="DK762" s="4"/>
      <c r="DL762" s="4"/>
      <c r="DM762" s="4"/>
      <c r="DN762" s="4"/>
      <c r="DO762" s="4"/>
      <c r="DP762" s="4"/>
      <c r="DQ762" s="4"/>
      <c r="DR762" s="4"/>
      <c r="DS762" s="4"/>
      <c r="DT762" s="4"/>
      <c r="DU762" s="4"/>
      <c r="DV762" s="4"/>
    </row>
    <row r="763">
      <c r="A763" s="2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  <c r="CI763" s="4"/>
      <c r="CJ763" s="4"/>
      <c r="CK763" s="4"/>
      <c r="CL763" s="4"/>
      <c r="CM763" s="4"/>
      <c r="CN763" s="4"/>
      <c r="CO763" s="4"/>
      <c r="CP763" s="4"/>
      <c r="CQ763" s="4"/>
      <c r="CR763" s="4"/>
      <c r="CS763" s="4"/>
      <c r="CT763" s="4"/>
      <c r="CU763" s="4"/>
      <c r="CV763" s="4"/>
      <c r="CW763" s="4"/>
      <c r="CX763" s="4"/>
      <c r="CY763" s="4"/>
      <c r="CZ763" s="4"/>
      <c r="DA763" s="4"/>
      <c r="DB763" s="4"/>
      <c r="DC763" s="4"/>
      <c r="DD763" s="4"/>
      <c r="DE763" s="4"/>
      <c r="DF763" s="4"/>
      <c r="DG763" s="4"/>
      <c r="DH763" s="4"/>
      <c r="DI763" s="4"/>
      <c r="DJ763" s="4"/>
      <c r="DK763" s="4"/>
      <c r="DL763" s="4"/>
      <c r="DM763" s="4"/>
      <c r="DN763" s="4"/>
      <c r="DO763" s="4"/>
      <c r="DP763" s="4"/>
      <c r="DQ763" s="4"/>
      <c r="DR763" s="4"/>
      <c r="DS763" s="4"/>
      <c r="DT763" s="4"/>
      <c r="DU763" s="4"/>
      <c r="DV763" s="4"/>
    </row>
    <row r="764">
      <c r="A764" s="2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  <c r="CI764" s="4"/>
      <c r="CJ764" s="4"/>
      <c r="CK764" s="4"/>
      <c r="CL764" s="4"/>
      <c r="CM764" s="4"/>
      <c r="CN764" s="4"/>
      <c r="CO764" s="4"/>
      <c r="CP764" s="4"/>
      <c r="CQ764" s="4"/>
      <c r="CR764" s="4"/>
      <c r="CS764" s="4"/>
      <c r="CT764" s="4"/>
      <c r="CU764" s="4"/>
      <c r="CV764" s="4"/>
      <c r="CW764" s="4"/>
      <c r="CX764" s="4"/>
      <c r="CY764" s="4"/>
      <c r="CZ764" s="4"/>
      <c r="DA764" s="4"/>
      <c r="DB764" s="4"/>
      <c r="DC764" s="4"/>
      <c r="DD764" s="4"/>
      <c r="DE764" s="4"/>
      <c r="DF764" s="4"/>
      <c r="DG764" s="4"/>
      <c r="DH764" s="4"/>
      <c r="DI764" s="4"/>
      <c r="DJ764" s="4"/>
      <c r="DK764" s="4"/>
      <c r="DL764" s="4"/>
      <c r="DM764" s="4"/>
      <c r="DN764" s="4"/>
      <c r="DO764" s="4"/>
      <c r="DP764" s="4"/>
      <c r="DQ764" s="4"/>
      <c r="DR764" s="4"/>
      <c r="DS764" s="4"/>
      <c r="DT764" s="4"/>
      <c r="DU764" s="4"/>
      <c r="DV764" s="4"/>
    </row>
    <row r="765">
      <c r="A765" s="2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  <c r="CI765" s="4"/>
      <c r="CJ765" s="4"/>
      <c r="CK765" s="4"/>
      <c r="CL765" s="4"/>
      <c r="CM765" s="4"/>
      <c r="CN765" s="4"/>
      <c r="CO765" s="4"/>
      <c r="CP765" s="4"/>
      <c r="CQ765" s="4"/>
      <c r="CR765" s="4"/>
      <c r="CS765" s="4"/>
      <c r="CT765" s="4"/>
      <c r="CU765" s="4"/>
      <c r="CV765" s="4"/>
      <c r="CW765" s="4"/>
      <c r="CX765" s="4"/>
      <c r="CY765" s="4"/>
      <c r="CZ765" s="4"/>
      <c r="DA765" s="4"/>
      <c r="DB765" s="4"/>
      <c r="DC765" s="4"/>
      <c r="DD765" s="4"/>
      <c r="DE765" s="4"/>
      <c r="DF765" s="4"/>
      <c r="DG765" s="4"/>
      <c r="DH765" s="4"/>
      <c r="DI765" s="4"/>
      <c r="DJ765" s="4"/>
      <c r="DK765" s="4"/>
      <c r="DL765" s="4"/>
      <c r="DM765" s="4"/>
      <c r="DN765" s="4"/>
      <c r="DO765" s="4"/>
      <c r="DP765" s="4"/>
      <c r="DQ765" s="4"/>
      <c r="DR765" s="4"/>
      <c r="DS765" s="4"/>
      <c r="DT765" s="4"/>
      <c r="DU765" s="4"/>
      <c r="DV765" s="4"/>
    </row>
    <row r="766">
      <c r="A766" s="2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  <c r="CI766" s="4"/>
      <c r="CJ766" s="4"/>
      <c r="CK766" s="4"/>
      <c r="CL766" s="4"/>
      <c r="CM766" s="4"/>
      <c r="CN766" s="4"/>
      <c r="CO766" s="4"/>
      <c r="CP766" s="4"/>
      <c r="CQ766" s="4"/>
      <c r="CR766" s="4"/>
      <c r="CS766" s="4"/>
      <c r="CT766" s="4"/>
      <c r="CU766" s="4"/>
      <c r="CV766" s="4"/>
      <c r="CW766" s="4"/>
      <c r="CX766" s="4"/>
      <c r="CY766" s="4"/>
      <c r="CZ766" s="4"/>
      <c r="DA766" s="4"/>
      <c r="DB766" s="4"/>
      <c r="DC766" s="4"/>
      <c r="DD766" s="4"/>
      <c r="DE766" s="4"/>
      <c r="DF766" s="4"/>
      <c r="DG766" s="4"/>
      <c r="DH766" s="4"/>
      <c r="DI766" s="4"/>
      <c r="DJ766" s="4"/>
      <c r="DK766" s="4"/>
      <c r="DL766" s="4"/>
      <c r="DM766" s="4"/>
      <c r="DN766" s="4"/>
      <c r="DO766" s="4"/>
      <c r="DP766" s="4"/>
      <c r="DQ766" s="4"/>
      <c r="DR766" s="4"/>
      <c r="DS766" s="4"/>
      <c r="DT766" s="4"/>
      <c r="DU766" s="4"/>
      <c r="DV766" s="4"/>
    </row>
    <row r="767">
      <c r="A767" s="2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  <c r="CI767" s="4"/>
      <c r="CJ767" s="4"/>
      <c r="CK767" s="4"/>
      <c r="CL767" s="4"/>
      <c r="CM767" s="4"/>
      <c r="CN767" s="4"/>
      <c r="CO767" s="4"/>
      <c r="CP767" s="4"/>
      <c r="CQ767" s="4"/>
      <c r="CR767" s="4"/>
      <c r="CS767" s="4"/>
      <c r="CT767" s="4"/>
      <c r="CU767" s="4"/>
      <c r="CV767" s="4"/>
      <c r="CW767" s="4"/>
      <c r="CX767" s="4"/>
      <c r="CY767" s="4"/>
      <c r="CZ767" s="4"/>
      <c r="DA767" s="4"/>
      <c r="DB767" s="4"/>
      <c r="DC767" s="4"/>
      <c r="DD767" s="4"/>
      <c r="DE767" s="4"/>
      <c r="DF767" s="4"/>
      <c r="DG767" s="4"/>
      <c r="DH767" s="4"/>
      <c r="DI767" s="4"/>
      <c r="DJ767" s="4"/>
      <c r="DK767" s="4"/>
      <c r="DL767" s="4"/>
      <c r="DM767" s="4"/>
      <c r="DN767" s="4"/>
      <c r="DO767" s="4"/>
      <c r="DP767" s="4"/>
      <c r="DQ767" s="4"/>
      <c r="DR767" s="4"/>
      <c r="DS767" s="4"/>
      <c r="DT767" s="4"/>
      <c r="DU767" s="4"/>
      <c r="DV767" s="4"/>
    </row>
    <row r="768">
      <c r="A768" s="2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  <c r="CI768" s="4"/>
      <c r="CJ768" s="4"/>
      <c r="CK768" s="4"/>
      <c r="CL768" s="4"/>
      <c r="CM768" s="4"/>
      <c r="CN768" s="4"/>
      <c r="CO768" s="4"/>
      <c r="CP768" s="4"/>
      <c r="CQ768" s="4"/>
      <c r="CR768" s="4"/>
      <c r="CS768" s="4"/>
      <c r="CT768" s="4"/>
      <c r="CU768" s="4"/>
      <c r="CV768" s="4"/>
      <c r="CW768" s="4"/>
      <c r="CX768" s="4"/>
      <c r="CY768" s="4"/>
      <c r="CZ768" s="4"/>
      <c r="DA768" s="4"/>
      <c r="DB768" s="4"/>
      <c r="DC768" s="4"/>
      <c r="DD768" s="4"/>
      <c r="DE768" s="4"/>
      <c r="DF768" s="4"/>
      <c r="DG768" s="4"/>
      <c r="DH768" s="4"/>
      <c r="DI768" s="4"/>
      <c r="DJ768" s="4"/>
      <c r="DK768" s="4"/>
      <c r="DL768" s="4"/>
      <c r="DM768" s="4"/>
      <c r="DN768" s="4"/>
      <c r="DO768" s="4"/>
      <c r="DP768" s="4"/>
      <c r="DQ768" s="4"/>
      <c r="DR768" s="4"/>
      <c r="DS768" s="4"/>
      <c r="DT768" s="4"/>
      <c r="DU768" s="4"/>
      <c r="DV768" s="4"/>
    </row>
    <row r="769">
      <c r="A769" s="2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  <c r="CI769" s="4"/>
      <c r="CJ769" s="4"/>
      <c r="CK769" s="4"/>
      <c r="CL769" s="4"/>
      <c r="CM769" s="4"/>
      <c r="CN769" s="4"/>
      <c r="CO769" s="4"/>
      <c r="CP769" s="4"/>
      <c r="CQ769" s="4"/>
      <c r="CR769" s="4"/>
      <c r="CS769" s="4"/>
      <c r="CT769" s="4"/>
      <c r="CU769" s="4"/>
      <c r="CV769" s="4"/>
      <c r="CW769" s="4"/>
      <c r="CX769" s="4"/>
      <c r="CY769" s="4"/>
      <c r="CZ769" s="4"/>
      <c r="DA769" s="4"/>
      <c r="DB769" s="4"/>
      <c r="DC769" s="4"/>
      <c r="DD769" s="4"/>
      <c r="DE769" s="4"/>
      <c r="DF769" s="4"/>
      <c r="DG769" s="4"/>
      <c r="DH769" s="4"/>
      <c r="DI769" s="4"/>
      <c r="DJ769" s="4"/>
      <c r="DK769" s="4"/>
      <c r="DL769" s="4"/>
      <c r="DM769" s="4"/>
      <c r="DN769" s="4"/>
      <c r="DO769" s="4"/>
      <c r="DP769" s="4"/>
      <c r="DQ769" s="4"/>
      <c r="DR769" s="4"/>
      <c r="DS769" s="4"/>
      <c r="DT769" s="4"/>
      <c r="DU769" s="4"/>
      <c r="DV769" s="4"/>
    </row>
    <row r="770">
      <c r="A770" s="2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  <c r="CI770" s="4"/>
      <c r="CJ770" s="4"/>
      <c r="CK770" s="4"/>
      <c r="CL770" s="4"/>
      <c r="CM770" s="4"/>
      <c r="CN770" s="4"/>
      <c r="CO770" s="4"/>
      <c r="CP770" s="4"/>
      <c r="CQ770" s="4"/>
      <c r="CR770" s="4"/>
      <c r="CS770" s="4"/>
      <c r="CT770" s="4"/>
      <c r="CU770" s="4"/>
      <c r="CV770" s="4"/>
      <c r="CW770" s="4"/>
      <c r="CX770" s="4"/>
      <c r="CY770" s="4"/>
      <c r="CZ770" s="4"/>
      <c r="DA770" s="4"/>
      <c r="DB770" s="4"/>
      <c r="DC770" s="4"/>
      <c r="DD770" s="4"/>
      <c r="DE770" s="4"/>
      <c r="DF770" s="4"/>
      <c r="DG770" s="4"/>
      <c r="DH770" s="4"/>
      <c r="DI770" s="4"/>
      <c r="DJ770" s="4"/>
      <c r="DK770" s="4"/>
      <c r="DL770" s="4"/>
      <c r="DM770" s="4"/>
      <c r="DN770" s="4"/>
      <c r="DO770" s="4"/>
      <c r="DP770" s="4"/>
      <c r="DQ770" s="4"/>
      <c r="DR770" s="4"/>
      <c r="DS770" s="4"/>
      <c r="DT770" s="4"/>
      <c r="DU770" s="4"/>
      <c r="DV770" s="4"/>
    </row>
    <row r="771">
      <c r="A771" s="2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  <c r="CI771" s="4"/>
      <c r="CJ771" s="4"/>
      <c r="CK771" s="4"/>
      <c r="CL771" s="4"/>
      <c r="CM771" s="4"/>
      <c r="CN771" s="4"/>
      <c r="CO771" s="4"/>
      <c r="CP771" s="4"/>
      <c r="CQ771" s="4"/>
      <c r="CR771" s="4"/>
      <c r="CS771" s="4"/>
      <c r="CT771" s="4"/>
      <c r="CU771" s="4"/>
      <c r="CV771" s="4"/>
      <c r="CW771" s="4"/>
      <c r="CX771" s="4"/>
      <c r="CY771" s="4"/>
      <c r="CZ771" s="4"/>
      <c r="DA771" s="4"/>
      <c r="DB771" s="4"/>
      <c r="DC771" s="4"/>
      <c r="DD771" s="4"/>
      <c r="DE771" s="4"/>
      <c r="DF771" s="4"/>
      <c r="DG771" s="4"/>
      <c r="DH771" s="4"/>
      <c r="DI771" s="4"/>
      <c r="DJ771" s="4"/>
      <c r="DK771" s="4"/>
      <c r="DL771" s="4"/>
      <c r="DM771" s="4"/>
      <c r="DN771" s="4"/>
      <c r="DO771" s="4"/>
      <c r="DP771" s="4"/>
      <c r="DQ771" s="4"/>
      <c r="DR771" s="4"/>
      <c r="DS771" s="4"/>
      <c r="DT771" s="4"/>
      <c r="DU771" s="4"/>
      <c r="DV771" s="4"/>
    </row>
    <row r="772">
      <c r="A772" s="2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  <c r="CI772" s="4"/>
      <c r="CJ772" s="4"/>
      <c r="CK772" s="4"/>
      <c r="CL772" s="4"/>
      <c r="CM772" s="4"/>
      <c r="CN772" s="4"/>
      <c r="CO772" s="4"/>
      <c r="CP772" s="4"/>
      <c r="CQ772" s="4"/>
      <c r="CR772" s="4"/>
      <c r="CS772" s="4"/>
      <c r="CT772" s="4"/>
      <c r="CU772" s="4"/>
      <c r="CV772" s="4"/>
      <c r="CW772" s="4"/>
      <c r="CX772" s="4"/>
      <c r="CY772" s="4"/>
      <c r="CZ772" s="4"/>
      <c r="DA772" s="4"/>
      <c r="DB772" s="4"/>
      <c r="DC772" s="4"/>
      <c r="DD772" s="4"/>
      <c r="DE772" s="4"/>
      <c r="DF772" s="4"/>
      <c r="DG772" s="4"/>
      <c r="DH772" s="4"/>
      <c r="DI772" s="4"/>
      <c r="DJ772" s="4"/>
      <c r="DK772" s="4"/>
      <c r="DL772" s="4"/>
      <c r="DM772" s="4"/>
      <c r="DN772" s="4"/>
      <c r="DO772" s="4"/>
      <c r="DP772" s="4"/>
      <c r="DQ772" s="4"/>
      <c r="DR772" s="4"/>
      <c r="DS772" s="4"/>
      <c r="DT772" s="4"/>
      <c r="DU772" s="4"/>
      <c r="DV772" s="4"/>
    </row>
    <row r="773">
      <c r="A773" s="2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  <c r="CI773" s="4"/>
      <c r="CJ773" s="4"/>
      <c r="CK773" s="4"/>
      <c r="CL773" s="4"/>
      <c r="CM773" s="4"/>
      <c r="CN773" s="4"/>
      <c r="CO773" s="4"/>
      <c r="CP773" s="4"/>
      <c r="CQ773" s="4"/>
      <c r="CR773" s="4"/>
      <c r="CS773" s="4"/>
      <c r="CT773" s="4"/>
      <c r="CU773" s="4"/>
      <c r="CV773" s="4"/>
      <c r="CW773" s="4"/>
      <c r="CX773" s="4"/>
      <c r="CY773" s="4"/>
      <c r="CZ773" s="4"/>
      <c r="DA773" s="4"/>
      <c r="DB773" s="4"/>
      <c r="DC773" s="4"/>
      <c r="DD773" s="4"/>
      <c r="DE773" s="4"/>
      <c r="DF773" s="4"/>
      <c r="DG773" s="4"/>
      <c r="DH773" s="4"/>
      <c r="DI773" s="4"/>
      <c r="DJ773" s="4"/>
      <c r="DK773" s="4"/>
      <c r="DL773" s="4"/>
      <c r="DM773" s="4"/>
      <c r="DN773" s="4"/>
      <c r="DO773" s="4"/>
      <c r="DP773" s="4"/>
      <c r="DQ773" s="4"/>
      <c r="DR773" s="4"/>
      <c r="DS773" s="4"/>
      <c r="DT773" s="4"/>
      <c r="DU773" s="4"/>
      <c r="DV773" s="4"/>
    </row>
    <row r="774">
      <c r="A774" s="2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  <c r="CI774" s="4"/>
      <c r="CJ774" s="4"/>
      <c r="CK774" s="4"/>
      <c r="CL774" s="4"/>
      <c r="CM774" s="4"/>
      <c r="CN774" s="4"/>
      <c r="CO774" s="4"/>
      <c r="CP774" s="4"/>
      <c r="CQ774" s="4"/>
      <c r="CR774" s="4"/>
      <c r="CS774" s="4"/>
      <c r="CT774" s="4"/>
      <c r="CU774" s="4"/>
      <c r="CV774" s="4"/>
      <c r="CW774" s="4"/>
      <c r="CX774" s="4"/>
      <c r="CY774" s="4"/>
      <c r="CZ774" s="4"/>
      <c r="DA774" s="4"/>
      <c r="DB774" s="4"/>
      <c r="DC774" s="4"/>
      <c r="DD774" s="4"/>
      <c r="DE774" s="4"/>
      <c r="DF774" s="4"/>
      <c r="DG774" s="4"/>
      <c r="DH774" s="4"/>
      <c r="DI774" s="4"/>
      <c r="DJ774" s="4"/>
      <c r="DK774" s="4"/>
      <c r="DL774" s="4"/>
      <c r="DM774" s="4"/>
      <c r="DN774" s="4"/>
      <c r="DO774" s="4"/>
      <c r="DP774" s="4"/>
      <c r="DQ774" s="4"/>
      <c r="DR774" s="4"/>
      <c r="DS774" s="4"/>
      <c r="DT774" s="4"/>
      <c r="DU774" s="4"/>
      <c r="DV774" s="4"/>
    </row>
    <row r="775">
      <c r="A775" s="2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  <c r="CI775" s="4"/>
      <c r="CJ775" s="4"/>
      <c r="CK775" s="4"/>
      <c r="CL775" s="4"/>
      <c r="CM775" s="4"/>
      <c r="CN775" s="4"/>
      <c r="CO775" s="4"/>
      <c r="CP775" s="4"/>
      <c r="CQ775" s="4"/>
      <c r="CR775" s="4"/>
      <c r="CS775" s="4"/>
      <c r="CT775" s="4"/>
      <c r="CU775" s="4"/>
      <c r="CV775" s="4"/>
      <c r="CW775" s="4"/>
      <c r="CX775" s="4"/>
      <c r="CY775" s="4"/>
      <c r="CZ775" s="4"/>
      <c r="DA775" s="4"/>
      <c r="DB775" s="4"/>
      <c r="DC775" s="4"/>
      <c r="DD775" s="4"/>
      <c r="DE775" s="4"/>
      <c r="DF775" s="4"/>
      <c r="DG775" s="4"/>
      <c r="DH775" s="4"/>
      <c r="DI775" s="4"/>
      <c r="DJ775" s="4"/>
      <c r="DK775" s="4"/>
      <c r="DL775" s="4"/>
      <c r="DM775" s="4"/>
      <c r="DN775" s="4"/>
      <c r="DO775" s="4"/>
      <c r="DP775" s="4"/>
      <c r="DQ775" s="4"/>
      <c r="DR775" s="4"/>
      <c r="DS775" s="4"/>
      <c r="DT775" s="4"/>
      <c r="DU775" s="4"/>
      <c r="DV775" s="4"/>
    </row>
    <row r="776">
      <c r="A776" s="2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  <c r="CI776" s="4"/>
      <c r="CJ776" s="4"/>
      <c r="CK776" s="4"/>
      <c r="CL776" s="4"/>
      <c r="CM776" s="4"/>
      <c r="CN776" s="4"/>
      <c r="CO776" s="4"/>
      <c r="CP776" s="4"/>
      <c r="CQ776" s="4"/>
      <c r="CR776" s="4"/>
      <c r="CS776" s="4"/>
      <c r="CT776" s="4"/>
      <c r="CU776" s="4"/>
      <c r="CV776" s="4"/>
      <c r="CW776" s="4"/>
      <c r="CX776" s="4"/>
      <c r="CY776" s="4"/>
      <c r="CZ776" s="4"/>
      <c r="DA776" s="4"/>
      <c r="DB776" s="4"/>
      <c r="DC776" s="4"/>
      <c r="DD776" s="4"/>
      <c r="DE776" s="4"/>
      <c r="DF776" s="4"/>
      <c r="DG776" s="4"/>
      <c r="DH776" s="4"/>
      <c r="DI776" s="4"/>
      <c r="DJ776" s="4"/>
      <c r="DK776" s="4"/>
      <c r="DL776" s="4"/>
      <c r="DM776" s="4"/>
      <c r="DN776" s="4"/>
      <c r="DO776" s="4"/>
      <c r="DP776" s="4"/>
      <c r="DQ776" s="4"/>
      <c r="DR776" s="4"/>
      <c r="DS776" s="4"/>
      <c r="DT776" s="4"/>
      <c r="DU776" s="4"/>
      <c r="DV776" s="4"/>
    </row>
    <row r="777">
      <c r="A777" s="2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  <c r="CI777" s="4"/>
      <c r="CJ777" s="4"/>
      <c r="CK777" s="4"/>
      <c r="CL777" s="4"/>
      <c r="CM777" s="4"/>
      <c r="CN777" s="4"/>
      <c r="CO777" s="4"/>
      <c r="CP777" s="4"/>
      <c r="CQ777" s="4"/>
      <c r="CR777" s="4"/>
      <c r="CS777" s="4"/>
      <c r="CT777" s="4"/>
      <c r="CU777" s="4"/>
      <c r="CV777" s="4"/>
      <c r="CW777" s="4"/>
      <c r="CX777" s="4"/>
      <c r="CY777" s="4"/>
      <c r="CZ777" s="4"/>
      <c r="DA777" s="4"/>
      <c r="DB777" s="4"/>
      <c r="DC777" s="4"/>
      <c r="DD777" s="4"/>
      <c r="DE777" s="4"/>
      <c r="DF777" s="4"/>
      <c r="DG777" s="4"/>
      <c r="DH777" s="4"/>
      <c r="DI777" s="4"/>
      <c r="DJ777" s="4"/>
      <c r="DK777" s="4"/>
      <c r="DL777" s="4"/>
      <c r="DM777" s="4"/>
      <c r="DN777" s="4"/>
      <c r="DO777" s="4"/>
      <c r="DP777" s="4"/>
      <c r="DQ777" s="4"/>
      <c r="DR777" s="4"/>
      <c r="DS777" s="4"/>
      <c r="DT777" s="4"/>
      <c r="DU777" s="4"/>
      <c r="DV777" s="4"/>
    </row>
    <row r="778">
      <c r="A778" s="2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  <c r="CI778" s="4"/>
      <c r="CJ778" s="4"/>
      <c r="CK778" s="4"/>
      <c r="CL778" s="4"/>
      <c r="CM778" s="4"/>
      <c r="CN778" s="4"/>
      <c r="CO778" s="4"/>
      <c r="CP778" s="4"/>
      <c r="CQ778" s="4"/>
      <c r="CR778" s="4"/>
      <c r="CS778" s="4"/>
      <c r="CT778" s="4"/>
      <c r="CU778" s="4"/>
      <c r="CV778" s="4"/>
      <c r="CW778" s="4"/>
      <c r="CX778" s="4"/>
      <c r="CY778" s="4"/>
      <c r="CZ778" s="4"/>
      <c r="DA778" s="4"/>
      <c r="DB778" s="4"/>
      <c r="DC778" s="4"/>
      <c r="DD778" s="4"/>
      <c r="DE778" s="4"/>
      <c r="DF778" s="4"/>
      <c r="DG778" s="4"/>
      <c r="DH778" s="4"/>
      <c r="DI778" s="4"/>
      <c r="DJ778" s="4"/>
      <c r="DK778" s="4"/>
      <c r="DL778" s="4"/>
      <c r="DM778" s="4"/>
      <c r="DN778" s="4"/>
      <c r="DO778" s="4"/>
      <c r="DP778" s="4"/>
      <c r="DQ778" s="4"/>
      <c r="DR778" s="4"/>
      <c r="DS778" s="4"/>
      <c r="DT778" s="4"/>
      <c r="DU778" s="4"/>
      <c r="DV778" s="4"/>
    </row>
    <row r="779">
      <c r="A779" s="2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  <c r="CI779" s="4"/>
      <c r="CJ779" s="4"/>
      <c r="CK779" s="4"/>
      <c r="CL779" s="4"/>
      <c r="CM779" s="4"/>
      <c r="CN779" s="4"/>
      <c r="CO779" s="4"/>
      <c r="CP779" s="4"/>
      <c r="CQ779" s="4"/>
      <c r="CR779" s="4"/>
      <c r="CS779" s="4"/>
      <c r="CT779" s="4"/>
      <c r="CU779" s="4"/>
      <c r="CV779" s="4"/>
      <c r="CW779" s="4"/>
      <c r="CX779" s="4"/>
      <c r="CY779" s="4"/>
      <c r="CZ779" s="4"/>
      <c r="DA779" s="4"/>
      <c r="DB779" s="4"/>
      <c r="DC779" s="4"/>
      <c r="DD779" s="4"/>
      <c r="DE779" s="4"/>
      <c r="DF779" s="4"/>
      <c r="DG779" s="4"/>
      <c r="DH779" s="4"/>
      <c r="DI779" s="4"/>
      <c r="DJ779" s="4"/>
      <c r="DK779" s="4"/>
      <c r="DL779" s="4"/>
      <c r="DM779" s="4"/>
      <c r="DN779" s="4"/>
      <c r="DO779" s="4"/>
      <c r="DP779" s="4"/>
      <c r="DQ779" s="4"/>
      <c r="DR779" s="4"/>
      <c r="DS779" s="4"/>
      <c r="DT779" s="4"/>
      <c r="DU779" s="4"/>
      <c r="DV779" s="4"/>
    </row>
    <row r="780">
      <c r="A780" s="2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  <c r="CI780" s="4"/>
      <c r="CJ780" s="4"/>
      <c r="CK780" s="4"/>
      <c r="CL780" s="4"/>
      <c r="CM780" s="4"/>
      <c r="CN780" s="4"/>
      <c r="CO780" s="4"/>
      <c r="CP780" s="4"/>
      <c r="CQ780" s="4"/>
      <c r="CR780" s="4"/>
      <c r="CS780" s="4"/>
      <c r="CT780" s="4"/>
      <c r="CU780" s="4"/>
      <c r="CV780" s="4"/>
      <c r="CW780" s="4"/>
      <c r="CX780" s="4"/>
      <c r="CY780" s="4"/>
      <c r="CZ780" s="4"/>
      <c r="DA780" s="4"/>
      <c r="DB780" s="4"/>
      <c r="DC780" s="4"/>
      <c r="DD780" s="4"/>
      <c r="DE780" s="4"/>
      <c r="DF780" s="4"/>
      <c r="DG780" s="4"/>
      <c r="DH780" s="4"/>
      <c r="DI780" s="4"/>
      <c r="DJ780" s="4"/>
      <c r="DK780" s="4"/>
      <c r="DL780" s="4"/>
      <c r="DM780" s="4"/>
      <c r="DN780" s="4"/>
      <c r="DO780" s="4"/>
      <c r="DP780" s="4"/>
      <c r="DQ780" s="4"/>
      <c r="DR780" s="4"/>
      <c r="DS780" s="4"/>
      <c r="DT780" s="4"/>
      <c r="DU780" s="4"/>
      <c r="DV780" s="4"/>
    </row>
    <row r="781">
      <c r="A781" s="2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  <c r="CI781" s="4"/>
      <c r="CJ781" s="4"/>
      <c r="CK781" s="4"/>
      <c r="CL781" s="4"/>
      <c r="CM781" s="4"/>
      <c r="CN781" s="4"/>
      <c r="CO781" s="4"/>
      <c r="CP781" s="4"/>
      <c r="CQ781" s="4"/>
      <c r="CR781" s="4"/>
      <c r="CS781" s="4"/>
      <c r="CT781" s="4"/>
      <c r="CU781" s="4"/>
      <c r="CV781" s="4"/>
      <c r="CW781" s="4"/>
      <c r="CX781" s="4"/>
      <c r="CY781" s="4"/>
      <c r="CZ781" s="4"/>
      <c r="DA781" s="4"/>
      <c r="DB781" s="4"/>
      <c r="DC781" s="4"/>
      <c r="DD781" s="4"/>
      <c r="DE781" s="4"/>
      <c r="DF781" s="4"/>
      <c r="DG781" s="4"/>
      <c r="DH781" s="4"/>
      <c r="DI781" s="4"/>
      <c r="DJ781" s="4"/>
      <c r="DK781" s="4"/>
      <c r="DL781" s="4"/>
      <c r="DM781" s="4"/>
      <c r="DN781" s="4"/>
      <c r="DO781" s="4"/>
      <c r="DP781" s="4"/>
      <c r="DQ781" s="4"/>
      <c r="DR781" s="4"/>
      <c r="DS781" s="4"/>
      <c r="DT781" s="4"/>
      <c r="DU781" s="4"/>
      <c r="DV781" s="4"/>
    </row>
    <row r="782">
      <c r="A782" s="2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  <c r="CI782" s="4"/>
      <c r="CJ782" s="4"/>
      <c r="CK782" s="4"/>
      <c r="CL782" s="4"/>
      <c r="CM782" s="4"/>
      <c r="CN782" s="4"/>
      <c r="CO782" s="4"/>
      <c r="CP782" s="4"/>
      <c r="CQ782" s="4"/>
      <c r="CR782" s="4"/>
      <c r="CS782" s="4"/>
      <c r="CT782" s="4"/>
      <c r="CU782" s="4"/>
      <c r="CV782" s="4"/>
      <c r="CW782" s="4"/>
      <c r="CX782" s="4"/>
      <c r="CY782" s="4"/>
      <c r="CZ782" s="4"/>
      <c r="DA782" s="4"/>
      <c r="DB782" s="4"/>
      <c r="DC782" s="4"/>
      <c r="DD782" s="4"/>
      <c r="DE782" s="4"/>
      <c r="DF782" s="4"/>
      <c r="DG782" s="4"/>
      <c r="DH782" s="4"/>
      <c r="DI782" s="4"/>
      <c r="DJ782" s="4"/>
      <c r="DK782" s="4"/>
      <c r="DL782" s="4"/>
      <c r="DM782" s="4"/>
      <c r="DN782" s="4"/>
      <c r="DO782" s="4"/>
      <c r="DP782" s="4"/>
      <c r="DQ782" s="4"/>
      <c r="DR782" s="4"/>
      <c r="DS782" s="4"/>
      <c r="DT782" s="4"/>
      <c r="DU782" s="4"/>
      <c r="DV782" s="4"/>
    </row>
    <row r="783">
      <c r="A783" s="2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  <c r="CI783" s="4"/>
      <c r="CJ783" s="4"/>
      <c r="CK783" s="4"/>
      <c r="CL783" s="4"/>
      <c r="CM783" s="4"/>
      <c r="CN783" s="4"/>
      <c r="CO783" s="4"/>
      <c r="CP783" s="4"/>
      <c r="CQ783" s="4"/>
      <c r="CR783" s="4"/>
      <c r="CS783" s="4"/>
      <c r="CT783" s="4"/>
      <c r="CU783" s="4"/>
      <c r="CV783" s="4"/>
      <c r="CW783" s="4"/>
      <c r="CX783" s="4"/>
      <c r="CY783" s="4"/>
      <c r="CZ783" s="4"/>
      <c r="DA783" s="4"/>
      <c r="DB783" s="4"/>
      <c r="DC783" s="4"/>
      <c r="DD783" s="4"/>
      <c r="DE783" s="4"/>
      <c r="DF783" s="4"/>
      <c r="DG783" s="4"/>
      <c r="DH783" s="4"/>
      <c r="DI783" s="4"/>
      <c r="DJ783" s="4"/>
      <c r="DK783" s="4"/>
      <c r="DL783" s="4"/>
      <c r="DM783" s="4"/>
      <c r="DN783" s="4"/>
      <c r="DO783" s="4"/>
      <c r="DP783" s="4"/>
      <c r="DQ783" s="4"/>
      <c r="DR783" s="4"/>
      <c r="DS783" s="4"/>
      <c r="DT783" s="4"/>
      <c r="DU783" s="4"/>
      <c r="DV783" s="4"/>
    </row>
    <row r="784">
      <c r="A784" s="2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  <c r="CI784" s="4"/>
      <c r="CJ784" s="4"/>
      <c r="CK784" s="4"/>
      <c r="CL784" s="4"/>
      <c r="CM784" s="4"/>
      <c r="CN784" s="4"/>
      <c r="CO784" s="4"/>
      <c r="CP784" s="4"/>
      <c r="CQ784" s="4"/>
      <c r="CR784" s="4"/>
      <c r="CS784" s="4"/>
      <c r="CT784" s="4"/>
      <c r="CU784" s="4"/>
      <c r="CV784" s="4"/>
      <c r="CW784" s="4"/>
      <c r="CX784" s="4"/>
      <c r="CY784" s="4"/>
      <c r="CZ784" s="4"/>
      <c r="DA784" s="4"/>
      <c r="DB784" s="4"/>
      <c r="DC784" s="4"/>
      <c r="DD784" s="4"/>
      <c r="DE784" s="4"/>
      <c r="DF784" s="4"/>
      <c r="DG784" s="4"/>
      <c r="DH784" s="4"/>
      <c r="DI784" s="4"/>
      <c r="DJ784" s="4"/>
      <c r="DK784" s="4"/>
      <c r="DL784" s="4"/>
      <c r="DM784" s="4"/>
      <c r="DN784" s="4"/>
      <c r="DO784" s="4"/>
      <c r="DP784" s="4"/>
      <c r="DQ784" s="4"/>
      <c r="DR784" s="4"/>
      <c r="DS784" s="4"/>
      <c r="DT784" s="4"/>
      <c r="DU784" s="4"/>
      <c r="DV784" s="4"/>
    </row>
    <row r="785">
      <c r="A785" s="2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  <c r="CI785" s="4"/>
      <c r="CJ785" s="4"/>
      <c r="CK785" s="4"/>
      <c r="CL785" s="4"/>
      <c r="CM785" s="4"/>
      <c r="CN785" s="4"/>
      <c r="CO785" s="4"/>
      <c r="CP785" s="4"/>
      <c r="CQ785" s="4"/>
      <c r="CR785" s="4"/>
      <c r="CS785" s="4"/>
      <c r="CT785" s="4"/>
      <c r="CU785" s="4"/>
      <c r="CV785" s="4"/>
      <c r="CW785" s="4"/>
      <c r="CX785" s="4"/>
      <c r="CY785" s="4"/>
      <c r="CZ785" s="4"/>
      <c r="DA785" s="4"/>
      <c r="DB785" s="4"/>
      <c r="DC785" s="4"/>
      <c r="DD785" s="4"/>
      <c r="DE785" s="4"/>
      <c r="DF785" s="4"/>
      <c r="DG785" s="4"/>
      <c r="DH785" s="4"/>
      <c r="DI785" s="4"/>
      <c r="DJ785" s="4"/>
      <c r="DK785" s="4"/>
      <c r="DL785" s="4"/>
      <c r="DM785" s="4"/>
      <c r="DN785" s="4"/>
      <c r="DO785" s="4"/>
      <c r="DP785" s="4"/>
      <c r="DQ785" s="4"/>
      <c r="DR785" s="4"/>
      <c r="DS785" s="4"/>
      <c r="DT785" s="4"/>
      <c r="DU785" s="4"/>
      <c r="DV785" s="4"/>
    </row>
    <row r="786">
      <c r="A786" s="2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  <c r="CI786" s="4"/>
      <c r="CJ786" s="4"/>
      <c r="CK786" s="4"/>
      <c r="CL786" s="4"/>
      <c r="CM786" s="4"/>
      <c r="CN786" s="4"/>
      <c r="CO786" s="4"/>
      <c r="CP786" s="4"/>
      <c r="CQ786" s="4"/>
      <c r="CR786" s="4"/>
      <c r="CS786" s="4"/>
      <c r="CT786" s="4"/>
      <c r="CU786" s="4"/>
      <c r="CV786" s="4"/>
      <c r="CW786" s="4"/>
      <c r="CX786" s="4"/>
      <c r="CY786" s="4"/>
      <c r="CZ786" s="4"/>
      <c r="DA786" s="4"/>
      <c r="DB786" s="4"/>
      <c r="DC786" s="4"/>
      <c r="DD786" s="4"/>
      <c r="DE786" s="4"/>
      <c r="DF786" s="4"/>
      <c r="DG786" s="4"/>
      <c r="DH786" s="4"/>
      <c r="DI786" s="4"/>
      <c r="DJ786" s="4"/>
      <c r="DK786" s="4"/>
      <c r="DL786" s="4"/>
      <c r="DM786" s="4"/>
      <c r="DN786" s="4"/>
      <c r="DO786" s="4"/>
      <c r="DP786" s="4"/>
      <c r="DQ786" s="4"/>
      <c r="DR786" s="4"/>
      <c r="DS786" s="4"/>
      <c r="DT786" s="4"/>
      <c r="DU786" s="4"/>
      <c r="DV786" s="4"/>
    </row>
    <row r="787">
      <c r="A787" s="2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  <c r="CI787" s="4"/>
      <c r="CJ787" s="4"/>
      <c r="CK787" s="4"/>
      <c r="CL787" s="4"/>
      <c r="CM787" s="4"/>
      <c r="CN787" s="4"/>
      <c r="CO787" s="4"/>
      <c r="CP787" s="4"/>
      <c r="CQ787" s="4"/>
      <c r="CR787" s="4"/>
      <c r="CS787" s="4"/>
      <c r="CT787" s="4"/>
      <c r="CU787" s="4"/>
      <c r="CV787" s="4"/>
      <c r="CW787" s="4"/>
      <c r="CX787" s="4"/>
      <c r="CY787" s="4"/>
      <c r="CZ787" s="4"/>
      <c r="DA787" s="4"/>
      <c r="DB787" s="4"/>
      <c r="DC787" s="4"/>
      <c r="DD787" s="4"/>
      <c r="DE787" s="4"/>
      <c r="DF787" s="4"/>
      <c r="DG787" s="4"/>
      <c r="DH787" s="4"/>
      <c r="DI787" s="4"/>
      <c r="DJ787" s="4"/>
      <c r="DK787" s="4"/>
      <c r="DL787" s="4"/>
      <c r="DM787" s="4"/>
      <c r="DN787" s="4"/>
      <c r="DO787" s="4"/>
      <c r="DP787" s="4"/>
      <c r="DQ787" s="4"/>
      <c r="DR787" s="4"/>
      <c r="DS787" s="4"/>
      <c r="DT787" s="4"/>
      <c r="DU787" s="4"/>
      <c r="DV787" s="4"/>
    </row>
    <row r="788">
      <c r="A788" s="2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  <c r="CI788" s="4"/>
      <c r="CJ788" s="4"/>
      <c r="CK788" s="4"/>
      <c r="CL788" s="4"/>
      <c r="CM788" s="4"/>
      <c r="CN788" s="4"/>
      <c r="CO788" s="4"/>
      <c r="CP788" s="4"/>
      <c r="CQ788" s="4"/>
      <c r="CR788" s="4"/>
      <c r="CS788" s="4"/>
      <c r="CT788" s="4"/>
      <c r="CU788" s="4"/>
      <c r="CV788" s="4"/>
      <c r="CW788" s="4"/>
      <c r="CX788" s="4"/>
      <c r="CY788" s="4"/>
      <c r="CZ788" s="4"/>
      <c r="DA788" s="4"/>
      <c r="DB788" s="4"/>
      <c r="DC788" s="4"/>
      <c r="DD788" s="4"/>
      <c r="DE788" s="4"/>
      <c r="DF788" s="4"/>
      <c r="DG788" s="4"/>
      <c r="DH788" s="4"/>
      <c r="DI788" s="4"/>
      <c r="DJ788" s="4"/>
      <c r="DK788" s="4"/>
      <c r="DL788" s="4"/>
      <c r="DM788" s="4"/>
      <c r="DN788" s="4"/>
      <c r="DO788" s="4"/>
      <c r="DP788" s="4"/>
      <c r="DQ788" s="4"/>
      <c r="DR788" s="4"/>
      <c r="DS788" s="4"/>
      <c r="DT788" s="4"/>
      <c r="DU788" s="4"/>
      <c r="DV788" s="4"/>
    </row>
    <row r="789">
      <c r="A789" s="2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  <c r="CI789" s="4"/>
      <c r="CJ789" s="4"/>
      <c r="CK789" s="4"/>
      <c r="CL789" s="4"/>
      <c r="CM789" s="4"/>
      <c r="CN789" s="4"/>
      <c r="CO789" s="4"/>
      <c r="CP789" s="4"/>
      <c r="CQ789" s="4"/>
      <c r="CR789" s="4"/>
      <c r="CS789" s="4"/>
      <c r="CT789" s="4"/>
      <c r="CU789" s="4"/>
      <c r="CV789" s="4"/>
      <c r="CW789" s="4"/>
      <c r="CX789" s="4"/>
      <c r="CY789" s="4"/>
      <c r="CZ789" s="4"/>
      <c r="DA789" s="4"/>
      <c r="DB789" s="4"/>
      <c r="DC789" s="4"/>
      <c r="DD789" s="4"/>
      <c r="DE789" s="4"/>
      <c r="DF789" s="4"/>
      <c r="DG789" s="4"/>
      <c r="DH789" s="4"/>
      <c r="DI789" s="4"/>
      <c r="DJ789" s="4"/>
      <c r="DK789" s="4"/>
      <c r="DL789" s="4"/>
      <c r="DM789" s="4"/>
      <c r="DN789" s="4"/>
      <c r="DO789" s="4"/>
      <c r="DP789" s="4"/>
      <c r="DQ789" s="4"/>
      <c r="DR789" s="4"/>
      <c r="DS789" s="4"/>
      <c r="DT789" s="4"/>
      <c r="DU789" s="4"/>
      <c r="DV789" s="4"/>
    </row>
    <row r="790">
      <c r="A790" s="2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  <c r="CI790" s="4"/>
      <c r="CJ790" s="4"/>
      <c r="CK790" s="4"/>
      <c r="CL790" s="4"/>
      <c r="CM790" s="4"/>
      <c r="CN790" s="4"/>
      <c r="CO790" s="4"/>
      <c r="CP790" s="4"/>
      <c r="CQ790" s="4"/>
      <c r="CR790" s="4"/>
      <c r="CS790" s="4"/>
      <c r="CT790" s="4"/>
      <c r="CU790" s="4"/>
      <c r="CV790" s="4"/>
      <c r="CW790" s="4"/>
      <c r="CX790" s="4"/>
      <c r="CY790" s="4"/>
      <c r="CZ790" s="4"/>
      <c r="DA790" s="4"/>
      <c r="DB790" s="4"/>
      <c r="DC790" s="4"/>
      <c r="DD790" s="4"/>
      <c r="DE790" s="4"/>
      <c r="DF790" s="4"/>
      <c r="DG790" s="4"/>
      <c r="DH790" s="4"/>
      <c r="DI790" s="4"/>
      <c r="DJ790" s="4"/>
      <c r="DK790" s="4"/>
      <c r="DL790" s="4"/>
      <c r="DM790" s="4"/>
      <c r="DN790" s="4"/>
      <c r="DO790" s="4"/>
      <c r="DP790" s="4"/>
      <c r="DQ790" s="4"/>
      <c r="DR790" s="4"/>
      <c r="DS790" s="4"/>
      <c r="DT790" s="4"/>
      <c r="DU790" s="4"/>
      <c r="DV790" s="4"/>
    </row>
    <row r="791">
      <c r="A791" s="2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  <c r="CI791" s="4"/>
      <c r="CJ791" s="4"/>
      <c r="CK791" s="4"/>
      <c r="CL791" s="4"/>
      <c r="CM791" s="4"/>
      <c r="CN791" s="4"/>
      <c r="CO791" s="4"/>
      <c r="CP791" s="4"/>
      <c r="CQ791" s="4"/>
      <c r="CR791" s="4"/>
      <c r="CS791" s="4"/>
      <c r="CT791" s="4"/>
      <c r="CU791" s="4"/>
      <c r="CV791" s="4"/>
      <c r="CW791" s="4"/>
      <c r="CX791" s="4"/>
      <c r="CY791" s="4"/>
      <c r="CZ791" s="4"/>
      <c r="DA791" s="4"/>
      <c r="DB791" s="4"/>
      <c r="DC791" s="4"/>
      <c r="DD791" s="4"/>
      <c r="DE791" s="4"/>
      <c r="DF791" s="4"/>
      <c r="DG791" s="4"/>
      <c r="DH791" s="4"/>
      <c r="DI791" s="4"/>
      <c r="DJ791" s="4"/>
      <c r="DK791" s="4"/>
      <c r="DL791" s="4"/>
      <c r="DM791" s="4"/>
      <c r="DN791" s="4"/>
      <c r="DO791" s="4"/>
      <c r="DP791" s="4"/>
      <c r="DQ791" s="4"/>
      <c r="DR791" s="4"/>
      <c r="DS791" s="4"/>
      <c r="DT791" s="4"/>
      <c r="DU791" s="4"/>
      <c r="DV791" s="4"/>
    </row>
    <row r="792">
      <c r="A792" s="2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  <c r="CI792" s="4"/>
      <c r="CJ792" s="4"/>
      <c r="CK792" s="4"/>
      <c r="CL792" s="4"/>
      <c r="CM792" s="4"/>
      <c r="CN792" s="4"/>
      <c r="CO792" s="4"/>
      <c r="CP792" s="4"/>
      <c r="CQ792" s="4"/>
      <c r="CR792" s="4"/>
      <c r="CS792" s="4"/>
      <c r="CT792" s="4"/>
      <c r="CU792" s="4"/>
      <c r="CV792" s="4"/>
      <c r="CW792" s="4"/>
      <c r="CX792" s="4"/>
      <c r="CY792" s="4"/>
      <c r="CZ792" s="4"/>
      <c r="DA792" s="4"/>
      <c r="DB792" s="4"/>
      <c r="DC792" s="4"/>
      <c r="DD792" s="4"/>
      <c r="DE792" s="4"/>
      <c r="DF792" s="4"/>
      <c r="DG792" s="4"/>
      <c r="DH792" s="4"/>
      <c r="DI792" s="4"/>
      <c r="DJ792" s="4"/>
      <c r="DK792" s="4"/>
      <c r="DL792" s="4"/>
      <c r="DM792" s="4"/>
      <c r="DN792" s="4"/>
      <c r="DO792" s="4"/>
      <c r="DP792" s="4"/>
      <c r="DQ792" s="4"/>
      <c r="DR792" s="4"/>
      <c r="DS792" s="4"/>
      <c r="DT792" s="4"/>
      <c r="DU792" s="4"/>
      <c r="DV792" s="4"/>
    </row>
    <row r="793">
      <c r="A793" s="2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  <c r="CI793" s="4"/>
      <c r="CJ793" s="4"/>
      <c r="CK793" s="4"/>
      <c r="CL793" s="4"/>
      <c r="CM793" s="4"/>
      <c r="CN793" s="4"/>
      <c r="CO793" s="4"/>
      <c r="CP793" s="4"/>
      <c r="CQ793" s="4"/>
      <c r="CR793" s="4"/>
      <c r="CS793" s="4"/>
      <c r="CT793" s="4"/>
      <c r="CU793" s="4"/>
      <c r="CV793" s="4"/>
      <c r="CW793" s="4"/>
      <c r="CX793" s="4"/>
      <c r="CY793" s="4"/>
      <c r="CZ793" s="4"/>
      <c r="DA793" s="4"/>
      <c r="DB793" s="4"/>
      <c r="DC793" s="4"/>
      <c r="DD793" s="4"/>
      <c r="DE793" s="4"/>
      <c r="DF793" s="4"/>
      <c r="DG793" s="4"/>
      <c r="DH793" s="4"/>
      <c r="DI793" s="4"/>
      <c r="DJ793" s="4"/>
      <c r="DK793" s="4"/>
      <c r="DL793" s="4"/>
      <c r="DM793" s="4"/>
      <c r="DN793" s="4"/>
      <c r="DO793" s="4"/>
      <c r="DP793" s="4"/>
      <c r="DQ793" s="4"/>
      <c r="DR793" s="4"/>
      <c r="DS793" s="4"/>
      <c r="DT793" s="4"/>
      <c r="DU793" s="4"/>
      <c r="DV793" s="4"/>
    </row>
    <row r="794">
      <c r="A794" s="2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  <c r="CI794" s="4"/>
      <c r="CJ794" s="4"/>
      <c r="CK794" s="4"/>
      <c r="CL794" s="4"/>
      <c r="CM794" s="4"/>
      <c r="CN794" s="4"/>
      <c r="CO794" s="4"/>
      <c r="CP794" s="4"/>
      <c r="CQ794" s="4"/>
      <c r="CR794" s="4"/>
      <c r="CS794" s="4"/>
      <c r="CT794" s="4"/>
      <c r="CU794" s="4"/>
      <c r="CV794" s="4"/>
      <c r="CW794" s="4"/>
      <c r="CX794" s="4"/>
      <c r="CY794" s="4"/>
      <c r="CZ794" s="4"/>
      <c r="DA794" s="4"/>
      <c r="DB794" s="4"/>
      <c r="DC794" s="4"/>
      <c r="DD794" s="4"/>
      <c r="DE794" s="4"/>
      <c r="DF794" s="4"/>
      <c r="DG794" s="4"/>
      <c r="DH794" s="4"/>
      <c r="DI794" s="4"/>
      <c r="DJ794" s="4"/>
      <c r="DK794" s="4"/>
      <c r="DL794" s="4"/>
      <c r="DM794" s="4"/>
      <c r="DN794" s="4"/>
      <c r="DO794" s="4"/>
      <c r="DP794" s="4"/>
      <c r="DQ794" s="4"/>
      <c r="DR794" s="4"/>
      <c r="DS794" s="4"/>
      <c r="DT794" s="4"/>
      <c r="DU794" s="4"/>
      <c r="DV794" s="4"/>
    </row>
    <row r="795">
      <c r="A795" s="2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  <c r="CI795" s="4"/>
      <c r="CJ795" s="4"/>
      <c r="CK795" s="4"/>
      <c r="CL795" s="4"/>
      <c r="CM795" s="4"/>
      <c r="CN795" s="4"/>
      <c r="CO795" s="4"/>
      <c r="CP795" s="4"/>
      <c r="CQ795" s="4"/>
      <c r="CR795" s="4"/>
      <c r="CS795" s="4"/>
      <c r="CT795" s="4"/>
      <c r="CU795" s="4"/>
      <c r="CV795" s="4"/>
      <c r="CW795" s="4"/>
      <c r="CX795" s="4"/>
      <c r="CY795" s="4"/>
      <c r="CZ795" s="4"/>
      <c r="DA795" s="4"/>
      <c r="DB795" s="4"/>
      <c r="DC795" s="4"/>
      <c r="DD795" s="4"/>
      <c r="DE795" s="4"/>
      <c r="DF795" s="4"/>
      <c r="DG795" s="4"/>
      <c r="DH795" s="4"/>
      <c r="DI795" s="4"/>
      <c r="DJ795" s="4"/>
      <c r="DK795" s="4"/>
      <c r="DL795" s="4"/>
      <c r="DM795" s="4"/>
      <c r="DN795" s="4"/>
      <c r="DO795" s="4"/>
      <c r="DP795" s="4"/>
      <c r="DQ795" s="4"/>
      <c r="DR795" s="4"/>
      <c r="DS795" s="4"/>
      <c r="DT795" s="4"/>
      <c r="DU795" s="4"/>
      <c r="DV795" s="4"/>
    </row>
    <row r="796">
      <c r="A796" s="2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  <c r="CI796" s="4"/>
      <c r="CJ796" s="4"/>
      <c r="CK796" s="4"/>
      <c r="CL796" s="4"/>
      <c r="CM796" s="4"/>
      <c r="CN796" s="4"/>
      <c r="CO796" s="4"/>
      <c r="CP796" s="4"/>
      <c r="CQ796" s="4"/>
      <c r="CR796" s="4"/>
      <c r="CS796" s="4"/>
      <c r="CT796" s="4"/>
      <c r="CU796" s="4"/>
      <c r="CV796" s="4"/>
      <c r="CW796" s="4"/>
      <c r="CX796" s="4"/>
      <c r="CY796" s="4"/>
      <c r="CZ796" s="4"/>
      <c r="DA796" s="4"/>
      <c r="DB796" s="4"/>
      <c r="DC796" s="4"/>
      <c r="DD796" s="4"/>
      <c r="DE796" s="4"/>
      <c r="DF796" s="4"/>
      <c r="DG796" s="4"/>
      <c r="DH796" s="4"/>
      <c r="DI796" s="4"/>
      <c r="DJ796" s="4"/>
      <c r="DK796" s="4"/>
      <c r="DL796" s="4"/>
      <c r="DM796" s="4"/>
      <c r="DN796" s="4"/>
      <c r="DO796" s="4"/>
      <c r="DP796" s="4"/>
      <c r="DQ796" s="4"/>
      <c r="DR796" s="4"/>
      <c r="DS796" s="4"/>
      <c r="DT796" s="4"/>
      <c r="DU796" s="4"/>
      <c r="DV796" s="4"/>
    </row>
    <row r="797">
      <c r="A797" s="2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  <c r="CI797" s="4"/>
      <c r="CJ797" s="4"/>
      <c r="CK797" s="4"/>
      <c r="CL797" s="4"/>
      <c r="CM797" s="4"/>
      <c r="CN797" s="4"/>
      <c r="CO797" s="4"/>
      <c r="CP797" s="4"/>
      <c r="CQ797" s="4"/>
      <c r="CR797" s="4"/>
      <c r="CS797" s="4"/>
      <c r="CT797" s="4"/>
      <c r="CU797" s="4"/>
      <c r="CV797" s="4"/>
      <c r="CW797" s="4"/>
      <c r="CX797" s="4"/>
      <c r="CY797" s="4"/>
      <c r="CZ797" s="4"/>
      <c r="DA797" s="4"/>
      <c r="DB797" s="4"/>
      <c r="DC797" s="4"/>
      <c r="DD797" s="4"/>
      <c r="DE797" s="4"/>
      <c r="DF797" s="4"/>
      <c r="DG797" s="4"/>
      <c r="DH797" s="4"/>
      <c r="DI797" s="4"/>
      <c r="DJ797" s="4"/>
      <c r="DK797" s="4"/>
      <c r="DL797" s="4"/>
      <c r="DM797" s="4"/>
      <c r="DN797" s="4"/>
      <c r="DO797" s="4"/>
      <c r="DP797" s="4"/>
      <c r="DQ797" s="4"/>
      <c r="DR797" s="4"/>
      <c r="DS797" s="4"/>
      <c r="DT797" s="4"/>
      <c r="DU797" s="4"/>
      <c r="DV797" s="4"/>
    </row>
    <row r="798">
      <c r="A798" s="2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  <c r="CI798" s="4"/>
      <c r="CJ798" s="4"/>
      <c r="CK798" s="4"/>
      <c r="CL798" s="4"/>
      <c r="CM798" s="4"/>
      <c r="CN798" s="4"/>
      <c r="CO798" s="4"/>
      <c r="CP798" s="4"/>
      <c r="CQ798" s="4"/>
      <c r="CR798" s="4"/>
      <c r="CS798" s="4"/>
      <c r="CT798" s="4"/>
      <c r="CU798" s="4"/>
      <c r="CV798" s="4"/>
      <c r="CW798" s="4"/>
      <c r="CX798" s="4"/>
      <c r="CY798" s="4"/>
      <c r="CZ798" s="4"/>
      <c r="DA798" s="4"/>
      <c r="DB798" s="4"/>
      <c r="DC798" s="4"/>
      <c r="DD798" s="4"/>
      <c r="DE798" s="4"/>
      <c r="DF798" s="4"/>
      <c r="DG798" s="4"/>
      <c r="DH798" s="4"/>
      <c r="DI798" s="4"/>
      <c r="DJ798" s="4"/>
      <c r="DK798" s="4"/>
      <c r="DL798" s="4"/>
      <c r="DM798" s="4"/>
      <c r="DN798" s="4"/>
      <c r="DO798" s="4"/>
      <c r="DP798" s="4"/>
      <c r="DQ798" s="4"/>
      <c r="DR798" s="4"/>
      <c r="DS798" s="4"/>
      <c r="DT798" s="4"/>
      <c r="DU798" s="4"/>
      <c r="DV798" s="4"/>
    </row>
    <row r="799">
      <c r="A799" s="2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  <c r="CI799" s="4"/>
      <c r="CJ799" s="4"/>
      <c r="CK799" s="4"/>
      <c r="CL799" s="4"/>
      <c r="CM799" s="4"/>
      <c r="CN799" s="4"/>
      <c r="CO799" s="4"/>
      <c r="CP799" s="4"/>
      <c r="CQ799" s="4"/>
      <c r="CR799" s="4"/>
      <c r="CS799" s="4"/>
      <c r="CT799" s="4"/>
      <c r="CU799" s="4"/>
      <c r="CV799" s="4"/>
      <c r="CW799" s="4"/>
      <c r="CX799" s="4"/>
      <c r="CY799" s="4"/>
      <c r="CZ799" s="4"/>
      <c r="DA799" s="4"/>
      <c r="DB799" s="4"/>
      <c r="DC799" s="4"/>
      <c r="DD799" s="4"/>
      <c r="DE799" s="4"/>
      <c r="DF799" s="4"/>
      <c r="DG799" s="4"/>
      <c r="DH799" s="4"/>
      <c r="DI799" s="4"/>
      <c r="DJ799" s="4"/>
      <c r="DK799" s="4"/>
      <c r="DL799" s="4"/>
      <c r="DM799" s="4"/>
      <c r="DN799" s="4"/>
      <c r="DO799" s="4"/>
      <c r="DP799" s="4"/>
      <c r="DQ799" s="4"/>
      <c r="DR799" s="4"/>
      <c r="DS799" s="4"/>
      <c r="DT799" s="4"/>
      <c r="DU799" s="4"/>
      <c r="DV799" s="4"/>
    </row>
    <row r="800">
      <c r="A800" s="2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  <c r="CI800" s="4"/>
      <c r="CJ800" s="4"/>
      <c r="CK800" s="4"/>
      <c r="CL800" s="4"/>
      <c r="CM800" s="4"/>
      <c r="CN800" s="4"/>
      <c r="CO800" s="4"/>
      <c r="CP800" s="4"/>
      <c r="CQ800" s="4"/>
      <c r="CR800" s="4"/>
      <c r="CS800" s="4"/>
      <c r="CT800" s="4"/>
      <c r="CU800" s="4"/>
      <c r="CV800" s="4"/>
      <c r="CW800" s="4"/>
      <c r="CX800" s="4"/>
      <c r="CY800" s="4"/>
      <c r="CZ800" s="4"/>
      <c r="DA800" s="4"/>
      <c r="DB800" s="4"/>
      <c r="DC800" s="4"/>
      <c r="DD800" s="4"/>
      <c r="DE800" s="4"/>
      <c r="DF800" s="4"/>
      <c r="DG800" s="4"/>
      <c r="DH800" s="4"/>
      <c r="DI800" s="4"/>
      <c r="DJ800" s="4"/>
      <c r="DK800" s="4"/>
      <c r="DL800" s="4"/>
      <c r="DM800" s="4"/>
      <c r="DN800" s="4"/>
      <c r="DO800" s="4"/>
      <c r="DP800" s="4"/>
      <c r="DQ800" s="4"/>
      <c r="DR800" s="4"/>
      <c r="DS800" s="4"/>
      <c r="DT800" s="4"/>
      <c r="DU800" s="4"/>
      <c r="DV800" s="4"/>
    </row>
    <row r="801">
      <c r="A801" s="2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  <c r="CI801" s="4"/>
      <c r="CJ801" s="4"/>
      <c r="CK801" s="4"/>
      <c r="CL801" s="4"/>
      <c r="CM801" s="4"/>
      <c r="CN801" s="4"/>
      <c r="CO801" s="4"/>
      <c r="CP801" s="4"/>
      <c r="CQ801" s="4"/>
      <c r="CR801" s="4"/>
      <c r="CS801" s="4"/>
      <c r="CT801" s="4"/>
      <c r="CU801" s="4"/>
      <c r="CV801" s="4"/>
      <c r="CW801" s="4"/>
      <c r="CX801" s="4"/>
      <c r="CY801" s="4"/>
      <c r="CZ801" s="4"/>
      <c r="DA801" s="4"/>
      <c r="DB801" s="4"/>
      <c r="DC801" s="4"/>
      <c r="DD801" s="4"/>
      <c r="DE801" s="4"/>
      <c r="DF801" s="4"/>
      <c r="DG801" s="4"/>
      <c r="DH801" s="4"/>
      <c r="DI801" s="4"/>
      <c r="DJ801" s="4"/>
      <c r="DK801" s="4"/>
      <c r="DL801" s="4"/>
      <c r="DM801" s="4"/>
      <c r="DN801" s="4"/>
      <c r="DO801" s="4"/>
      <c r="DP801" s="4"/>
      <c r="DQ801" s="4"/>
      <c r="DR801" s="4"/>
      <c r="DS801" s="4"/>
      <c r="DT801" s="4"/>
      <c r="DU801" s="4"/>
      <c r="DV801" s="4"/>
    </row>
    <row r="802">
      <c r="A802" s="2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  <c r="CI802" s="4"/>
      <c r="CJ802" s="4"/>
      <c r="CK802" s="4"/>
      <c r="CL802" s="4"/>
      <c r="CM802" s="4"/>
      <c r="CN802" s="4"/>
      <c r="CO802" s="4"/>
      <c r="CP802" s="4"/>
      <c r="CQ802" s="4"/>
      <c r="CR802" s="4"/>
      <c r="CS802" s="4"/>
      <c r="CT802" s="4"/>
      <c r="CU802" s="4"/>
      <c r="CV802" s="4"/>
      <c r="CW802" s="4"/>
      <c r="CX802" s="4"/>
      <c r="CY802" s="4"/>
      <c r="CZ802" s="4"/>
      <c r="DA802" s="4"/>
      <c r="DB802" s="4"/>
      <c r="DC802" s="4"/>
      <c r="DD802" s="4"/>
      <c r="DE802" s="4"/>
      <c r="DF802" s="4"/>
      <c r="DG802" s="4"/>
      <c r="DH802" s="4"/>
      <c r="DI802" s="4"/>
      <c r="DJ802" s="4"/>
      <c r="DK802" s="4"/>
      <c r="DL802" s="4"/>
      <c r="DM802" s="4"/>
      <c r="DN802" s="4"/>
      <c r="DO802" s="4"/>
      <c r="DP802" s="4"/>
      <c r="DQ802" s="4"/>
      <c r="DR802" s="4"/>
      <c r="DS802" s="4"/>
      <c r="DT802" s="4"/>
      <c r="DU802" s="4"/>
      <c r="DV802" s="4"/>
    </row>
    <row r="803">
      <c r="A803" s="2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  <c r="CI803" s="4"/>
      <c r="CJ803" s="4"/>
      <c r="CK803" s="4"/>
      <c r="CL803" s="4"/>
      <c r="CM803" s="4"/>
      <c r="CN803" s="4"/>
      <c r="CO803" s="4"/>
      <c r="CP803" s="4"/>
      <c r="CQ803" s="4"/>
      <c r="CR803" s="4"/>
      <c r="CS803" s="4"/>
      <c r="CT803" s="4"/>
      <c r="CU803" s="4"/>
      <c r="CV803" s="4"/>
      <c r="CW803" s="4"/>
      <c r="CX803" s="4"/>
      <c r="CY803" s="4"/>
      <c r="CZ803" s="4"/>
      <c r="DA803" s="4"/>
      <c r="DB803" s="4"/>
      <c r="DC803" s="4"/>
      <c r="DD803" s="4"/>
      <c r="DE803" s="4"/>
      <c r="DF803" s="4"/>
      <c r="DG803" s="4"/>
      <c r="DH803" s="4"/>
      <c r="DI803" s="4"/>
      <c r="DJ803" s="4"/>
      <c r="DK803" s="4"/>
      <c r="DL803" s="4"/>
      <c r="DM803" s="4"/>
      <c r="DN803" s="4"/>
      <c r="DO803" s="4"/>
      <c r="DP803" s="4"/>
      <c r="DQ803" s="4"/>
      <c r="DR803" s="4"/>
      <c r="DS803" s="4"/>
      <c r="DT803" s="4"/>
      <c r="DU803" s="4"/>
      <c r="DV803" s="4"/>
    </row>
    <row r="804">
      <c r="A804" s="2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  <c r="CI804" s="4"/>
      <c r="CJ804" s="4"/>
      <c r="CK804" s="4"/>
      <c r="CL804" s="4"/>
      <c r="CM804" s="4"/>
      <c r="CN804" s="4"/>
      <c r="CO804" s="4"/>
      <c r="CP804" s="4"/>
      <c r="CQ804" s="4"/>
      <c r="CR804" s="4"/>
      <c r="CS804" s="4"/>
      <c r="CT804" s="4"/>
      <c r="CU804" s="4"/>
      <c r="CV804" s="4"/>
      <c r="CW804" s="4"/>
      <c r="CX804" s="4"/>
      <c r="CY804" s="4"/>
      <c r="CZ804" s="4"/>
      <c r="DA804" s="4"/>
      <c r="DB804" s="4"/>
      <c r="DC804" s="4"/>
      <c r="DD804" s="4"/>
      <c r="DE804" s="4"/>
      <c r="DF804" s="4"/>
      <c r="DG804" s="4"/>
      <c r="DH804" s="4"/>
      <c r="DI804" s="4"/>
      <c r="DJ804" s="4"/>
      <c r="DK804" s="4"/>
      <c r="DL804" s="4"/>
      <c r="DM804" s="4"/>
      <c r="DN804" s="4"/>
      <c r="DO804" s="4"/>
      <c r="DP804" s="4"/>
      <c r="DQ804" s="4"/>
      <c r="DR804" s="4"/>
      <c r="DS804" s="4"/>
      <c r="DT804" s="4"/>
      <c r="DU804" s="4"/>
      <c r="DV804" s="4"/>
    </row>
    <row r="805">
      <c r="A805" s="2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  <c r="CI805" s="4"/>
      <c r="CJ805" s="4"/>
      <c r="CK805" s="4"/>
      <c r="CL805" s="4"/>
      <c r="CM805" s="4"/>
      <c r="CN805" s="4"/>
      <c r="CO805" s="4"/>
      <c r="CP805" s="4"/>
      <c r="CQ805" s="4"/>
      <c r="CR805" s="4"/>
      <c r="CS805" s="4"/>
      <c r="CT805" s="4"/>
      <c r="CU805" s="4"/>
      <c r="CV805" s="4"/>
      <c r="CW805" s="4"/>
      <c r="CX805" s="4"/>
      <c r="CY805" s="4"/>
      <c r="CZ805" s="4"/>
      <c r="DA805" s="4"/>
      <c r="DB805" s="4"/>
      <c r="DC805" s="4"/>
      <c r="DD805" s="4"/>
      <c r="DE805" s="4"/>
      <c r="DF805" s="4"/>
      <c r="DG805" s="4"/>
      <c r="DH805" s="4"/>
      <c r="DI805" s="4"/>
      <c r="DJ805" s="4"/>
      <c r="DK805" s="4"/>
      <c r="DL805" s="4"/>
      <c r="DM805" s="4"/>
      <c r="DN805" s="4"/>
      <c r="DO805" s="4"/>
      <c r="DP805" s="4"/>
      <c r="DQ805" s="4"/>
      <c r="DR805" s="4"/>
      <c r="DS805" s="4"/>
      <c r="DT805" s="4"/>
      <c r="DU805" s="4"/>
      <c r="DV805" s="4"/>
    </row>
    <row r="806">
      <c r="A806" s="2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  <c r="CI806" s="4"/>
      <c r="CJ806" s="4"/>
      <c r="CK806" s="4"/>
      <c r="CL806" s="4"/>
      <c r="CM806" s="4"/>
      <c r="CN806" s="4"/>
      <c r="CO806" s="4"/>
      <c r="CP806" s="4"/>
      <c r="CQ806" s="4"/>
      <c r="CR806" s="4"/>
      <c r="CS806" s="4"/>
      <c r="CT806" s="4"/>
      <c r="CU806" s="4"/>
      <c r="CV806" s="4"/>
      <c r="CW806" s="4"/>
      <c r="CX806" s="4"/>
      <c r="CY806" s="4"/>
      <c r="CZ806" s="4"/>
      <c r="DA806" s="4"/>
      <c r="DB806" s="4"/>
      <c r="DC806" s="4"/>
      <c r="DD806" s="4"/>
      <c r="DE806" s="4"/>
      <c r="DF806" s="4"/>
      <c r="DG806" s="4"/>
      <c r="DH806" s="4"/>
      <c r="DI806" s="4"/>
      <c r="DJ806" s="4"/>
      <c r="DK806" s="4"/>
      <c r="DL806" s="4"/>
      <c r="DM806" s="4"/>
      <c r="DN806" s="4"/>
      <c r="DO806" s="4"/>
      <c r="DP806" s="4"/>
      <c r="DQ806" s="4"/>
      <c r="DR806" s="4"/>
      <c r="DS806" s="4"/>
      <c r="DT806" s="4"/>
      <c r="DU806" s="4"/>
      <c r="DV806" s="4"/>
    </row>
    <row r="807">
      <c r="A807" s="2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  <c r="CI807" s="4"/>
      <c r="CJ807" s="4"/>
      <c r="CK807" s="4"/>
      <c r="CL807" s="4"/>
      <c r="CM807" s="4"/>
      <c r="CN807" s="4"/>
      <c r="CO807" s="4"/>
      <c r="CP807" s="4"/>
      <c r="CQ807" s="4"/>
      <c r="CR807" s="4"/>
      <c r="CS807" s="4"/>
      <c r="CT807" s="4"/>
      <c r="CU807" s="4"/>
      <c r="CV807" s="4"/>
      <c r="CW807" s="4"/>
      <c r="CX807" s="4"/>
      <c r="CY807" s="4"/>
      <c r="CZ807" s="4"/>
      <c r="DA807" s="4"/>
      <c r="DB807" s="4"/>
      <c r="DC807" s="4"/>
      <c r="DD807" s="4"/>
      <c r="DE807" s="4"/>
      <c r="DF807" s="4"/>
      <c r="DG807" s="4"/>
      <c r="DH807" s="4"/>
      <c r="DI807" s="4"/>
      <c r="DJ807" s="4"/>
      <c r="DK807" s="4"/>
      <c r="DL807" s="4"/>
      <c r="DM807" s="4"/>
      <c r="DN807" s="4"/>
      <c r="DO807" s="4"/>
      <c r="DP807" s="4"/>
      <c r="DQ807" s="4"/>
      <c r="DR807" s="4"/>
      <c r="DS807" s="4"/>
      <c r="DT807" s="4"/>
      <c r="DU807" s="4"/>
      <c r="DV807" s="4"/>
    </row>
    <row r="808">
      <c r="A808" s="2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  <c r="CI808" s="4"/>
      <c r="CJ808" s="4"/>
      <c r="CK808" s="4"/>
      <c r="CL808" s="4"/>
      <c r="CM808" s="4"/>
      <c r="CN808" s="4"/>
      <c r="CO808" s="4"/>
      <c r="CP808" s="4"/>
      <c r="CQ808" s="4"/>
      <c r="CR808" s="4"/>
      <c r="CS808" s="4"/>
      <c r="CT808" s="4"/>
      <c r="CU808" s="4"/>
      <c r="CV808" s="4"/>
      <c r="CW808" s="4"/>
      <c r="CX808" s="4"/>
      <c r="CY808" s="4"/>
      <c r="CZ808" s="4"/>
      <c r="DA808" s="4"/>
      <c r="DB808" s="4"/>
      <c r="DC808" s="4"/>
      <c r="DD808" s="4"/>
      <c r="DE808" s="4"/>
      <c r="DF808" s="4"/>
      <c r="DG808" s="4"/>
      <c r="DH808" s="4"/>
      <c r="DI808" s="4"/>
      <c r="DJ808" s="4"/>
      <c r="DK808" s="4"/>
      <c r="DL808" s="4"/>
      <c r="DM808" s="4"/>
      <c r="DN808" s="4"/>
      <c r="DO808" s="4"/>
      <c r="DP808" s="4"/>
      <c r="DQ808" s="4"/>
      <c r="DR808" s="4"/>
      <c r="DS808" s="4"/>
      <c r="DT808" s="4"/>
      <c r="DU808" s="4"/>
      <c r="DV808" s="4"/>
    </row>
    <row r="809">
      <c r="A809" s="2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  <c r="CI809" s="4"/>
      <c r="CJ809" s="4"/>
      <c r="CK809" s="4"/>
      <c r="CL809" s="4"/>
      <c r="CM809" s="4"/>
      <c r="CN809" s="4"/>
      <c r="CO809" s="4"/>
      <c r="CP809" s="4"/>
      <c r="CQ809" s="4"/>
      <c r="CR809" s="4"/>
      <c r="CS809" s="4"/>
      <c r="CT809" s="4"/>
      <c r="CU809" s="4"/>
      <c r="CV809" s="4"/>
      <c r="CW809" s="4"/>
      <c r="CX809" s="4"/>
      <c r="CY809" s="4"/>
      <c r="CZ809" s="4"/>
      <c r="DA809" s="4"/>
      <c r="DB809" s="4"/>
      <c r="DC809" s="4"/>
      <c r="DD809" s="4"/>
      <c r="DE809" s="4"/>
      <c r="DF809" s="4"/>
      <c r="DG809" s="4"/>
      <c r="DH809" s="4"/>
      <c r="DI809" s="4"/>
      <c r="DJ809" s="4"/>
      <c r="DK809" s="4"/>
      <c r="DL809" s="4"/>
      <c r="DM809" s="4"/>
      <c r="DN809" s="4"/>
      <c r="DO809" s="4"/>
      <c r="DP809" s="4"/>
      <c r="DQ809" s="4"/>
      <c r="DR809" s="4"/>
      <c r="DS809" s="4"/>
      <c r="DT809" s="4"/>
      <c r="DU809" s="4"/>
      <c r="DV809" s="4"/>
    </row>
    <row r="810">
      <c r="A810" s="2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  <c r="CI810" s="4"/>
      <c r="CJ810" s="4"/>
      <c r="CK810" s="4"/>
      <c r="CL810" s="4"/>
      <c r="CM810" s="4"/>
      <c r="CN810" s="4"/>
      <c r="CO810" s="4"/>
      <c r="CP810" s="4"/>
      <c r="CQ810" s="4"/>
      <c r="CR810" s="4"/>
      <c r="CS810" s="4"/>
      <c r="CT810" s="4"/>
      <c r="CU810" s="4"/>
      <c r="CV810" s="4"/>
      <c r="CW810" s="4"/>
      <c r="CX810" s="4"/>
      <c r="CY810" s="4"/>
      <c r="CZ810" s="4"/>
      <c r="DA810" s="4"/>
      <c r="DB810" s="4"/>
      <c r="DC810" s="4"/>
      <c r="DD810" s="4"/>
      <c r="DE810" s="4"/>
      <c r="DF810" s="4"/>
      <c r="DG810" s="4"/>
      <c r="DH810" s="4"/>
      <c r="DI810" s="4"/>
      <c r="DJ810" s="4"/>
      <c r="DK810" s="4"/>
      <c r="DL810" s="4"/>
      <c r="DM810" s="4"/>
      <c r="DN810" s="4"/>
      <c r="DO810" s="4"/>
      <c r="DP810" s="4"/>
      <c r="DQ810" s="4"/>
      <c r="DR810" s="4"/>
      <c r="DS810" s="4"/>
      <c r="DT810" s="4"/>
      <c r="DU810" s="4"/>
      <c r="DV810" s="4"/>
    </row>
    <row r="811">
      <c r="A811" s="2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  <c r="CI811" s="4"/>
      <c r="CJ811" s="4"/>
      <c r="CK811" s="4"/>
      <c r="CL811" s="4"/>
      <c r="CM811" s="4"/>
      <c r="CN811" s="4"/>
      <c r="CO811" s="4"/>
      <c r="CP811" s="4"/>
      <c r="CQ811" s="4"/>
      <c r="CR811" s="4"/>
      <c r="CS811" s="4"/>
      <c r="CT811" s="4"/>
      <c r="CU811" s="4"/>
      <c r="CV811" s="4"/>
      <c r="CW811" s="4"/>
      <c r="CX811" s="4"/>
      <c r="CY811" s="4"/>
      <c r="CZ811" s="4"/>
      <c r="DA811" s="4"/>
      <c r="DB811" s="4"/>
      <c r="DC811" s="4"/>
      <c r="DD811" s="4"/>
      <c r="DE811" s="4"/>
      <c r="DF811" s="4"/>
      <c r="DG811" s="4"/>
      <c r="DH811" s="4"/>
      <c r="DI811" s="4"/>
      <c r="DJ811" s="4"/>
      <c r="DK811" s="4"/>
      <c r="DL811" s="4"/>
      <c r="DM811" s="4"/>
      <c r="DN811" s="4"/>
      <c r="DO811" s="4"/>
      <c r="DP811" s="4"/>
      <c r="DQ811" s="4"/>
      <c r="DR811" s="4"/>
      <c r="DS811" s="4"/>
      <c r="DT811" s="4"/>
      <c r="DU811" s="4"/>
      <c r="DV811" s="4"/>
    </row>
    <row r="812">
      <c r="A812" s="2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  <c r="CI812" s="4"/>
      <c r="CJ812" s="4"/>
      <c r="CK812" s="4"/>
      <c r="CL812" s="4"/>
      <c r="CM812" s="4"/>
      <c r="CN812" s="4"/>
      <c r="CO812" s="4"/>
      <c r="CP812" s="4"/>
      <c r="CQ812" s="4"/>
      <c r="CR812" s="4"/>
      <c r="CS812" s="4"/>
      <c r="CT812" s="4"/>
      <c r="CU812" s="4"/>
      <c r="CV812" s="4"/>
      <c r="CW812" s="4"/>
      <c r="CX812" s="4"/>
      <c r="CY812" s="4"/>
      <c r="CZ812" s="4"/>
      <c r="DA812" s="4"/>
      <c r="DB812" s="4"/>
      <c r="DC812" s="4"/>
      <c r="DD812" s="4"/>
      <c r="DE812" s="4"/>
      <c r="DF812" s="4"/>
      <c r="DG812" s="4"/>
      <c r="DH812" s="4"/>
      <c r="DI812" s="4"/>
      <c r="DJ812" s="4"/>
      <c r="DK812" s="4"/>
      <c r="DL812" s="4"/>
      <c r="DM812" s="4"/>
      <c r="DN812" s="4"/>
      <c r="DO812" s="4"/>
      <c r="DP812" s="4"/>
      <c r="DQ812" s="4"/>
      <c r="DR812" s="4"/>
      <c r="DS812" s="4"/>
      <c r="DT812" s="4"/>
      <c r="DU812" s="4"/>
      <c r="DV812" s="4"/>
    </row>
    <row r="813">
      <c r="A813" s="2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  <c r="CI813" s="4"/>
      <c r="CJ813" s="4"/>
      <c r="CK813" s="4"/>
      <c r="CL813" s="4"/>
      <c r="CM813" s="4"/>
      <c r="CN813" s="4"/>
      <c r="CO813" s="4"/>
      <c r="CP813" s="4"/>
      <c r="CQ813" s="4"/>
      <c r="CR813" s="4"/>
      <c r="CS813" s="4"/>
      <c r="CT813" s="4"/>
      <c r="CU813" s="4"/>
      <c r="CV813" s="4"/>
      <c r="CW813" s="4"/>
      <c r="CX813" s="4"/>
      <c r="CY813" s="4"/>
      <c r="CZ813" s="4"/>
      <c r="DA813" s="4"/>
      <c r="DB813" s="4"/>
      <c r="DC813" s="4"/>
      <c r="DD813" s="4"/>
      <c r="DE813" s="4"/>
      <c r="DF813" s="4"/>
      <c r="DG813" s="4"/>
      <c r="DH813" s="4"/>
      <c r="DI813" s="4"/>
      <c r="DJ813" s="4"/>
      <c r="DK813" s="4"/>
      <c r="DL813" s="4"/>
      <c r="DM813" s="4"/>
      <c r="DN813" s="4"/>
      <c r="DO813" s="4"/>
      <c r="DP813" s="4"/>
      <c r="DQ813" s="4"/>
      <c r="DR813" s="4"/>
      <c r="DS813" s="4"/>
      <c r="DT813" s="4"/>
      <c r="DU813" s="4"/>
      <c r="DV813" s="4"/>
    </row>
    <row r="814">
      <c r="A814" s="2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  <c r="CI814" s="4"/>
      <c r="CJ814" s="4"/>
      <c r="CK814" s="4"/>
      <c r="CL814" s="4"/>
      <c r="CM814" s="4"/>
      <c r="CN814" s="4"/>
      <c r="CO814" s="4"/>
      <c r="CP814" s="4"/>
      <c r="CQ814" s="4"/>
      <c r="CR814" s="4"/>
      <c r="CS814" s="4"/>
      <c r="CT814" s="4"/>
      <c r="CU814" s="4"/>
      <c r="CV814" s="4"/>
      <c r="CW814" s="4"/>
      <c r="CX814" s="4"/>
      <c r="CY814" s="4"/>
      <c r="CZ814" s="4"/>
      <c r="DA814" s="4"/>
      <c r="DB814" s="4"/>
      <c r="DC814" s="4"/>
      <c r="DD814" s="4"/>
      <c r="DE814" s="4"/>
      <c r="DF814" s="4"/>
      <c r="DG814" s="4"/>
      <c r="DH814" s="4"/>
      <c r="DI814" s="4"/>
      <c r="DJ814" s="4"/>
      <c r="DK814" s="4"/>
      <c r="DL814" s="4"/>
      <c r="DM814" s="4"/>
      <c r="DN814" s="4"/>
      <c r="DO814" s="4"/>
      <c r="DP814" s="4"/>
      <c r="DQ814" s="4"/>
      <c r="DR814" s="4"/>
      <c r="DS814" s="4"/>
      <c r="DT814" s="4"/>
      <c r="DU814" s="4"/>
      <c r="DV814" s="4"/>
    </row>
    <row r="815">
      <c r="A815" s="2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  <c r="CI815" s="4"/>
      <c r="CJ815" s="4"/>
      <c r="CK815" s="4"/>
      <c r="CL815" s="4"/>
      <c r="CM815" s="4"/>
      <c r="CN815" s="4"/>
      <c r="CO815" s="4"/>
      <c r="CP815" s="4"/>
      <c r="CQ815" s="4"/>
      <c r="CR815" s="4"/>
      <c r="CS815" s="4"/>
      <c r="CT815" s="4"/>
      <c r="CU815" s="4"/>
      <c r="CV815" s="4"/>
      <c r="CW815" s="4"/>
      <c r="CX815" s="4"/>
      <c r="CY815" s="4"/>
      <c r="CZ815" s="4"/>
      <c r="DA815" s="4"/>
      <c r="DB815" s="4"/>
      <c r="DC815" s="4"/>
      <c r="DD815" s="4"/>
      <c r="DE815" s="4"/>
      <c r="DF815" s="4"/>
      <c r="DG815" s="4"/>
      <c r="DH815" s="4"/>
      <c r="DI815" s="4"/>
      <c r="DJ815" s="4"/>
      <c r="DK815" s="4"/>
      <c r="DL815" s="4"/>
      <c r="DM815" s="4"/>
      <c r="DN815" s="4"/>
      <c r="DO815" s="4"/>
      <c r="DP815" s="4"/>
      <c r="DQ815" s="4"/>
      <c r="DR815" s="4"/>
      <c r="DS815" s="4"/>
      <c r="DT815" s="4"/>
      <c r="DU815" s="4"/>
      <c r="DV815" s="4"/>
    </row>
    <row r="816">
      <c r="A816" s="2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  <c r="CI816" s="4"/>
      <c r="CJ816" s="4"/>
      <c r="CK816" s="4"/>
      <c r="CL816" s="4"/>
      <c r="CM816" s="4"/>
      <c r="CN816" s="4"/>
      <c r="CO816" s="4"/>
      <c r="CP816" s="4"/>
      <c r="CQ816" s="4"/>
      <c r="CR816" s="4"/>
      <c r="CS816" s="4"/>
      <c r="CT816" s="4"/>
      <c r="CU816" s="4"/>
      <c r="CV816" s="4"/>
      <c r="CW816" s="4"/>
      <c r="CX816" s="4"/>
      <c r="CY816" s="4"/>
      <c r="CZ816" s="4"/>
      <c r="DA816" s="4"/>
      <c r="DB816" s="4"/>
      <c r="DC816" s="4"/>
      <c r="DD816" s="4"/>
      <c r="DE816" s="4"/>
      <c r="DF816" s="4"/>
      <c r="DG816" s="4"/>
      <c r="DH816" s="4"/>
      <c r="DI816" s="4"/>
      <c r="DJ816" s="4"/>
      <c r="DK816" s="4"/>
      <c r="DL816" s="4"/>
      <c r="DM816" s="4"/>
      <c r="DN816" s="4"/>
      <c r="DO816" s="4"/>
      <c r="DP816" s="4"/>
      <c r="DQ816" s="4"/>
      <c r="DR816" s="4"/>
      <c r="DS816" s="4"/>
      <c r="DT816" s="4"/>
      <c r="DU816" s="4"/>
      <c r="DV816" s="4"/>
    </row>
    <row r="817">
      <c r="A817" s="2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  <c r="CI817" s="4"/>
      <c r="CJ817" s="4"/>
      <c r="CK817" s="4"/>
      <c r="CL817" s="4"/>
      <c r="CM817" s="4"/>
      <c r="CN817" s="4"/>
      <c r="CO817" s="4"/>
      <c r="CP817" s="4"/>
      <c r="CQ817" s="4"/>
      <c r="CR817" s="4"/>
      <c r="CS817" s="4"/>
      <c r="CT817" s="4"/>
      <c r="CU817" s="4"/>
      <c r="CV817" s="4"/>
      <c r="CW817" s="4"/>
      <c r="CX817" s="4"/>
      <c r="CY817" s="4"/>
      <c r="CZ817" s="4"/>
      <c r="DA817" s="4"/>
      <c r="DB817" s="4"/>
      <c r="DC817" s="4"/>
      <c r="DD817" s="4"/>
      <c r="DE817" s="4"/>
      <c r="DF817" s="4"/>
      <c r="DG817" s="4"/>
      <c r="DH817" s="4"/>
      <c r="DI817" s="4"/>
      <c r="DJ817" s="4"/>
      <c r="DK817" s="4"/>
      <c r="DL817" s="4"/>
      <c r="DM817" s="4"/>
      <c r="DN817" s="4"/>
      <c r="DO817" s="4"/>
      <c r="DP817" s="4"/>
      <c r="DQ817" s="4"/>
      <c r="DR817" s="4"/>
      <c r="DS817" s="4"/>
      <c r="DT817" s="4"/>
      <c r="DU817" s="4"/>
      <c r="DV817" s="4"/>
    </row>
    <row r="818">
      <c r="A818" s="2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  <c r="CI818" s="4"/>
      <c r="CJ818" s="4"/>
      <c r="CK818" s="4"/>
      <c r="CL818" s="4"/>
      <c r="CM818" s="4"/>
      <c r="CN818" s="4"/>
      <c r="CO818" s="4"/>
      <c r="CP818" s="4"/>
      <c r="CQ818" s="4"/>
      <c r="CR818" s="4"/>
      <c r="CS818" s="4"/>
      <c r="CT818" s="4"/>
      <c r="CU818" s="4"/>
      <c r="CV818" s="4"/>
      <c r="CW818" s="4"/>
      <c r="CX818" s="4"/>
      <c r="CY818" s="4"/>
      <c r="CZ818" s="4"/>
      <c r="DA818" s="4"/>
      <c r="DB818" s="4"/>
      <c r="DC818" s="4"/>
      <c r="DD818" s="4"/>
      <c r="DE818" s="4"/>
      <c r="DF818" s="4"/>
      <c r="DG818" s="4"/>
      <c r="DH818" s="4"/>
      <c r="DI818" s="4"/>
      <c r="DJ818" s="4"/>
      <c r="DK818" s="4"/>
      <c r="DL818" s="4"/>
      <c r="DM818" s="4"/>
      <c r="DN818" s="4"/>
      <c r="DO818" s="4"/>
      <c r="DP818" s="4"/>
      <c r="DQ818" s="4"/>
      <c r="DR818" s="4"/>
      <c r="DS818" s="4"/>
      <c r="DT818" s="4"/>
      <c r="DU818" s="4"/>
      <c r="DV818" s="4"/>
    </row>
    <row r="819">
      <c r="A819" s="2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  <c r="CI819" s="4"/>
      <c r="CJ819" s="4"/>
      <c r="CK819" s="4"/>
      <c r="CL819" s="4"/>
      <c r="CM819" s="4"/>
      <c r="CN819" s="4"/>
      <c r="CO819" s="4"/>
      <c r="CP819" s="4"/>
      <c r="CQ819" s="4"/>
      <c r="CR819" s="4"/>
      <c r="CS819" s="4"/>
      <c r="CT819" s="4"/>
      <c r="CU819" s="4"/>
      <c r="CV819" s="4"/>
      <c r="CW819" s="4"/>
      <c r="CX819" s="4"/>
      <c r="CY819" s="4"/>
      <c r="CZ819" s="4"/>
      <c r="DA819" s="4"/>
      <c r="DB819" s="4"/>
      <c r="DC819" s="4"/>
      <c r="DD819" s="4"/>
      <c r="DE819" s="4"/>
      <c r="DF819" s="4"/>
      <c r="DG819" s="4"/>
      <c r="DH819" s="4"/>
      <c r="DI819" s="4"/>
      <c r="DJ819" s="4"/>
      <c r="DK819" s="4"/>
      <c r="DL819" s="4"/>
      <c r="DM819" s="4"/>
      <c r="DN819" s="4"/>
      <c r="DO819" s="4"/>
      <c r="DP819" s="4"/>
      <c r="DQ819" s="4"/>
      <c r="DR819" s="4"/>
      <c r="DS819" s="4"/>
      <c r="DT819" s="4"/>
      <c r="DU819" s="4"/>
      <c r="DV819" s="4"/>
    </row>
    <row r="820">
      <c r="A820" s="2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  <c r="CI820" s="4"/>
      <c r="CJ820" s="4"/>
      <c r="CK820" s="4"/>
      <c r="CL820" s="4"/>
      <c r="CM820" s="4"/>
      <c r="CN820" s="4"/>
      <c r="CO820" s="4"/>
      <c r="CP820" s="4"/>
      <c r="CQ820" s="4"/>
      <c r="CR820" s="4"/>
      <c r="CS820" s="4"/>
      <c r="CT820" s="4"/>
      <c r="CU820" s="4"/>
      <c r="CV820" s="4"/>
      <c r="CW820" s="4"/>
      <c r="CX820" s="4"/>
      <c r="CY820" s="4"/>
      <c r="CZ820" s="4"/>
      <c r="DA820" s="4"/>
      <c r="DB820" s="4"/>
      <c r="DC820" s="4"/>
      <c r="DD820" s="4"/>
      <c r="DE820" s="4"/>
      <c r="DF820" s="4"/>
      <c r="DG820" s="4"/>
      <c r="DH820" s="4"/>
      <c r="DI820" s="4"/>
      <c r="DJ820" s="4"/>
      <c r="DK820" s="4"/>
      <c r="DL820" s="4"/>
      <c r="DM820" s="4"/>
      <c r="DN820" s="4"/>
      <c r="DO820" s="4"/>
      <c r="DP820" s="4"/>
      <c r="DQ820" s="4"/>
      <c r="DR820" s="4"/>
      <c r="DS820" s="4"/>
      <c r="DT820" s="4"/>
      <c r="DU820" s="4"/>
      <c r="DV820" s="4"/>
    </row>
    <row r="821">
      <c r="A821" s="2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  <c r="CI821" s="4"/>
      <c r="CJ821" s="4"/>
      <c r="CK821" s="4"/>
      <c r="CL821" s="4"/>
      <c r="CM821" s="4"/>
      <c r="CN821" s="4"/>
      <c r="CO821" s="4"/>
      <c r="CP821" s="4"/>
      <c r="CQ821" s="4"/>
      <c r="CR821" s="4"/>
      <c r="CS821" s="4"/>
      <c r="CT821" s="4"/>
      <c r="CU821" s="4"/>
      <c r="CV821" s="4"/>
      <c r="CW821" s="4"/>
      <c r="CX821" s="4"/>
      <c r="CY821" s="4"/>
      <c r="CZ821" s="4"/>
      <c r="DA821" s="4"/>
      <c r="DB821" s="4"/>
      <c r="DC821" s="4"/>
      <c r="DD821" s="4"/>
      <c r="DE821" s="4"/>
      <c r="DF821" s="4"/>
      <c r="DG821" s="4"/>
      <c r="DH821" s="4"/>
      <c r="DI821" s="4"/>
      <c r="DJ821" s="4"/>
      <c r="DK821" s="4"/>
      <c r="DL821" s="4"/>
      <c r="DM821" s="4"/>
      <c r="DN821" s="4"/>
      <c r="DO821" s="4"/>
      <c r="DP821" s="4"/>
      <c r="DQ821" s="4"/>
      <c r="DR821" s="4"/>
      <c r="DS821" s="4"/>
      <c r="DT821" s="4"/>
      <c r="DU821" s="4"/>
      <c r="DV821" s="4"/>
    </row>
    <row r="822">
      <c r="A822" s="2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  <c r="CI822" s="4"/>
      <c r="CJ822" s="4"/>
      <c r="CK822" s="4"/>
      <c r="CL822" s="4"/>
      <c r="CM822" s="4"/>
      <c r="CN822" s="4"/>
      <c r="CO822" s="4"/>
      <c r="CP822" s="4"/>
      <c r="CQ822" s="4"/>
      <c r="CR822" s="4"/>
      <c r="CS822" s="4"/>
      <c r="CT822" s="4"/>
      <c r="CU822" s="4"/>
      <c r="CV822" s="4"/>
      <c r="CW822" s="4"/>
      <c r="CX822" s="4"/>
      <c r="CY822" s="4"/>
      <c r="CZ822" s="4"/>
      <c r="DA822" s="4"/>
      <c r="DB822" s="4"/>
      <c r="DC822" s="4"/>
      <c r="DD822" s="4"/>
      <c r="DE822" s="4"/>
      <c r="DF822" s="4"/>
      <c r="DG822" s="4"/>
      <c r="DH822" s="4"/>
      <c r="DI822" s="4"/>
      <c r="DJ822" s="4"/>
      <c r="DK822" s="4"/>
      <c r="DL822" s="4"/>
      <c r="DM822" s="4"/>
      <c r="DN822" s="4"/>
      <c r="DO822" s="4"/>
      <c r="DP822" s="4"/>
      <c r="DQ822" s="4"/>
      <c r="DR822" s="4"/>
      <c r="DS822" s="4"/>
      <c r="DT822" s="4"/>
      <c r="DU822" s="4"/>
      <c r="DV822" s="4"/>
    </row>
    <row r="823">
      <c r="A823" s="2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  <c r="CI823" s="4"/>
      <c r="CJ823" s="4"/>
      <c r="CK823" s="4"/>
      <c r="CL823" s="4"/>
      <c r="CM823" s="4"/>
      <c r="CN823" s="4"/>
      <c r="CO823" s="4"/>
      <c r="CP823" s="4"/>
      <c r="CQ823" s="4"/>
      <c r="CR823" s="4"/>
      <c r="CS823" s="4"/>
      <c r="CT823" s="4"/>
      <c r="CU823" s="4"/>
      <c r="CV823" s="4"/>
      <c r="CW823" s="4"/>
      <c r="CX823" s="4"/>
      <c r="CY823" s="4"/>
      <c r="CZ823" s="4"/>
      <c r="DA823" s="4"/>
      <c r="DB823" s="4"/>
      <c r="DC823" s="4"/>
      <c r="DD823" s="4"/>
      <c r="DE823" s="4"/>
      <c r="DF823" s="4"/>
      <c r="DG823" s="4"/>
      <c r="DH823" s="4"/>
      <c r="DI823" s="4"/>
      <c r="DJ823" s="4"/>
      <c r="DK823" s="4"/>
      <c r="DL823" s="4"/>
      <c r="DM823" s="4"/>
      <c r="DN823" s="4"/>
      <c r="DO823" s="4"/>
      <c r="DP823" s="4"/>
      <c r="DQ823" s="4"/>
      <c r="DR823" s="4"/>
      <c r="DS823" s="4"/>
      <c r="DT823" s="4"/>
      <c r="DU823" s="4"/>
      <c r="DV823" s="4"/>
    </row>
    <row r="824">
      <c r="A824" s="2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  <c r="CI824" s="4"/>
      <c r="CJ824" s="4"/>
      <c r="CK824" s="4"/>
      <c r="CL824" s="4"/>
      <c r="CM824" s="4"/>
      <c r="CN824" s="4"/>
      <c r="CO824" s="4"/>
      <c r="CP824" s="4"/>
      <c r="CQ824" s="4"/>
      <c r="CR824" s="4"/>
      <c r="CS824" s="4"/>
      <c r="CT824" s="4"/>
      <c r="CU824" s="4"/>
      <c r="CV824" s="4"/>
      <c r="CW824" s="4"/>
      <c r="CX824" s="4"/>
      <c r="CY824" s="4"/>
      <c r="CZ824" s="4"/>
      <c r="DA824" s="4"/>
      <c r="DB824" s="4"/>
      <c r="DC824" s="4"/>
      <c r="DD824" s="4"/>
      <c r="DE824" s="4"/>
      <c r="DF824" s="4"/>
      <c r="DG824" s="4"/>
      <c r="DH824" s="4"/>
      <c r="DI824" s="4"/>
      <c r="DJ824" s="4"/>
      <c r="DK824" s="4"/>
      <c r="DL824" s="4"/>
      <c r="DM824" s="4"/>
      <c r="DN824" s="4"/>
      <c r="DO824" s="4"/>
      <c r="DP824" s="4"/>
      <c r="DQ824" s="4"/>
      <c r="DR824" s="4"/>
      <c r="DS824" s="4"/>
      <c r="DT824" s="4"/>
      <c r="DU824" s="4"/>
      <c r="DV824" s="4"/>
    </row>
    <row r="825">
      <c r="A825" s="2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  <c r="CI825" s="4"/>
      <c r="CJ825" s="4"/>
      <c r="CK825" s="4"/>
      <c r="CL825" s="4"/>
      <c r="CM825" s="4"/>
      <c r="CN825" s="4"/>
      <c r="CO825" s="4"/>
      <c r="CP825" s="4"/>
      <c r="CQ825" s="4"/>
      <c r="CR825" s="4"/>
      <c r="CS825" s="4"/>
      <c r="CT825" s="4"/>
      <c r="CU825" s="4"/>
      <c r="CV825" s="4"/>
      <c r="CW825" s="4"/>
      <c r="CX825" s="4"/>
      <c r="CY825" s="4"/>
      <c r="CZ825" s="4"/>
      <c r="DA825" s="4"/>
      <c r="DB825" s="4"/>
      <c r="DC825" s="4"/>
      <c r="DD825" s="4"/>
      <c r="DE825" s="4"/>
      <c r="DF825" s="4"/>
      <c r="DG825" s="4"/>
      <c r="DH825" s="4"/>
      <c r="DI825" s="4"/>
      <c r="DJ825" s="4"/>
      <c r="DK825" s="4"/>
      <c r="DL825" s="4"/>
      <c r="DM825" s="4"/>
      <c r="DN825" s="4"/>
      <c r="DO825" s="4"/>
      <c r="DP825" s="4"/>
      <c r="DQ825" s="4"/>
      <c r="DR825" s="4"/>
      <c r="DS825" s="4"/>
      <c r="DT825" s="4"/>
      <c r="DU825" s="4"/>
      <c r="DV825" s="4"/>
    </row>
    <row r="826">
      <c r="A826" s="2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  <c r="CI826" s="4"/>
      <c r="CJ826" s="4"/>
      <c r="CK826" s="4"/>
      <c r="CL826" s="4"/>
      <c r="CM826" s="4"/>
      <c r="CN826" s="4"/>
      <c r="CO826" s="4"/>
      <c r="CP826" s="4"/>
      <c r="CQ826" s="4"/>
      <c r="CR826" s="4"/>
      <c r="CS826" s="4"/>
      <c r="CT826" s="4"/>
      <c r="CU826" s="4"/>
      <c r="CV826" s="4"/>
      <c r="CW826" s="4"/>
      <c r="CX826" s="4"/>
      <c r="CY826" s="4"/>
      <c r="CZ826" s="4"/>
      <c r="DA826" s="4"/>
      <c r="DB826" s="4"/>
      <c r="DC826" s="4"/>
      <c r="DD826" s="4"/>
      <c r="DE826" s="4"/>
      <c r="DF826" s="4"/>
      <c r="DG826" s="4"/>
      <c r="DH826" s="4"/>
      <c r="DI826" s="4"/>
      <c r="DJ826" s="4"/>
      <c r="DK826" s="4"/>
      <c r="DL826" s="4"/>
      <c r="DM826" s="4"/>
      <c r="DN826" s="4"/>
      <c r="DO826" s="4"/>
      <c r="DP826" s="4"/>
      <c r="DQ826" s="4"/>
      <c r="DR826" s="4"/>
      <c r="DS826" s="4"/>
      <c r="DT826" s="4"/>
      <c r="DU826" s="4"/>
      <c r="DV826" s="4"/>
    </row>
    <row r="827">
      <c r="A827" s="2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  <c r="CI827" s="4"/>
      <c r="CJ827" s="4"/>
      <c r="CK827" s="4"/>
      <c r="CL827" s="4"/>
      <c r="CM827" s="4"/>
      <c r="CN827" s="4"/>
      <c r="CO827" s="4"/>
      <c r="CP827" s="4"/>
      <c r="CQ827" s="4"/>
      <c r="CR827" s="4"/>
      <c r="CS827" s="4"/>
      <c r="CT827" s="4"/>
      <c r="CU827" s="4"/>
      <c r="CV827" s="4"/>
      <c r="CW827" s="4"/>
      <c r="CX827" s="4"/>
      <c r="CY827" s="4"/>
      <c r="CZ827" s="4"/>
      <c r="DA827" s="4"/>
      <c r="DB827" s="4"/>
      <c r="DC827" s="4"/>
      <c r="DD827" s="4"/>
      <c r="DE827" s="4"/>
      <c r="DF827" s="4"/>
      <c r="DG827" s="4"/>
      <c r="DH827" s="4"/>
      <c r="DI827" s="4"/>
      <c r="DJ827" s="4"/>
      <c r="DK827" s="4"/>
      <c r="DL827" s="4"/>
      <c r="DM827" s="4"/>
      <c r="DN827" s="4"/>
      <c r="DO827" s="4"/>
      <c r="DP827" s="4"/>
      <c r="DQ827" s="4"/>
      <c r="DR827" s="4"/>
      <c r="DS827" s="4"/>
      <c r="DT827" s="4"/>
      <c r="DU827" s="4"/>
      <c r="DV827" s="4"/>
    </row>
    <row r="828">
      <c r="A828" s="2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  <c r="CI828" s="4"/>
      <c r="CJ828" s="4"/>
      <c r="CK828" s="4"/>
      <c r="CL828" s="4"/>
      <c r="CM828" s="4"/>
      <c r="CN828" s="4"/>
      <c r="CO828" s="4"/>
      <c r="CP828" s="4"/>
      <c r="CQ828" s="4"/>
      <c r="CR828" s="4"/>
      <c r="CS828" s="4"/>
      <c r="CT828" s="4"/>
      <c r="CU828" s="4"/>
      <c r="CV828" s="4"/>
      <c r="CW828" s="4"/>
      <c r="CX828" s="4"/>
      <c r="CY828" s="4"/>
      <c r="CZ828" s="4"/>
      <c r="DA828" s="4"/>
      <c r="DB828" s="4"/>
      <c r="DC828" s="4"/>
      <c r="DD828" s="4"/>
      <c r="DE828" s="4"/>
      <c r="DF828" s="4"/>
      <c r="DG828" s="4"/>
      <c r="DH828" s="4"/>
      <c r="DI828" s="4"/>
      <c r="DJ828" s="4"/>
      <c r="DK828" s="4"/>
      <c r="DL828" s="4"/>
      <c r="DM828" s="4"/>
      <c r="DN828" s="4"/>
      <c r="DO828" s="4"/>
      <c r="DP828" s="4"/>
      <c r="DQ828" s="4"/>
      <c r="DR828" s="4"/>
      <c r="DS828" s="4"/>
      <c r="DT828" s="4"/>
      <c r="DU828" s="4"/>
      <c r="DV828" s="4"/>
    </row>
    <row r="829">
      <c r="A829" s="2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  <c r="CI829" s="4"/>
      <c r="CJ829" s="4"/>
      <c r="CK829" s="4"/>
      <c r="CL829" s="4"/>
      <c r="CM829" s="4"/>
      <c r="CN829" s="4"/>
      <c r="CO829" s="4"/>
      <c r="CP829" s="4"/>
      <c r="CQ829" s="4"/>
      <c r="CR829" s="4"/>
      <c r="CS829" s="4"/>
      <c r="CT829" s="4"/>
      <c r="CU829" s="4"/>
      <c r="CV829" s="4"/>
      <c r="CW829" s="4"/>
      <c r="CX829" s="4"/>
      <c r="CY829" s="4"/>
      <c r="CZ829" s="4"/>
      <c r="DA829" s="4"/>
      <c r="DB829" s="4"/>
      <c r="DC829" s="4"/>
      <c r="DD829" s="4"/>
      <c r="DE829" s="4"/>
      <c r="DF829" s="4"/>
      <c r="DG829" s="4"/>
      <c r="DH829" s="4"/>
      <c r="DI829" s="4"/>
      <c r="DJ829" s="4"/>
      <c r="DK829" s="4"/>
      <c r="DL829" s="4"/>
      <c r="DM829" s="4"/>
      <c r="DN829" s="4"/>
      <c r="DO829" s="4"/>
      <c r="DP829" s="4"/>
      <c r="DQ829" s="4"/>
      <c r="DR829" s="4"/>
      <c r="DS829" s="4"/>
      <c r="DT829" s="4"/>
      <c r="DU829" s="4"/>
      <c r="DV829" s="4"/>
    </row>
    <row r="830">
      <c r="A830" s="2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  <c r="CI830" s="4"/>
      <c r="CJ830" s="4"/>
      <c r="CK830" s="4"/>
      <c r="CL830" s="4"/>
      <c r="CM830" s="4"/>
      <c r="CN830" s="4"/>
      <c r="CO830" s="4"/>
      <c r="CP830" s="4"/>
      <c r="CQ830" s="4"/>
      <c r="CR830" s="4"/>
      <c r="CS830" s="4"/>
      <c r="CT830" s="4"/>
      <c r="CU830" s="4"/>
      <c r="CV830" s="4"/>
      <c r="CW830" s="4"/>
      <c r="CX830" s="4"/>
      <c r="CY830" s="4"/>
      <c r="CZ830" s="4"/>
      <c r="DA830" s="4"/>
      <c r="DB830" s="4"/>
      <c r="DC830" s="4"/>
      <c r="DD830" s="4"/>
      <c r="DE830" s="4"/>
      <c r="DF830" s="4"/>
      <c r="DG830" s="4"/>
      <c r="DH830" s="4"/>
      <c r="DI830" s="4"/>
      <c r="DJ830" s="4"/>
      <c r="DK830" s="4"/>
      <c r="DL830" s="4"/>
      <c r="DM830" s="4"/>
      <c r="DN830" s="4"/>
      <c r="DO830" s="4"/>
      <c r="DP830" s="4"/>
      <c r="DQ830" s="4"/>
      <c r="DR830" s="4"/>
      <c r="DS830" s="4"/>
      <c r="DT830" s="4"/>
      <c r="DU830" s="4"/>
      <c r="DV830" s="4"/>
    </row>
    <row r="831">
      <c r="A831" s="2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  <c r="CI831" s="4"/>
      <c r="CJ831" s="4"/>
      <c r="CK831" s="4"/>
      <c r="CL831" s="4"/>
      <c r="CM831" s="4"/>
      <c r="CN831" s="4"/>
      <c r="CO831" s="4"/>
      <c r="CP831" s="4"/>
      <c r="CQ831" s="4"/>
      <c r="CR831" s="4"/>
      <c r="CS831" s="4"/>
      <c r="CT831" s="4"/>
      <c r="CU831" s="4"/>
      <c r="CV831" s="4"/>
      <c r="CW831" s="4"/>
      <c r="CX831" s="4"/>
      <c r="CY831" s="4"/>
      <c r="CZ831" s="4"/>
      <c r="DA831" s="4"/>
      <c r="DB831" s="4"/>
      <c r="DC831" s="4"/>
      <c r="DD831" s="4"/>
      <c r="DE831" s="4"/>
      <c r="DF831" s="4"/>
      <c r="DG831" s="4"/>
      <c r="DH831" s="4"/>
      <c r="DI831" s="4"/>
      <c r="DJ831" s="4"/>
      <c r="DK831" s="4"/>
      <c r="DL831" s="4"/>
      <c r="DM831" s="4"/>
      <c r="DN831" s="4"/>
      <c r="DO831" s="4"/>
      <c r="DP831" s="4"/>
      <c r="DQ831" s="4"/>
      <c r="DR831" s="4"/>
      <c r="DS831" s="4"/>
      <c r="DT831" s="4"/>
      <c r="DU831" s="4"/>
      <c r="DV831" s="4"/>
    </row>
    <row r="832">
      <c r="A832" s="2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  <c r="CI832" s="4"/>
      <c r="CJ832" s="4"/>
      <c r="CK832" s="4"/>
      <c r="CL832" s="4"/>
      <c r="CM832" s="4"/>
      <c r="CN832" s="4"/>
      <c r="CO832" s="4"/>
      <c r="CP832" s="4"/>
      <c r="CQ832" s="4"/>
      <c r="CR832" s="4"/>
      <c r="CS832" s="4"/>
      <c r="CT832" s="4"/>
      <c r="CU832" s="4"/>
      <c r="CV832" s="4"/>
      <c r="CW832" s="4"/>
      <c r="CX832" s="4"/>
      <c r="CY832" s="4"/>
      <c r="CZ832" s="4"/>
      <c r="DA832" s="4"/>
      <c r="DB832" s="4"/>
      <c r="DC832" s="4"/>
      <c r="DD832" s="4"/>
      <c r="DE832" s="4"/>
      <c r="DF832" s="4"/>
      <c r="DG832" s="4"/>
      <c r="DH832" s="4"/>
      <c r="DI832" s="4"/>
      <c r="DJ832" s="4"/>
      <c r="DK832" s="4"/>
      <c r="DL832" s="4"/>
      <c r="DM832" s="4"/>
      <c r="DN832" s="4"/>
      <c r="DO832" s="4"/>
      <c r="DP832" s="4"/>
      <c r="DQ832" s="4"/>
      <c r="DR832" s="4"/>
      <c r="DS832" s="4"/>
      <c r="DT832" s="4"/>
      <c r="DU832" s="4"/>
      <c r="DV832" s="4"/>
    </row>
    <row r="833">
      <c r="A833" s="2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  <c r="CI833" s="4"/>
      <c r="CJ833" s="4"/>
      <c r="CK833" s="4"/>
      <c r="CL833" s="4"/>
      <c r="CM833" s="4"/>
      <c r="CN833" s="4"/>
      <c r="CO833" s="4"/>
      <c r="CP833" s="4"/>
      <c r="CQ833" s="4"/>
      <c r="CR833" s="4"/>
      <c r="CS833" s="4"/>
      <c r="CT833" s="4"/>
      <c r="CU833" s="4"/>
      <c r="CV833" s="4"/>
      <c r="CW833" s="4"/>
      <c r="CX833" s="4"/>
      <c r="CY833" s="4"/>
      <c r="CZ833" s="4"/>
      <c r="DA833" s="4"/>
      <c r="DB833" s="4"/>
      <c r="DC833" s="4"/>
      <c r="DD833" s="4"/>
      <c r="DE833" s="4"/>
      <c r="DF833" s="4"/>
      <c r="DG833" s="4"/>
      <c r="DH833" s="4"/>
      <c r="DI833" s="4"/>
      <c r="DJ833" s="4"/>
      <c r="DK833" s="4"/>
      <c r="DL833" s="4"/>
      <c r="DM833" s="4"/>
      <c r="DN833" s="4"/>
      <c r="DO833" s="4"/>
      <c r="DP833" s="4"/>
      <c r="DQ833" s="4"/>
      <c r="DR833" s="4"/>
      <c r="DS833" s="4"/>
      <c r="DT833" s="4"/>
      <c r="DU833" s="4"/>
      <c r="DV833" s="4"/>
    </row>
    <row r="834">
      <c r="A834" s="2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  <c r="CI834" s="4"/>
      <c r="CJ834" s="4"/>
      <c r="CK834" s="4"/>
      <c r="CL834" s="4"/>
      <c r="CM834" s="4"/>
      <c r="CN834" s="4"/>
      <c r="CO834" s="4"/>
      <c r="CP834" s="4"/>
      <c r="CQ834" s="4"/>
      <c r="CR834" s="4"/>
      <c r="CS834" s="4"/>
      <c r="CT834" s="4"/>
      <c r="CU834" s="4"/>
      <c r="CV834" s="4"/>
      <c r="CW834" s="4"/>
      <c r="CX834" s="4"/>
      <c r="CY834" s="4"/>
      <c r="CZ834" s="4"/>
      <c r="DA834" s="4"/>
      <c r="DB834" s="4"/>
      <c r="DC834" s="4"/>
      <c r="DD834" s="4"/>
      <c r="DE834" s="4"/>
      <c r="DF834" s="4"/>
      <c r="DG834" s="4"/>
      <c r="DH834" s="4"/>
      <c r="DI834" s="4"/>
      <c r="DJ834" s="4"/>
      <c r="DK834" s="4"/>
      <c r="DL834" s="4"/>
      <c r="DM834" s="4"/>
      <c r="DN834" s="4"/>
      <c r="DO834" s="4"/>
      <c r="DP834" s="4"/>
      <c r="DQ834" s="4"/>
      <c r="DR834" s="4"/>
      <c r="DS834" s="4"/>
      <c r="DT834" s="4"/>
      <c r="DU834" s="4"/>
      <c r="DV834" s="4"/>
    </row>
    <row r="835">
      <c r="A835" s="2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  <c r="CI835" s="4"/>
      <c r="CJ835" s="4"/>
      <c r="CK835" s="4"/>
      <c r="CL835" s="4"/>
      <c r="CM835" s="4"/>
      <c r="CN835" s="4"/>
      <c r="CO835" s="4"/>
      <c r="CP835" s="4"/>
      <c r="CQ835" s="4"/>
      <c r="CR835" s="4"/>
      <c r="CS835" s="4"/>
      <c r="CT835" s="4"/>
      <c r="CU835" s="4"/>
      <c r="CV835" s="4"/>
      <c r="CW835" s="4"/>
      <c r="CX835" s="4"/>
      <c r="CY835" s="4"/>
      <c r="CZ835" s="4"/>
      <c r="DA835" s="4"/>
      <c r="DB835" s="4"/>
      <c r="DC835" s="4"/>
      <c r="DD835" s="4"/>
      <c r="DE835" s="4"/>
      <c r="DF835" s="4"/>
      <c r="DG835" s="4"/>
      <c r="DH835" s="4"/>
      <c r="DI835" s="4"/>
      <c r="DJ835" s="4"/>
      <c r="DK835" s="4"/>
      <c r="DL835" s="4"/>
      <c r="DM835" s="4"/>
      <c r="DN835" s="4"/>
      <c r="DO835" s="4"/>
      <c r="DP835" s="4"/>
      <c r="DQ835" s="4"/>
      <c r="DR835" s="4"/>
      <c r="DS835" s="4"/>
      <c r="DT835" s="4"/>
      <c r="DU835" s="4"/>
      <c r="DV835" s="4"/>
    </row>
    <row r="836">
      <c r="A836" s="2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  <c r="CI836" s="4"/>
      <c r="CJ836" s="4"/>
      <c r="CK836" s="4"/>
      <c r="CL836" s="4"/>
      <c r="CM836" s="4"/>
      <c r="CN836" s="4"/>
      <c r="CO836" s="4"/>
      <c r="CP836" s="4"/>
      <c r="CQ836" s="4"/>
      <c r="CR836" s="4"/>
      <c r="CS836" s="4"/>
      <c r="CT836" s="4"/>
      <c r="CU836" s="4"/>
      <c r="CV836" s="4"/>
      <c r="CW836" s="4"/>
      <c r="CX836" s="4"/>
      <c r="CY836" s="4"/>
      <c r="CZ836" s="4"/>
      <c r="DA836" s="4"/>
      <c r="DB836" s="4"/>
      <c r="DC836" s="4"/>
      <c r="DD836" s="4"/>
      <c r="DE836" s="4"/>
      <c r="DF836" s="4"/>
      <c r="DG836" s="4"/>
      <c r="DH836" s="4"/>
      <c r="DI836" s="4"/>
      <c r="DJ836" s="4"/>
      <c r="DK836" s="4"/>
      <c r="DL836" s="4"/>
      <c r="DM836" s="4"/>
      <c r="DN836" s="4"/>
      <c r="DO836" s="4"/>
      <c r="DP836" s="4"/>
      <c r="DQ836" s="4"/>
      <c r="DR836" s="4"/>
      <c r="DS836" s="4"/>
      <c r="DT836" s="4"/>
      <c r="DU836" s="4"/>
      <c r="DV836" s="4"/>
    </row>
    <row r="837">
      <c r="A837" s="2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  <c r="CI837" s="4"/>
      <c r="CJ837" s="4"/>
      <c r="CK837" s="4"/>
      <c r="CL837" s="4"/>
      <c r="CM837" s="4"/>
      <c r="CN837" s="4"/>
      <c r="CO837" s="4"/>
      <c r="CP837" s="4"/>
      <c r="CQ837" s="4"/>
      <c r="CR837" s="4"/>
      <c r="CS837" s="4"/>
      <c r="CT837" s="4"/>
      <c r="CU837" s="4"/>
      <c r="CV837" s="4"/>
      <c r="CW837" s="4"/>
      <c r="CX837" s="4"/>
      <c r="CY837" s="4"/>
      <c r="CZ837" s="4"/>
      <c r="DA837" s="4"/>
      <c r="DB837" s="4"/>
      <c r="DC837" s="4"/>
      <c r="DD837" s="4"/>
      <c r="DE837" s="4"/>
      <c r="DF837" s="4"/>
      <c r="DG837" s="4"/>
      <c r="DH837" s="4"/>
      <c r="DI837" s="4"/>
      <c r="DJ837" s="4"/>
      <c r="DK837" s="4"/>
      <c r="DL837" s="4"/>
      <c r="DM837" s="4"/>
      <c r="DN837" s="4"/>
      <c r="DO837" s="4"/>
      <c r="DP837" s="4"/>
      <c r="DQ837" s="4"/>
      <c r="DR837" s="4"/>
      <c r="DS837" s="4"/>
      <c r="DT837" s="4"/>
      <c r="DU837" s="4"/>
      <c r="DV837" s="4"/>
    </row>
    <row r="838">
      <c r="A838" s="2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  <c r="CI838" s="4"/>
      <c r="CJ838" s="4"/>
      <c r="CK838" s="4"/>
      <c r="CL838" s="4"/>
      <c r="CM838" s="4"/>
      <c r="CN838" s="4"/>
      <c r="CO838" s="4"/>
      <c r="CP838" s="4"/>
      <c r="CQ838" s="4"/>
      <c r="CR838" s="4"/>
      <c r="CS838" s="4"/>
      <c r="CT838" s="4"/>
      <c r="CU838" s="4"/>
      <c r="CV838" s="4"/>
      <c r="CW838" s="4"/>
      <c r="CX838" s="4"/>
      <c r="CY838" s="4"/>
      <c r="CZ838" s="4"/>
      <c r="DA838" s="4"/>
      <c r="DB838" s="4"/>
      <c r="DC838" s="4"/>
      <c r="DD838" s="4"/>
      <c r="DE838" s="4"/>
      <c r="DF838" s="4"/>
      <c r="DG838" s="4"/>
      <c r="DH838" s="4"/>
      <c r="DI838" s="4"/>
      <c r="DJ838" s="4"/>
      <c r="DK838" s="4"/>
      <c r="DL838" s="4"/>
      <c r="DM838" s="4"/>
      <c r="DN838" s="4"/>
      <c r="DO838" s="4"/>
      <c r="DP838" s="4"/>
      <c r="DQ838" s="4"/>
      <c r="DR838" s="4"/>
      <c r="DS838" s="4"/>
      <c r="DT838" s="4"/>
      <c r="DU838" s="4"/>
      <c r="DV838" s="4"/>
    </row>
    <row r="839">
      <c r="A839" s="2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  <c r="CI839" s="4"/>
      <c r="CJ839" s="4"/>
      <c r="CK839" s="4"/>
      <c r="CL839" s="4"/>
      <c r="CM839" s="4"/>
      <c r="CN839" s="4"/>
      <c r="CO839" s="4"/>
      <c r="CP839" s="4"/>
      <c r="CQ839" s="4"/>
      <c r="CR839" s="4"/>
      <c r="CS839" s="4"/>
      <c r="CT839" s="4"/>
      <c r="CU839" s="4"/>
      <c r="CV839" s="4"/>
      <c r="CW839" s="4"/>
      <c r="CX839" s="4"/>
      <c r="CY839" s="4"/>
      <c r="CZ839" s="4"/>
      <c r="DA839" s="4"/>
      <c r="DB839" s="4"/>
      <c r="DC839" s="4"/>
      <c r="DD839" s="4"/>
      <c r="DE839" s="4"/>
      <c r="DF839" s="4"/>
      <c r="DG839" s="4"/>
      <c r="DH839" s="4"/>
      <c r="DI839" s="4"/>
      <c r="DJ839" s="4"/>
      <c r="DK839" s="4"/>
      <c r="DL839" s="4"/>
      <c r="DM839" s="4"/>
      <c r="DN839" s="4"/>
      <c r="DO839" s="4"/>
      <c r="DP839" s="4"/>
      <c r="DQ839" s="4"/>
      <c r="DR839" s="4"/>
      <c r="DS839" s="4"/>
      <c r="DT839" s="4"/>
      <c r="DU839" s="4"/>
      <c r="DV839" s="4"/>
    </row>
    <row r="840">
      <c r="A840" s="2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  <c r="CI840" s="4"/>
      <c r="CJ840" s="4"/>
      <c r="CK840" s="4"/>
      <c r="CL840" s="4"/>
      <c r="CM840" s="4"/>
      <c r="CN840" s="4"/>
      <c r="CO840" s="4"/>
      <c r="CP840" s="4"/>
      <c r="CQ840" s="4"/>
      <c r="CR840" s="4"/>
      <c r="CS840" s="4"/>
      <c r="CT840" s="4"/>
      <c r="CU840" s="4"/>
      <c r="CV840" s="4"/>
      <c r="CW840" s="4"/>
      <c r="CX840" s="4"/>
      <c r="CY840" s="4"/>
      <c r="CZ840" s="4"/>
      <c r="DA840" s="4"/>
      <c r="DB840" s="4"/>
      <c r="DC840" s="4"/>
      <c r="DD840" s="4"/>
      <c r="DE840" s="4"/>
      <c r="DF840" s="4"/>
      <c r="DG840" s="4"/>
      <c r="DH840" s="4"/>
      <c r="DI840" s="4"/>
      <c r="DJ840" s="4"/>
      <c r="DK840" s="4"/>
      <c r="DL840" s="4"/>
      <c r="DM840" s="4"/>
      <c r="DN840" s="4"/>
      <c r="DO840" s="4"/>
      <c r="DP840" s="4"/>
      <c r="DQ840" s="4"/>
      <c r="DR840" s="4"/>
      <c r="DS840" s="4"/>
      <c r="DT840" s="4"/>
      <c r="DU840" s="4"/>
      <c r="DV840" s="4"/>
    </row>
    <row r="841">
      <c r="A841" s="2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  <c r="CI841" s="4"/>
      <c r="CJ841" s="4"/>
      <c r="CK841" s="4"/>
      <c r="CL841" s="4"/>
      <c r="CM841" s="4"/>
      <c r="CN841" s="4"/>
      <c r="CO841" s="4"/>
      <c r="CP841" s="4"/>
      <c r="CQ841" s="4"/>
      <c r="CR841" s="4"/>
      <c r="CS841" s="4"/>
      <c r="CT841" s="4"/>
      <c r="CU841" s="4"/>
      <c r="CV841" s="4"/>
      <c r="CW841" s="4"/>
      <c r="CX841" s="4"/>
      <c r="CY841" s="4"/>
      <c r="CZ841" s="4"/>
      <c r="DA841" s="4"/>
      <c r="DB841" s="4"/>
      <c r="DC841" s="4"/>
      <c r="DD841" s="4"/>
      <c r="DE841" s="4"/>
      <c r="DF841" s="4"/>
      <c r="DG841" s="4"/>
      <c r="DH841" s="4"/>
      <c r="DI841" s="4"/>
      <c r="DJ841" s="4"/>
      <c r="DK841" s="4"/>
      <c r="DL841" s="4"/>
      <c r="DM841" s="4"/>
      <c r="DN841" s="4"/>
      <c r="DO841" s="4"/>
      <c r="DP841" s="4"/>
      <c r="DQ841" s="4"/>
      <c r="DR841" s="4"/>
      <c r="DS841" s="4"/>
      <c r="DT841" s="4"/>
      <c r="DU841" s="4"/>
      <c r="DV841" s="4"/>
    </row>
    <row r="842">
      <c r="A842" s="2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  <c r="CI842" s="4"/>
      <c r="CJ842" s="4"/>
      <c r="CK842" s="4"/>
      <c r="CL842" s="4"/>
      <c r="CM842" s="4"/>
      <c r="CN842" s="4"/>
      <c r="CO842" s="4"/>
      <c r="CP842" s="4"/>
      <c r="CQ842" s="4"/>
      <c r="CR842" s="4"/>
      <c r="CS842" s="4"/>
      <c r="CT842" s="4"/>
      <c r="CU842" s="4"/>
      <c r="CV842" s="4"/>
      <c r="CW842" s="4"/>
      <c r="CX842" s="4"/>
      <c r="CY842" s="4"/>
      <c r="CZ842" s="4"/>
      <c r="DA842" s="4"/>
      <c r="DB842" s="4"/>
      <c r="DC842" s="4"/>
      <c r="DD842" s="4"/>
      <c r="DE842" s="4"/>
      <c r="DF842" s="4"/>
      <c r="DG842" s="4"/>
      <c r="DH842" s="4"/>
      <c r="DI842" s="4"/>
      <c r="DJ842" s="4"/>
      <c r="DK842" s="4"/>
      <c r="DL842" s="4"/>
      <c r="DM842" s="4"/>
      <c r="DN842" s="4"/>
      <c r="DO842" s="4"/>
      <c r="DP842" s="4"/>
      <c r="DQ842" s="4"/>
      <c r="DR842" s="4"/>
      <c r="DS842" s="4"/>
      <c r="DT842" s="4"/>
      <c r="DU842" s="4"/>
      <c r="DV842" s="4"/>
    </row>
    <row r="843">
      <c r="A843" s="2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  <c r="CI843" s="4"/>
      <c r="CJ843" s="4"/>
      <c r="CK843" s="4"/>
      <c r="CL843" s="4"/>
      <c r="CM843" s="4"/>
      <c r="CN843" s="4"/>
      <c r="CO843" s="4"/>
      <c r="CP843" s="4"/>
      <c r="CQ843" s="4"/>
      <c r="CR843" s="4"/>
      <c r="CS843" s="4"/>
      <c r="CT843" s="4"/>
      <c r="CU843" s="4"/>
      <c r="CV843" s="4"/>
      <c r="CW843" s="4"/>
      <c r="CX843" s="4"/>
      <c r="CY843" s="4"/>
      <c r="CZ843" s="4"/>
      <c r="DA843" s="4"/>
      <c r="DB843" s="4"/>
      <c r="DC843" s="4"/>
      <c r="DD843" s="4"/>
      <c r="DE843" s="4"/>
      <c r="DF843" s="4"/>
      <c r="DG843" s="4"/>
      <c r="DH843" s="4"/>
      <c r="DI843" s="4"/>
      <c r="DJ843" s="4"/>
      <c r="DK843" s="4"/>
      <c r="DL843" s="4"/>
      <c r="DM843" s="4"/>
      <c r="DN843" s="4"/>
      <c r="DO843" s="4"/>
      <c r="DP843" s="4"/>
      <c r="DQ843" s="4"/>
      <c r="DR843" s="4"/>
      <c r="DS843" s="4"/>
      <c r="DT843" s="4"/>
      <c r="DU843" s="4"/>
      <c r="DV843" s="4"/>
    </row>
    <row r="844">
      <c r="A844" s="2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  <c r="CI844" s="4"/>
      <c r="CJ844" s="4"/>
      <c r="CK844" s="4"/>
      <c r="CL844" s="4"/>
      <c r="CM844" s="4"/>
      <c r="CN844" s="4"/>
      <c r="CO844" s="4"/>
      <c r="CP844" s="4"/>
      <c r="CQ844" s="4"/>
      <c r="CR844" s="4"/>
      <c r="CS844" s="4"/>
      <c r="CT844" s="4"/>
      <c r="CU844" s="4"/>
      <c r="CV844" s="4"/>
      <c r="CW844" s="4"/>
      <c r="CX844" s="4"/>
      <c r="CY844" s="4"/>
      <c r="CZ844" s="4"/>
      <c r="DA844" s="4"/>
      <c r="DB844" s="4"/>
      <c r="DC844" s="4"/>
      <c r="DD844" s="4"/>
      <c r="DE844" s="4"/>
      <c r="DF844" s="4"/>
      <c r="DG844" s="4"/>
      <c r="DH844" s="4"/>
      <c r="DI844" s="4"/>
      <c r="DJ844" s="4"/>
      <c r="DK844" s="4"/>
      <c r="DL844" s="4"/>
      <c r="DM844" s="4"/>
      <c r="DN844" s="4"/>
      <c r="DO844" s="4"/>
      <c r="DP844" s="4"/>
      <c r="DQ844" s="4"/>
      <c r="DR844" s="4"/>
      <c r="DS844" s="4"/>
      <c r="DT844" s="4"/>
      <c r="DU844" s="4"/>
      <c r="DV844" s="4"/>
    </row>
    <row r="845">
      <c r="A845" s="2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  <c r="CI845" s="4"/>
      <c r="CJ845" s="4"/>
      <c r="CK845" s="4"/>
      <c r="CL845" s="4"/>
      <c r="CM845" s="4"/>
      <c r="CN845" s="4"/>
      <c r="CO845" s="4"/>
      <c r="CP845" s="4"/>
      <c r="CQ845" s="4"/>
      <c r="CR845" s="4"/>
      <c r="CS845" s="4"/>
      <c r="CT845" s="4"/>
      <c r="CU845" s="4"/>
      <c r="CV845" s="4"/>
      <c r="CW845" s="4"/>
      <c r="CX845" s="4"/>
      <c r="CY845" s="4"/>
      <c r="CZ845" s="4"/>
      <c r="DA845" s="4"/>
      <c r="DB845" s="4"/>
      <c r="DC845" s="4"/>
      <c r="DD845" s="4"/>
      <c r="DE845" s="4"/>
      <c r="DF845" s="4"/>
      <c r="DG845" s="4"/>
      <c r="DH845" s="4"/>
      <c r="DI845" s="4"/>
      <c r="DJ845" s="4"/>
      <c r="DK845" s="4"/>
      <c r="DL845" s="4"/>
      <c r="DM845" s="4"/>
      <c r="DN845" s="4"/>
      <c r="DO845" s="4"/>
      <c r="DP845" s="4"/>
      <c r="DQ845" s="4"/>
      <c r="DR845" s="4"/>
      <c r="DS845" s="4"/>
      <c r="DT845" s="4"/>
      <c r="DU845" s="4"/>
      <c r="DV845" s="4"/>
    </row>
    <row r="846">
      <c r="A846" s="2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  <c r="CI846" s="4"/>
      <c r="CJ846" s="4"/>
      <c r="CK846" s="4"/>
      <c r="CL846" s="4"/>
      <c r="CM846" s="4"/>
      <c r="CN846" s="4"/>
      <c r="CO846" s="4"/>
      <c r="CP846" s="4"/>
      <c r="CQ846" s="4"/>
      <c r="CR846" s="4"/>
      <c r="CS846" s="4"/>
      <c r="CT846" s="4"/>
      <c r="CU846" s="4"/>
      <c r="CV846" s="4"/>
      <c r="CW846" s="4"/>
      <c r="CX846" s="4"/>
      <c r="CY846" s="4"/>
      <c r="CZ846" s="4"/>
      <c r="DA846" s="4"/>
      <c r="DB846" s="4"/>
      <c r="DC846" s="4"/>
      <c r="DD846" s="4"/>
      <c r="DE846" s="4"/>
      <c r="DF846" s="4"/>
      <c r="DG846" s="4"/>
      <c r="DH846" s="4"/>
      <c r="DI846" s="4"/>
      <c r="DJ846" s="4"/>
      <c r="DK846" s="4"/>
      <c r="DL846" s="4"/>
      <c r="DM846" s="4"/>
      <c r="DN846" s="4"/>
      <c r="DO846" s="4"/>
      <c r="DP846" s="4"/>
      <c r="DQ846" s="4"/>
      <c r="DR846" s="4"/>
      <c r="DS846" s="4"/>
      <c r="DT846" s="4"/>
      <c r="DU846" s="4"/>
      <c r="DV846" s="4"/>
    </row>
    <row r="847">
      <c r="A847" s="2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  <c r="CI847" s="4"/>
      <c r="CJ847" s="4"/>
      <c r="CK847" s="4"/>
      <c r="CL847" s="4"/>
      <c r="CM847" s="4"/>
      <c r="CN847" s="4"/>
      <c r="CO847" s="4"/>
      <c r="CP847" s="4"/>
      <c r="CQ847" s="4"/>
      <c r="CR847" s="4"/>
      <c r="CS847" s="4"/>
      <c r="CT847" s="4"/>
      <c r="CU847" s="4"/>
      <c r="CV847" s="4"/>
      <c r="CW847" s="4"/>
      <c r="CX847" s="4"/>
      <c r="CY847" s="4"/>
      <c r="CZ847" s="4"/>
      <c r="DA847" s="4"/>
      <c r="DB847" s="4"/>
      <c r="DC847" s="4"/>
      <c r="DD847" s="4"/>
      <c r="DE847" s="4"/>
      <c r="DF847" s="4"/>
      <c r="DG847" s="4"/>
      <c r="DH847" s="4"/>
      <c r="DI847" s="4"/>
      <c r="DJ847" s="4"/>
      <c r="DK847" s="4"/>
      <c r="DL847" s="4"/>
      <c r="DM847" s="4"/>
      <c r="DN847" s="4"/>
      <c r="DO847" s="4"/>
      <c r="DP847" s="4"/>
      <c r="DQ847" s="4"/>
      <c r="DR847" s="4"/>
      <c r="DS847" s="4"/>
      <c r="DT847" s="4"/>
      <c r="DU847" s="4"/>
      <c r="DV847" s="4"/>
    </row>
    <row r="848">
      <c r="A848" s="2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  <c r="CI848" s="4"/>
      <c r="CJ848" s="4"/>
      <c r="CK848" s="4"/>
      <c r="CL848" s="4"/>
      <c r="CM848" s="4"/>
      <c r="CN848" s="4"/>
      <c r="CO848" s="4"/>
      <c r="CP848" s="4"/>
      <c r="CQ848" s="4"/>
      <c r="CR848" s="4"/>
      <c r="CS848" s="4"/>
      <c r="CT848" s="4"/>
      <c r="CU848" s="4"/>
      <c r="CV848" s="4"/>
      <c r="CW848" s="4"/>
      <c r="CX848" s="4"/>
      <c r="CY848" s="4"/>
      <c r="CZ848" s="4"/>
      <c r="DA848" s="4"/>
      <c r="DB848" s="4"/>
      <c r="DC848" s="4"/>
      <c r="DD848" s="4"/>
      <c r="DE848" s="4"/>
      <c r="DF848" s="4"/>
      <c r="DG848" s="4"/>
      <c r="DH848" s="4"/>
      <c r="DI848" s="4"/>
      <c r="DJ848" s="4"/>
      <c r="DK848" s="4"/>
      <c r="DL848" s="4"/>
      <c r="DM848" s="4"/>
      <c r="DN848" s="4"/>
      <c r="DO848" s="4"/>
      <c r="DP848" s="4"/>
      <c r="DQ848" s="4"/>
      <c r="DR848" s="4"/>
      <c r="DS848" s="4"/>
      <c r="DT848" s="4"/>
      <c r="DU848" s="4"/>
      <c r="DV848" s="4"/>
    </row>
    <row r="849">
      <c r="A849" s="2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  <c r="CI849" s="4"/>
      <c r="CJ849" s="4"/>
      <c r="CK849" s="4"/>
      <c r="CL849" s="4"/>
      <c r="CM849" s="4"/>
      <c r="CN849" s="4"/>
      <c r="CO849" s="4"/>
      <c r="CP849" s="4"/>
      <c r="CQ849" s="4"/>
      <c r="CR849" s="4"/>
      <c r="CS849" s="4"/>
      <c r="CT849" s="4"/>
      <c r="CU849" s="4"/>
      <c r="CV849" s="4"/>
      <c r="CW849" s="4"/>
      <c r="CX849" s="4"/>
      <c r="CY849" s="4"/>
      <c r="CZ849" s="4"/>
      <c r="DA849" s="4"/>
      <c r="DB849" s="4"/>
      <c r="DC849" s="4"/>
      <c r="DD849" s="4"/>
      <c r="DE849" s="4"/>
      <c r="DF849" s="4"/>
      <c r="DG849" s="4"/>
      <c r="DH849" s="4"/>
      <c r="DI849" s="4"/>
      <c r="DJ849" s="4"/>
      <c r="DK849" s="4"/>
      <c r="DL849" s="4"/>
      <c r="DM849" s="4"/>
      <c r="DN849" s="4"/>
      <c r="DO849" s="4"/>
      <c r="DP849" s="4"/>
      <c r="DQ849" s="4"/>
      <c r="DR849" s="4"/>
      <c r="DS849" s="4"/>
      <c r="DT849" s="4"/>
      <c r="DU849" s="4"/>
      <c r="DV849" s="4"/>
    </row>
    <row r="850">
      <c r="A850" s="2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  <c r="CI850" s="4"/>
      <c r="CJ850" s="4"/>
      <c r="CK850" s="4"/>
      <c r="CL850" s="4"/>
      <c r="CM850" s="4"/>
      <c r="CN850" s="4"/>
      <c r="CO850" s="4"/>
      <c r="CP850" s="4"/>
      <c r="CQ850" s="4"/>
      <c r="CR850" s="4"/>
      <c r="CS850" s="4"/>
      <c r="CT850" s="4"/>
      <c r="CU850" s="4"/>
      <c r="CV850" s="4"/>
      <c r="CW850" s="4"/>
      <c r="CX850" s="4"/>
      <c r="CY850" s="4"/>
      <c r="CZ850" s="4"/>
      <c r="DA850" s="4"/>
      <c r="DB850" s="4"/>
      <c r="DC850" s="4"/>
      <c r="DD850" s="4"/>
      <c r="DE850" s="4"/>
      <c r="DF850" s="4"/>
      <c r="DG850" s="4"/>
      <c r="DH850" s="4"/>
      <c r="DI850" s="4"/>
      <c r="DJ850" s="4"/>
      <c r="DK850" s="4"/>
      <c r="DL850" s="4"/>
      <c r="DM850" s="4"/>
      <c r="DN850" s="4"/>
      <c r="DO850" s="4"/>
      <c r="DP850" s="4"/>
      <c r="DQ850" s="4"/>
      <c r="DR850" s="4"/>
      <c r="DS850" s="4"/>
      <c r="DT850" s="4"/>
      <c r="DU850" s="4"/>
      <c r="DV850" s="4"/>
    </row>
    <row r="851">
      <c r="A851" s="2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  <c r="CI851" s="4"/>
      <c r="CJ851" s="4"/>
      <c r="CK851" s="4"/>
      <c r="CL851" s="4"/>
      <c r="CM851" s="4"/>
      <c r="CN851" s="4"/>
      <c r="CO851" s="4"/>
      <c r="CP851" s="4"/>
      <c r="CQ851" s="4"/>
      <c r="CR851" s="4"/>
      <c r="CS851" s="4"/>
      <c r="CT851" s="4"/>
      <c r="CU851" s="4"/>
      <c r="CV851" s="4"/>
      <c r="CW851" s="4"/>
      <c r="CX851" s="4"/>
      <c r="CY851" s="4"/>
      <c r="CZ851" s="4"/>
      <c r="DA851" s="4"/>
      <c r="DB851" s="4"/>
      <c r="DC851" s="4"/>
      <c r="DD851" s="4"/>
      <c r="DE851" s="4"/>
      <c r="DF851" s="4"/>
      <c r="DG851" s="4"/>
      <c r="DH851" s="4"/>
      <c r="DI851" s="4"/>
      <c r="DJ851" s="4"/>
      <c r="DK851" s="4"/>
      <c r="DL851" s="4"/>
      <c r="DM851" s="4"/>
      <c r="DN851" s="4"/>
      <c r="DO851" s="4"/>
      <c r="DP851" s="4"/>
      <c r="DQ851" s="4"/>
      <c r="DR851" s="4"/>
      <c r="DS851" s="4"/>
      <c r="DT851" s="4"/>
      <c r="DU851" s="4"/>
      <c r="DV851" s="4"/>
    </row>
    <row r="852">
      <c r="A852" s="2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  <c r="CI852" s="4"/>
      <c r="CJ852" s="4"/>
      <c r="CK852" s="4"/>
      <c r="CL852" s="4"/>
      <c r="CM852" s="4"/>
      <c r="CN852" s="4"/>
      <c r="CO852" s="4"/>
      <c r="CP852" s="4"/>
      <c r="CQ852" s="4"/>
      <c r="CR852" s="4"/>
      <c r="CS852" s="4"/>
      <c r="CT852" s="4"/>
      <c r="CU852" s="4"/>
      <c r="CV852" s="4"/>
      <c r="CW852" s="4"/>
      <c r="CX852" s="4"/>
      <c r="CY852" s="4"/>
      <c r="CZ852" s="4"/>
      <c r="DA852" s="4"/>
      <c r="DB852" s="4"/>
      <c r="DC852" s="4"/>
      <c r="DD852" s="4"/>
      <c r="DE852" s="4"/>
      <c r="DF852" s="4"/>
      <c r="DG852" s="4"/>
      <c r="DH852" s="4"/>
      <c r="DI852" s="4"/>
      <c r="DJ852" s="4"/>
      <c r="DK852" s="4"/>
      <c r="DL852" s="4"/>
      <c r="DM852" s="4"/>
      <c r="DN852" s="4"/>
      <c r="DO852" s="4"/>
      <c r="DP852" s="4"/>
      <c r="DQ852" s="4"/>
      <c r="DR852" s="4"/>
      <c r="DS852" s="4"/>
      <c r="DT852" s="4"/>
      <c r="DU852" s="4"/>
      <c r="DV852" s="4"/>
    </row>
    <row r="853">
      <c r="A853" s="2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  <c r="CI853" s="4"/>
      <c r="CJ853" s="4"/>
      <c r="CK853" s="4"/>
      <c r="CL853" s="4"/>
      <c r="CM853" s="4"/>
      <c r="CN853" s="4"/>
      <c r="CO853" s="4"/>
      <c r="CP853" s="4"/>
      <c r="CQ853" s="4"/>
      <c r="CR853" s="4"/>
      <c r="CS853" s="4"/>
      <c r="CT853" s="4"/>
      <c r="CU853" s="4"/>
      <c r="CV853" s="4"/>
      <c r="CW853" s="4"/>
      <c r="CX853" s="4"/>
      <c r="CY853" s="4"/>
      <c r="CZ853" s="4"/>
      <c r="DA853" s="4"/>
      <c r="DB853" s="4"/>
      <c r="DC853" s="4"/>
      <c r="DD853" s="4"/>
      <c r="DE853" s="4"/>
      <c r="DF853" s="4"/>
      <c r="DG853" s="4"/>
      <c r="DH853" s="4"/>
      <c r="DI853" s="4"/>
      <c r="DJ853" s="4"/>
      <c r="DK853" s="4"/>
      <c r="DL853" s="4"/>
      <c r="DM853" s="4"/>
      <c r="DN853" s="4"/>
      <c r="DO853" s="4"/>
      <c r="DP853" s="4"/>
      <c r="DQ853" s="4"/>
      <c r="DR853" s="4"/>
      <c r="DS853" s="4"/>
      <c r="DT853" s="4"/>
      <c r="DU853" s="4"/>
      <c r="DV853" s="4"/>
    </row>
    <row r="854">
      <c r="A854" s="2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  <c r="CI854" s="4"/>
      <c r="CJ854" s="4"/>
      <c r="CK854" s="4"/>
      <c r="CL854" s="4"/>
      <c r="CM854" s="4"/>
      <c r="CN854" s="4"/>
      <c r="CO854" s="4"/>
      <c r="CP854" s="4"/>
      <c r="CQ854" s="4"/>
      <c r="CR854" s="4"/>
      <c r="CS854" s="4"/>
      <c r="CT854" s="4"/>
      <c r="CU854" s="4"/>
      <c r="CV854" s="4"/>
      <c r="CW854" s="4"/>
      <c r="CX854" s="4"/>
      <c r="CY854" s="4"/>
      <c r="CZ854" s="4"/>
      <c r="DA854" s="4"/>
      <c r="DB854" s="4"/>
      <c r="DC854" s="4"/>
      <c r="DD854" s="4"/>
      <c r="DE854" s="4"/>
      <c r="DF854" s="4"/>
      <c r="DG854" s="4"/>
      <c r="DH854" s="4"/>
      <c r="DI854" s="4"/>
      <c r="DJ854" s="4"/>
      <c r="DK854" s="4"/>
      <c r="DL854" s="4"/>
      <c r="DM854" s="4"/>
      <c r="DN854" s="4"/>
      <c r="DO854" s="4"/>
      <c r="DP854" s="4"/>
      <c r="DQ854" s="4"/>
      <c r="DR854" s="4"/>
      <c r="DS854" s="4"/>
      <c r="DT854" s="4"/>
      <c r="DU854" s="4"/>
      <c r="DV854" s="4"/>
    </row>
    <row r="855">
      <c r="A855" s="2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  <c r="CI855" s="4"/>
      <c r="CJ855" s="4"/>
      <c r="CK855" s="4"/>
      <c r="CL855" s="4"/>
      <c r="CM855" s="4"/>
      <c r="CN855" s="4"/>
      <c r="CO855" s="4"/>
      <c r="CP855" s="4"/>
      <c r="CQ855" s="4"/>
      <c r="CR855" s="4"/>
      <c r="CS855" s="4"/>
      <c r="CT855" s="4"/>
      <c r="CU855" s="4"/>
      <c r="CV855" s="4"/>
      <c r="CW855" s="4"/>
      <c r="CX855" s="4"/>
      <c r="CY855" s="4"/>
      <c r="CZ855" s="4"/>
      <c r="DA855" s="4"/>
      <c r="DB855" s="4"/>
      <c r="DC855" s="4"/>
      <c r="DD855" s="4"/>
      <c r="DE855" s="4"/>
      <c r="DF855" s="4"/>
      <c r="DG855" s="4"/>
      <c r="DH855" s="4"/>
      <c r="DI855" s="4"/>
      <c r="DJ855" s="4"/>
      <c r="DK855" s="4"/>
      <c r="DL855" s="4"/>
      <c r="DM855" s="4"/>
      <c r="DN855" s="4"/>
      <c r="DO855" s="4"/>
      <c r="DP855" s="4"/>
      <c r="DQ855" s="4"/>
      <c r="DR855" s="4"/>
      <c r="DS855" s="4"/>
      <c r="DT855" s="4"/>
      <c r="DU855" s="4"/>
      <c r="DV855" s="4"/>
    </row>
    <row r="856">
      <c r="A856" s="2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  <c r="CI856" s="4"/>
      <c r="CJ856" s="4"/>
      <c r="CK856" s="4"/>
      <c r="CL856" s="4"/>
      <c r="CM856" s="4"/>
      <c r="CN856" s="4"/>
      <c r="CO856" s="4"/>
      <c r="CP856" s="4"/>
      <c r="CQ856" s="4"/>
      <c r="CR856" s="4"/>
      <c r="CS856" s="4"/>
      <c r="CT856" s="4"/>
      <c r="CU856" s="4"/>
      <c r="CV856" s="4"/>
      <c r="CW856" s="4"/>
      <c r="CX856" s="4"/>
      <c r="CY856" s="4"/>
      <c r="CZ856" s="4"/>
      <c r="DA856" s="4"/>
      <c r="DB856" s="4"/>
      <c r="DC856" s="4"/>
      <c r="DD856" s="4"/>
      <c r="DE856" s="4"/>
      <c r="DF856" s="4"/>
      <c r="DG856" s="4"/>
      <c r="DH856" s="4"/>
      <c r="DI856" s="4"/>
      <c r="DJ856" s="4"/>
      <c r="DK856" s="4"/>
      <c r="DL856" s="4"/>
      <c r="DM856" s="4"/>
      <c r="DN856" s="4"/>
      <c r="DO856" s="4"/>
      <c r="DP856" s="4"/>
      <c r="DQ856" s="4"/>
      <c r="DR856" s="4"/>
      <c r="DS856" s="4"/>
      <c r="DT856" s="4"/>
      <c r="DU856" s="4"/>
      <c r="DV856" s="4"/>
    </row>
    <row r="857">
      <c r="A857" s="2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  <c r="CI857" s="4"/>
      <c r="CJ857" s="4"/>
      <c r="CK857" s="4"/>
      <c r="CL857" s="4"/>
      <c r="CM857" s="4"/>
      <c r="CN857" s="4"/>
      <c r="CO857" s="4"/>
      <c r="CP857" s="4"/>
      <c r="CQ857" s="4"/>
      <c r="CR857" s="4"/>
      <c r="CS857" s="4"/>
      <c r="CT857" s="4"/>
      <c r="CU857" s="4"/>
      <c r="CV857" s="4"/>
      <c r="CW857" s="4"/>
      <c r="CX857" s="4"/>
      <c r="CY857" s="4"/>
      <c r="CZ857" s="4"/>
      <c r="DA857" s="4"/>
      <c r="DB857" s="4"/>
      <c r="DC857" s="4"/>
      <c r="DD857" s="4"/>
      <c r="DE857" s="4"/>
      <c r="DF857" s="4"/>
      <c r="DG857" s="4"/>
      <c r="DH857" s="4"/>
      <c r="DI857" s="4"/>
      <c r="DJ857" s="4"/>
      <c r="DK857" s="4"/>
      <c r="DL857" s="4"/>
      <c r="DM857" s="4"/>
      <c r="DN857" s="4"/>
      <c r="DO857" s="4"/>
      <c r="DP857" s="4"/>
      <c r="DQ857" s="4"/>
      <c r="DR857" s="4"/>
      <c r="DS857" s="4"/>
      <c r="DT857" s="4"/>
      <c r="DU857" s="4"/>
      <c r="DV857" s="4"/>
    </row>
    <row r="858">
      <c r="A858" s="2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  <c r="CI858" s="4"/>
      <c r="CJ858" s="4"/>
      <c r="CK858" s="4"/>
      <c r="CL858" s="4"/>
      <c r="CM858" s="4"/>
      <c r="CN858" s="4"/>
      <c r="CO858" s="4"/>
      <c r="CP858" s="4"/>
      <c r="CQ858" s="4"/>
      <c r="CR858" s="4"/>
      <c r="CS858" s="4"/>
      <c r="CT858" s="4"/>
      <c r="CU858" s="4"/>
      <c r="CV858" s="4"/>
      <c r="CW858" s="4"/>
      <c r="CX858" s="4"/>
      <c r="CY858" s="4"/>
      <c r="CZ858" s="4"/>
      <c r="DA858" s="4"/>
      <c r="DB858" s="4"/>
      <c r="DC858" s="4"/>
      <c r="DD858" s="4"/>
      <c r="DE858" s="4"/>
      <c r="DF858" s="4"/>
      <c r="DG858" s="4"/>
      <c r="DH858" s="4"/>
      <c r="DI858" s="4"/>
      <c r="DJ858" s="4"/>
      <c r="DK858" s="4"/>
      <c r="DL858" s="4"/>
      <c r="DM858" s="4"/>
      <c r="DN858" s="4"/>
      <c r="DO858" s="4"/>
      <c r="DP858" s="4"/>
      <c r="DQ858" s="4"/>
      <c r="DR858" s="4"/>
      <c r="DS858" s="4"/>
      <c r="DT858" s="4"/>
      <c r="DU858" s="4"/>
      <c r="DV858" s="4"/>
    </row>
    <row r="859">
      <c r="A859" s="2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  <c r="CI859" s="4"/>
      <c r="CJ859" s="4"/>
      <c r="CK859" s="4"/>
      <c r="CL859" s="4"/>
      <c r="CM859" s="4"/>
      <c r="CN859" s="4"/>
      <c r="CO859" s="4"/>
      <c r="CP859" s="4"/>
      <c r="CQ859" s="4"/>
      <c r="CR859" s="4"/>
      <c r="CS859" s="4"/>
      <c r="CT859" s="4"/>
      <c r="CU859" s="4"/>
      <c r="CV859" s="4"/>
      <c r="CW859" s="4"/>
      <c r="CX859" s="4"/>
      <c r="CY859" s="4"/>
      <c r="CZ859" s="4"/>
      <c r="DA859" s="4"/>
      <c r="DB859" s="4"/>
      <c r="DC859" s="4"/>
      <c r="DD859" s="4"/>
      <c r="DE859" s="4"/>
      <c r="DF859" s="4"/>
      <c r="DG859" s="4"/>
      <c r="DH859" s="4"/>
      <c r="DI859" s="4"/>
      <c r="DJ859" s="4"/>
      <c r="DK859" s="4"/>
      <c r="DL859" s="4"/>
      <c r="DM859" s="4"/>
      <c r="DN859" s="4"/>
      <c r="DO859" s="4"/>
      <c r="DP859" s="4"/>
      <c r="DQ859" s="4"/>
      <c r="DR859" s="4"/>
      <c r="DS859" s="4"/>
      <c r="DT859" s="4"/>
      <c r="DU859" s="4"/>
      <c r="DV859" s="4"/>
    </row>
    <row r="860">
      <c r="A860" s="2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  <c r="CI860" s="4"/>
      <c r="CJ860" s="4"/>
      <c r="CK860" s="4"/>
      <c r="CL860" s="4"/>
      <c r="CM860" s="4"/>
      <c r="CN860" s="4"/>
      <c r="CO860" s="4"/>
      <c r="CP860" s="4"/>
      <c r="CQ860" s="4"/>
      <c r="CR860" s="4"/>
      <c r="CS860" s="4"/>
      <c r="CT860" s="4"/>
      <c r="CU860" s="4"/>
      <c r="CV860" s="4"/>
      <c r="CW860" s="4"/>
      <c r="CX860" s="4"/>
      <c r="CY860" s="4"/>
      <c r="CZ860" s="4"/>
      <c r="DA860" s="4"/>
      <c r="DB860" s="4"/>
      <c r="DC860" s="4"/>
      <c r="DD860" s="4"/>
      <c r="DE860" s="4"/>
      <c r="DF860" s="4"/>
      <c r="DG860" s="4"/>
      <c r="DH860" s="4"/>
      <c r="DI860" s="4"/>
      <c r="DJ860" s="4"/>
      <c r="DK860" s="4"/>
      <c r="DL860" s="4"/>
      <c r="DM860" s="4"/>
      <c r="DN860" s="4"/>
      <c r="DO860" s="4"/>
      <c r="DP860" s="4"/>
      <c r="DQ860" s="4"/>
      <c r="DR860" s="4"/>
      <c r="DS860" s="4"/>
      <c r="DT860" s="4"/>
      <c r="DU860" s="4"/>
      <c r="DV860" s="4"/>
    </row>
    <row r="861">
      <c r="A861" s="2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  <c r="CI861" s="4"/>
      <c r="CJ861" s="4"/>
      <c r="CK861" s="4"/>
      <c r="CL861" s="4"/>
      <c r="CM861" s="4"/>
      <c r="CN861" s="4"/>
      <c r="CO861" s="4"/>
      <c r="CP861" s="4"/>
      <c r="CQ861" s="4"/>
      <c r="CR861" s="4"/>
      <c r="CS861" s="4"/>
      <c r="CT861" s="4"/>
      <c r="CU861" s="4"/>
      <c r="CV861" s="4"/>
      <c r="CW861" s="4"/>
      <c r="CX861" s="4"/>
      <c r="CY861" s="4"/>
      <c r="CZ861" s="4"/>
      <c r="DA861" s="4"/>
      <c r="DB861" s="4"/>
      <c r="DC861" s="4"/>
      <c r="DD861" s="4"/>
      <c r="DE861" s="4"/>
      <c r="DF861" s="4"/>
      <c r="DG861" s="4"/>
      <c r="DH861" s="4"/>
      <c r="DI861" s="4"/>
      <c r="DJ861" s="4"/>
      <c r="DK861" s="4"/>
      <c r="DL861" s="4"/>
      <c r="DM861" s="4"/>
      <c r="DN861" s="4"/>
      <c r="DO861" s="4"/>
      <c r="DP861" s="4"/>
      <c r="DQ861" s="4"/>
      <c r="DR861" s="4"/>
      <c r="DS861" s="4"/>
      <c r="DT861" s="4"/>
      <c r="DU861" s="4"/>
      <c r="DV861" s="4"/>
    </row>
    <row r="862">
      <c r="A862" s="2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  <c r="CI862" s="4"/>
      <c r="CJ862" s="4"/>
      <c r="CK862" s="4"/>
      <c r="CL862" s="4"/>
      <c r="CM862" s="4"/>
      <c r="CN862" s="4"/>
      <c r="CO862" s="4"/>
      <c r="CP862" s="4"/>
      <c r="CQ862" s="4"/>
      <c r="CR862" s="4"/>
      <c r="CS862" s="4"/>
      <c r="CT862" s="4"/>
      <c r="CU862" s="4"/>
      <c r="CV862" s="4"/>
      <c r="CW862" s="4"/>
      <c r="CX862" s="4"/>
      <c r="CY862" s="4"/>
      <c r="CZ862" s="4"/>
      <c r="DA862" s="4"/>
      <c r="DB862" s="4"/>
      <c r="DC862" s="4"/>
      <c r="DD862" s="4"/>
      <c r="DE862" s="4"/>
      <c r="DF862" s="4"/>
      <c r="DG862" s="4"/>
      <c r="DH862" s="4"/>
      <c r="DI862" s="4"/>
      <c r="DJ862" s="4"/>
      <c r="DK862" s="4"/>
      <c r="DL862" s="4"/>
      <c r="DM862" s="4"/>
      <c r="DN862" s="4"/>
      <c r="DO862" s="4"/>
      <c r="DP862" s="4"/>
      <c r="DQ862" s="4"/>
      <c r="DR862" s="4"/>
      <c r="DS862" s="4"/>
      <c r="DT862" s="4"/>
      <c r="DU862" s="4"/>
      <c r="DV862" s="4"/>
    </row>
    <row r="863">
      <c r="A863" s="2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  <c r="CI863" s="4"/>
      <c r="CJ863" s="4"/>
      <c r="CK863" s="4"/>
      <c r="CL863" s="4"/>
      <c r="CM863" s="4"/>
      <c r="CN863" s="4"/>
      <c r="CO863" s="4"/>
      <c r="CP863" s="4"/>
      <c r="CQ863" s="4"/>
      <c r="CR863" s="4"/>
      <c r="CS863" s="4"/>
      <c r="CT863" s="4"/>
      <c r="CU863" s="4"/>
      <c r="CV863" s="4"/>
      <c r="CW863" s="4"/>
      <c r="CX863" s="4"/>
      <c r="CY863" s="4"/>
      <c r="CZ863" s="4"/>
      <c r="DA863" s="4"/>
      <c r="DB863" s="4"/>
      <c r="DC863" s="4"/>
      <c r="DD863" s="4"/>
      <c r="DE863" s="4"/>
      <c r="DF863" s="4"/>
      <c r="DG863" s="4"/>
      <c r="DH863" s="4"/>
      <c r="DI863" s="4"/>
      <c r="DJ863" s="4"/>
      <c r="DK863" s="4"/>
      <c r="DL863" s="4"/>
      <c r="DM863" s="4"/>
      <c r="DN863" s="4"/>
      <c r="DO863" s="4"/>
      <c r="DP863" s="4"/>
      <c r="DQ863" s="4"/>
      <c r="DR863" s="4"/>
      <c r="DS863" s="4"/>
      <c r="DT863" s="4"/>
      <c r="DU863" s="4"/>
      <c r="DV863" s="4"/>
    </row>
    <row r="864">
      <c r="A864" s="2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  <c r="CI864" s="4"/>
      <c r="CJ864" s="4"/>
      <c r="CK864" s="4"/>
      <c r="CL864" s="4"/>
      <c r="CM864" s="4"/>
      <c r="CN864" s="4"/>
      <c r="CO864" s="4"/>
      <c r="CP864" s="4"/>
      <c r="CQ864" s="4"/>
      <c r="CR864" s="4"/>
      <c r="CS864" s="4"/>
      <c r="CT864" s="4"/>
      <c r="CU864" s="4"/>
      <c r="CV864" s="4"/>
      <c r="CW864" s="4"/>
      <c r="CX864" s="4"/>
      <c r="CY864" s="4"/>
      <c r="CZ864" s="4"/>
      <c r="DA864" s="4"/>
      <c r="DB864" s="4"/>
      <c r="DC864" s="4"/>
      <c r="DD864" s="4"/>
      <c r="DE864" s="4"/>
      <c r="DF864" s="4"/>
      <c r="DG864" s="4"/>
      <c r="DH864" s="4"/>
      <c r="DI864" s="4"/>
      <c r="DJ864" s="4"/>
      <c r="DK864" s="4"/>
      <c r="DL864" s="4"/>
      <c r="DM864" s="4"/>
      <c r="DN864" s="4"/>
      <c r="DO864" s="4"/>
      <c r="DP864" s="4"/>
      <c r="DQ864" s="4"/>
      <c r="DR864" s="4"/>
      <c r="DS864" s="4"/>
      <c r="DT864" s="4"/>
      <c r="DU864" s="4"/>
      <c r="DV864" s="4"/>
    </row>
    <row r="865">
      <c r="A865" s="2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  <c r="CI865" s="4"/>
      <c r="CJ865" s="4"/>
      <c r="CK865" s="4"/>
      <c r="CL865" s="4"/>
      <c r="CM865" s="4"/>
      <c r="CN865" s="4"/>
      <c r="CO865" s="4"/>
      <c r="CP865" s="4"/>
      <c r="CQ865" s="4"/>
      <c r="CR865" s="4"/>
      <c r="CS865" s="4"/>
      <c r="CT865" s="4"/>
      <c r="CU865" s="4"/>
      <c r="CV865" s="4"/>
      <c r="CW865" s="4"/>
      <c r="CX865" s="4"/>
      <c r="CY865" s="4"/>
      <c r="CZ865" s="4"/>
      <c r="DA865" s="4"/>
      <c r="DB865" s="4"/>
      <c r="DC865" s="4"/>
      <c r="DD865" s="4"/>
      <c r="DE865" s="4"/>
      <c r="DF865" s="4"/>
      <c r="DG865" s="4"/>
      <c r="DH865" s="4"/>
      <c r="DI865" s="4"/>
      <c r="DJ865" s="4"/>
      <c r="DK865" s="4"/>
      <c r="DL865" s="4"/>
      <c r="DM865" s="4"/>
      <c r="DN865" s="4"/>
      <c r="DO865" s="4"/>
      <c r="DP865" s="4"/>
      <c r="DQ865" s="4"/>
      <c r="DR865" s="4"/>
      <c r="DS865" s="4"/>
      <c r="DT865" s="4"/>
      <c r="DU865" s="4"/>
      <c r="DV865" s="4"/>
    </row>
    <row r="866">
      <c r="A866" s="2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  <c r="CI866" s="4"/>
      <c r="CJ866" s="4"/>
      <c r="CK866" s="4"/>
      <c r="CL866" s="4"/>
      <c r="CM866" s="4"/>
      <c r="CN866" s="4"/>
      <c r="CO866" s="4"/>
      <c r="CP866" s="4"/>
      <c r="CQ866" s="4"/>
      <c r="CR866" s="4"/>
      <c r="CS866" s="4"/>
      <c r="CT866" s="4"/>
      <c r="CU866" s="4"/>
      <c r="CV866" s="4"/>
      <c r="CW866" s="4"/>
      <c r="CX866" s="4"/>
      <c r="CY866" s="4"/>
      <c r="CZ866" s="4"/>
      <c r="DA866" s="4"/>
      <c r="DB866" s="4"/>
      <c r="DC866" s="4"/>
      <c r="DD866" s="4"/>
      <c r="DE866" s="4"/>
      <c r="DF866" s="4"/>
      <c r="DG866" s="4"/>
      <c r="DH866" s="4"/>
      <c r="DI866" s="4"/>
      <c r="DJ866" s="4"/>
      <c r="DK866" s="4"/>
      <c r="DL866" s="4"/>
      <c r="DM866" s="4"/>
      <c r="DN866" s="4"/>
      <c r="DO866" s="4"/>
      <c r="DP866" s="4"/>
      <c r="DQ866" s="4"/>
      <c r="DR866" s="4"/>
      <c r="DS866" s="4"/>
      <c r="DT866" s="4"/>
      <c r="DU866" s="4"/>
      <c r="DV866" s="4"/>
    </row>
    <row r="867">
      <c r="A867" s="2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  <c r="CI867" s="4"/>
      <c r="CJ867" s="4"/>
      <c r="CK867" s="4"/>
      <c r="CL867" s="4"/>
      <c r="CM867" s="4"/>
      <c r="CN867" s="4"/>
      <c r="CO867" s="4"/>
      <c r="CP867" s="4"/>
      <c r="CQ867" s="4"/>
      <c r="CR867" s="4"/>
      <c r="CS867" s="4"/>
      <c r="CT867" s="4"/>
      <c r="CU867" s="4"/>
      <c r="CV867" s="4"/>
      <c r="CW867" s="4"/>
      <c r="CX867" s="4"/>
      <c r="CY867" s="4"/>
      <c r="CZ867" s="4"/>
      <c r="DA867" s="4"/>
      <c r="DB867" s="4"/>
      <c r="DC867" s="4"/>
      <c r="DD867" s="4"/>
      <c r="DE867" s="4"/>
      <c r="DF867" s="4"/>
      <c r="DG867" s="4"/>
      <c r="DH867" s="4"/>
      <c r="DI867" s="4"/>
      <c r="DJ867" s="4"/>
      <c r="DK867" s="4"/>
      <c r="DL867" s="4"/>
      <c r="DM867" s="4"/>
      <c r="DN867" s="4"/>
      <c r="DO867" s="4"/>
      <c r="DP867" s="4"/>
      <c r="DQ867" s="4"/>
      <c r="DR867" s="4"/>
      <c r="DS867" s="4"/>
      <c r="DT867" s="4"/>
      <c r="DU867" s="4"/>
      <c r="DV867" s="4"/>
    </row>
    <row r="868">
      <c r="A868" s="2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  <c r="CI868" s="4"/>
      <c r="CJ868" s="4"/>
      <c r="CK868" s="4"/>
      <c r="CL868" s="4"/>
      <c r="CM868" s="4"/>
      <c r="CN868" s="4"/>
      <c r="CO868" s="4"/>
      <c r="CP868" s="4"/>
      <c r="CQ868" s="4"/>
      <c r="CR868" s="4"/>
      <c r="CS868" s="4"/>
      <c r="CT868" s="4"/>
      <c r="CU868" s="4"/>
      <c r="CV868" s="4"/>
      <c r="CW868" s="4"/>
      <c r="CX868" s="4"/>
      <c r="CY868" s="4"/>
      <c r="CZ868" s="4"/>
      <c r="DA868" s="4"/>
      <c r="DB868" s="4"/>
      <c r="DC868" s="4"/>
      <c r="DD868" s="4"/>
      <c r="DE868" s="4"/>
      <c r="DF868" s="4"/>
      <c r="DG868" s="4"/>
      <c r="DH868" s="4"/>
      <c r="DI868" s="4"/>
      <c r="DJ868" s="4"/>
      <c r="DK868" s="4"/>
      <c r="DL868" s="4"/>
      <c r="DM868" s="4"/>
      <c r="DN868" s="4"/>
      <c r="DO868" s="4"/>
      <c r="DP868" s="4"/>
      <c r="DQ868" s="4"/>
      <c r="DR868" s="4"/>
      <c r="DS868" s="4"/>
      <c r="DT868" s="4"/>
      <c r="DU868" s="4"/>
      <c r="DV868" s="4"/>
    </row>
    <row r="869">
      <c r="A869" s="2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  <c r="CI869" s="4"/>
      <c r="CJ869" s="4"/>
      <c r="CK869" s="4"/>
      <c r="CL869" s="4"/>
      <c r="CM869" s="4"/>
      <c r="CN869" s="4"/>
      <c r="CO869" s="4"/>
      <c r="CP869" s="4"/>
      <c r="CQ869" s="4"/>
      <c r="CR869" s="4"/>
      <c r="CS869" s="4"/>
      <c r="CT869" s="4"/>
      <c r="CU869" s="4"/>
      <c r="CV869" s="4"/>
      <c r="CW869" s="4"/>
      <c r="CX869" s="4"/>
      <c r="CY869" s="4"/>
      <c r="CZ869" s="4"/>
      <c r="DA869" s="4"/>
      <c r="DB869" s="4"/>
      <c r="DC869" s="4"/>
      <c r="DD869" s="4"/>
      <c r="DE869" s="4"/>
      <c r="DF869" s="4"/>
      <c r="DG869" s="4"/>
      <c r="DH869" s="4"/>
      <c r="DI869" s="4"/>
      <c r="DJ869" s="4"/>
      <c r="DK869" s="4"/>
      <c r="DL869" s="4"/>
      <c r="DM869" s="4"/>
      <c r="DN869" s="4"/>
      <c r="DO869" s="4"/>
      <c r="DP869" s="4"/>
      <c r="DQ869" s="4"/>
      <c r="DR869" s="4"/>
      <c r="DS869" s="4"/>
      <c r="DT869" s="4"/>
      <c r="DU869" s="4"/>
      <c r="DV869" s="4"/>
    </row>
    <row r="870">
      <c r="A870" s="2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  <c r="CI870" s="4"/>
      <c r="CJ870" s="4"/>
      <c r="CK870" s="4"/>
      <c r="CL870" s="4"/>
      <c r="CM870" s="4"/>
      <c r="CN870" s="4"/>
      <c r="CO870" s="4"/>
      <c r="CP870" s="4"/>
      <c r="CQ870" s="4"/>
      <c r="CR870" s="4"/>
      <c r="CS870" s="4"/>
      <c r="CT870" s="4"/>
      <c r="CU870" s="4"/>
      <c r="CV870" s="4"/>
      <c r="CW870" s="4"/>
      <c r="CX870" s="4"/>
      <c r="CY870" s="4"/>
      <c r="CZ870" s="4"/>
      <c r="DA870" s="4"/>
      <c r="DB870" s="4"/>
      <c r="DC870" s="4"/>
      <c r="DD870" s="4"/>
      <c r="DE870" s="4"/>
      <c r="DF870" s="4"/>
      <c r="DG870" s="4"/>
      <c r="DH870" s="4"/>
      <c r="DI870" s="4"/>
      <c r="DJ870" s="4"/>
      <c r="DK870" s="4"/>
      <c r="DL870" s="4"/>
      <c r="DM870" s="4"/>
      <c r="DN870" s="4"/>
      <c r="DO870" s="4"/>
      <c r="DP870" s="4"/>
      <c r="DQ870" s="4"/>
      <c r="DR870" s="4"/>
      <c r="DS870" s="4"/>
      <c r="DT870" s="4"/>
      <c r="DU870" s="4"/>
      <c r="DV870" s="4"/>
    </row>
    <row r="871">
      <c r="A871" s="2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  <c r="CI871" s="4"/>
      <c r="CJ871" s="4"/>
      <c r="CK871" s="4"/>
      <c r="CL871" s="4"/>
      <c r="CM871" s="4"/>
      <c r="CN871" s="4"/>
      <c r="CO871" s="4"/>
      <c r="CP871" s="4"/>
      <c r="CQ871" s="4"/>
      <c r="CR871" s="4"/>
      <c r="CS871" s="4"/>
      <c r="CT871" s="4"/>
      <c r="CU871" s="4"/>
      <c r="CV871" s="4"/>
      <c r="CW871" s="4"/>
      <c r="CX871" s="4"/>
      <c r="CY871" s="4"/>
      <c r="CZ871" s="4"/>
      <c r="DA871" s="4"/>
      <c r="DB871" s="4"/>
      <c r="DC871" s="4"/>
      <c r="DD871" s="4"/>
      <c r="DE871" s="4"/>
      <c r="DF871" s="4"/>
      <c r="DG871" s="4"/>
      <c r="DH871" s="4"/>
      <c r="DI871" s="4"/>
      <c r="DJ871" s="4"/>
      <c r="DK871" s="4"/>
      <c r="DL871" s="4"/>
      <c r="DM871" s="4"/>
      <c r="DN871" s="4"/>
      <c r="DO871" s="4"/>
      <c r="DP871" s="4"/>
      <c r="DQ871" s="4"/>
      <c r="DR871" s="4"/>
      <c r="DS871" s="4"/>
      <c r="DT871" s="4"/>
      <c r="DU871" s="4"/>
      <c r="DV871" s="4"/>
    </row>
    <row r="872">
      <c r="A872" s="2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  <c r="CI872" s="4"/>
      <c r="CJ872" s="4"/>
      <c r="CK872" s="4"/>
      <c r="CL872" s="4"/>
      <c r="CM872" s="4"/>
      <c r="CN872" s="4"/>
      <c r="CO872" s="4"/>
      <c r="CP872" s="4"/>
      <c r="CQ872" s="4"/>
      <c r="CR872" s="4"/>
      <c r="CS872" s="4"/>
      <c r="CT872" s="4"/>
      <c r="CU872" s="4"/>
      <c r="CV872" s="4"/>
      <c r="CW872" s="4"/>
      <c r="CX872" s="4"/>
      <c r="CY872" s="4"/>
      <c r="CZ872" s="4"/>
      <c r="DA872" s="4"/>
      <c r="DB872" s="4"/>
      <c r="DC872" s="4"/>
      <c r="DD872" s="4"/>
      <c r="DE872" s="4"/>
      <c r="DF872" s="4"/>
      <c r="DG872" s="4"/>
      <c r="DH872" s="4"/>
      <c r="DI872" s="4"/>
      <c r="DJ872" s="4"/>
      <c r="DK872" s="4"/>
      <c r="DL872" s="4"/>
      <c r="DM872" s="4"/>
      <c r="DN872" s="4"/>
      <c r="DO872" s="4"/>
      <c r="DP872" s="4"/>
      <c r="DQ872" s="4"/>
      <c r="DR872" s="4"/>
      <c r="DS872" s="4"/>
      <c r="DT872" s="4"/>
      <c r="DU872" s="4"/>
      <c r="DV872" s="4"/>
    </row>
    <row r="873">
      <c r="A873" s="2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  <c r="CI873" s="4"/>
      <c r="CJ873" s="4"/>
      <c r="CK873" s="4"/>
      <c r="CL873" s="4"/>
      <c r="CM873" s="4"/>
      <c r="CN873" s="4"/>
      <c r="CO873" s="4"/>
      <c r="CP873" s="4"/>
      <c r="CQ873" s="4"/>
      <c r="CR873" s="4"/>
      <c r="CS873" s="4"/>
      <c r="CT873" s="4"/>
      <c r="CU873" s="4"/>
      <c r="CV873" s="4"/>
      <c r="CW873" s="4"/>
      <c r="CX873" s="4"/>
      <c r="CY873" s="4"/>
      <c r="CZ873" s="4"/>
      <c r="DA873" s="4"/>
      <c r="DB873" s="4"/>
      <c r="DC873" s="4"/>
      <c r="DD873" s="4"/>
      <c r="DE873" s="4"/>
      <c r="DF873" s="4"/>
      <c r="DG873" s="4"/>
      <c r="DH873" s="4"/>
      <c r="DI873" s="4"/>
      <c r="DJ873" s="4"/>
      <c r="DK873" s="4"/>
      <c r="DL873" s="4"/>
      <c r="DM873" s="4"/>
      <c r="DN873" s="4"/>
      <c r="DO873" s="4"/>
      <c r="DP873" s="4"/>
      <c r="DQ873" s="4"/>
      <c r="DR873" s="4"/>
      <c r="DS873" s="4"/>
      <c r="DT873" s="4"/>
      <c r="DU873" s="4"/>
      <c r="DV873" s="4"/>
    </row>
    <row r="874">
      <c r="A874" s="2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  <c r="CI874" s="4"/>
      <c r="CJ874" s="4"/>
      <c r="CK874" s="4"/>
      <c r="CL874" s="4"/>
      <c r="CM874" s="4"/>
      <c r="CN874" s="4"/>
      <c r="CO874" s="4"/>
      <c r="CP874" s="4"/>
      <c r="CQ874" s="4"/>
      <c r="CR874" s="4"/>
      <c r="CS874" s="4"/>
      <c r="CT874" s="4"/>
      <c r="CU874" s="4"/>
      <c r="CV874" s="4"/>
      <c r="CW874" s="4"/>
      <c r="CX874" s="4"/>
      <c r="CY874" s="4"/>
      <c r="CZ874" s="4"/>
      <c r="DA874" s="4"/>
      <c r="DB874" s="4"/>
      <c r="DC874" s="4"/>
      <c r="DD874" s="4"/>
      <c r="DE874" s="4"/>
      <c r="DF874" s="4"/>
      <c r="DG874" s="4"/>
      <c r="DH874" s="4"/>
      <c r="DI874" s="4"/>
      <c r="DJ874" s="4"/>
      <c r="DK874" s="4"/>
      <c r="DL874" s="4"/>
      <c r="DM874" s="4"/>
      <c r="DN874" s="4"/>
      <c r="DO874" s="4"/>
      <c r="DP874" s="4"/>
      <c r="DQ874" s="4"/>
      <c r="DR874" s="4"/>
      <c r="DS874" s="4"/>
      <c r="DT874" s="4"/>
      <c r="DU874" s="4"/>
      <c r="DV874" s="4"/>
    </row>
    <row r="875">
      <c r="A875" s="2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  <c r="CI875" s="4"/>
      <c r="CJ875" s="4"/>
      <c r="CK875" s="4"/>
      <c r="CL875" s="4"/>
      <c r="CM875" s="4"/>
      <c r="CN875" s="4"/>
      <c r="CO875" s="4"/>
      <c r="CP875" s="4"/>
      <c r="CQ875" s="4"/>
      <c r="CR875" s="4"/>
      <c r="CS875" s="4"/>
      <c r="CT875" s="4"/>
      <c r="CU875" s="4"/>
      <c r="CV875" s="4"/>
      <c r="CW875" s="4"/>
      <c r="CX875" s="4"/>
      <c r="CY875" s="4"/>
      <c r="CZ875" s="4"/>
      <c r="DA875" s="4"/>
      <c r="DB875" s="4"/>
      <c r="DC875" s="4"/>
      <c r="DD875" s="4"/>
      <c r="DE875" s="4"/>
      <c r="DF875" s="4"/>
      <c r="DG875" s="4"/>
      <c r="DH875" s="4"/>
      <c r="DI875" s="4"/>
      <c r="DJ875" s="4"/>
      <c r="DK875" s="4"/>
      <c r="DL875" s="4"/>
      <c r="DM875" s="4"/>
      <c r="DN875" s="4"/>
      <c r="DO875" s="4"/>
      <c r="DP875" s="4"/>
      <c r="DQ875" s="4"/>
      <c r="DR875" s="4"/>
      <c r="DS875" s="4"/>
      <c r="DT875" s="4"/>
      <c r="DU875" s="4"/>
      <c r="DV875" s="4"/>
    </row>
    <row r="876">
      <c r="A876" s="2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  <c r="CI876" s="4"/>
      <c r="CJ876" s="4"/>
      <c r="CK876" s="4"/>
      <c r="CL876" s="4"/>
      <c r="CM876" s="4"/>
      <c r="CN876" s="4"/>
      <c r="CO876" s="4"/>
      <c r="CP876" s="4"/>
      <c r="CQ876" s="4"/>
      <c r="CR876" s="4"/>
      <c r="CS876" s="4"/>
      <c r="CT876" s="4"/>
      <c r="CU876" s="4"/>
      <c r="CV876" s="4"/>
      <c r="CW876" s="4"/>
      <c r="CX876" s="4"/>
      <c r="CY876" s="4"/>
      <c r="CZ876" s="4"/>
      <c r="DA876" s="4"/>
      <c r="DB876" s="4"/>
      <c r="DC876" s="4"/>
      <c r="DD876" s="4"/>
      <c r="DE876" s="4"/>
      <c r="DF876" s="4"/>
      <c r="DG876" s="4"/>
      <c r="DH876" s="4"/>
      <c r="DI876" s="4"/>
      <c r="DJ876" s="4"/>
      <c r="DK876" s="4"/>
      <c r="DL876" s="4"/>
      <c r="DM876" s="4"/>
      <c r="DN876" s="4"/>
      <c r="DO876" s="4"/>
      <c r="DP876" s="4"/>
      <c r="DQ876" s="4"/>
      <c r="DR876" s="4"/>
      <c r="DS876" s="4"/>
      <c r="DT876" s="4"/>
      <c r="DU876" s="4"/>
      <c r="DV876" s="4"/>
    </row>
    <row r="877">
      <c r="A877" s="2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  <c r="CI877" s="4"/>
      <c r="CJ877" s="4"/>
      <c r="CK877" s="4"/>
      <c r="CL877" s="4"/>
      <c r="CM877" s="4"/>
      <c r="CN877" s="4"/>
      <c r="CO877" s="4"/>
      <c r="CP877" s="4"/>
      <c r="CQ877" s="4"/>
      <c r="CR877" s="4"/>
      <c r="CS877" s="4"/>
      <c r="CT877" s="4"/>
      <c r="CU877" s="4"/>
      <c r="CV877" s="4"/>
      <c r="CW877" s="4"/>
      <c r="CX877" s="4"/>
      <c r="CY877" s="4"/>
      <c r="CZ877" s="4"/>
      <c r="DA877" s="4"/>
      <c r="DB877" s="4"/>
      <c r="DC877" s="4"/>
      <c r="DD877" s="4"/>
      <c r="DE877" s="4"/>
      <c r="DF877" s="4"/>
      <c r="DG877" s="4"/>
      <c r="DH877" s="4"/>
      <c r="DI877" s="4"/>
      <c r="DJ877" s="4"/>
      <c r="DK877" s="4"/>
      <c r="DL877" s="4"/>
      <c r="DM877" s="4"/>
      <c r="DN877" s="4"/>
      <c r="DO877" s="4"/>
      <c r="DP877" s="4"/>
      <c r="DQ877" s="4"/>
      <c r="DR877" s="4"/>
      <c r="DS877" s="4"/>
      <c r="DT877" s="4"/>
      <c r="DU877" s="4"/>
      <c r="DV877" s="4"/>
    </row>
    <row r="878">
      <c r="A878" s="2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  <c r="CI878" s="4"/>
      <c r="CJ878" s="4"/>
      <c r="CK878" s="4"/>
      <c r="CL878" s="4"/>
      <c r="CM878" s="4"/>
      <c r="CN878" s="4"/>
      <c r="CO878" s="4"/>
      <c r="CP878" s="4"/>
      <c r="CQ878" s="4"/>
      <c r="CR878" s="4"/>
      <c r="CS878" s="4"/>
      <c r="CT878" s="4"/>
      <c r="CU878" s="4"/>
      <c r="CV878" s="4"/>
      <c r="CW878" s="4"/>
      <c r="CX878" s="4"/>
      <c r="CY878" s="4"/>
      <c r="CZ878" s="4"/>
      <c r="DA878" s="4"/>
      <c r="DB878" s="4"/>
      <c r="DC878" s="4"/>
      <c r="DD878" s="4"/>
      <c r="DE878" s="4"/>
      <c r="DF878" s="4"/>
      <c r="DG878" s="4"/>
      <c r="DH878" s="4"/>
      <c r="DI878" s="4"/>
      <c r="DJ878" s="4"/>
      <c r="DK878" s="4"/>
      <c r="DL878" s="4"/>
      <c r="DM878" s="4"/>
      <c r="DN878" s="4"/>
      <c r="DO878" s="4"/>
      <c r="DP878" s="4"/>
      <c r="DQ878" s="4"/>
      <c r="DR878" s="4"/>
      <c r="DS878" s="4"/>
      <c r="DT878" s="4"/>
      <c r="DU878" s="4"/>
      <c r="DV878" s="4"/>
    </row>
    <row r="879">
      <c r="A879" s="2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  <c r="CI879" s="4"/>
      <c r="CJ879" s="4"/>
      <c r="CK879" s="4"/>
      <c r="CL879" s="4"/>
      <c r="CM879" s="4"/>
      <c r="CN879" s="4"/>
      <c r="CO879" s="4"/>
      <c r="CP879" s="4"/>
      <c r="CQ879" s="4"/>
      <c r="CR879" s="4"/>
      <c r="CS879" s="4"/>
      <c r="CT879" s="4"/>
      <c r="CU879" s="4"/>
      <c r="CV879" s="4"/>
      <c r="CW879" s="4"/>
      <c r="CX879" s="4"/>
      <c r="CY879" s="4"/>
      <c r="CZ879" s="4"/>
      <c r="DA879" s="4"/>
      <c r="DB879" s="4"/>
      <c r="DC879" s="4"/>
      <c r="DD879" s="4"/>
      <c r="DE879" s="4"/>
      <c r="DF879" s="4"/>
      <c r="DG879" s="4"/>
      <c r="DH879" s="4"/>
      <c r="DI879" s="4"/>
      <c r="DJ879" s="4"/>
      <c r="DK879" s="4"/>
      <c r="DL879" s="4"/>
      <c r="DM879" s="4"/>
      <c r="DN879" s="4"/>
      <c r="DO879" s="4"/>
      <c r="DP879" s="4"/>
      <c r="DQ879" s="4"/>
      <c r="DR879" s="4"/>
      <c r="DS879" s="4"/>
      <c r="DT879" s="4"/>
      <c r="DU879" s="4"/>
      <c r="DV879" s="4"/>
    </row>
    <row r="880">
      <c r="A880" s="2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  <c r="CI880" s="4"/>
      <c r="CJ880" s="4"/>
      <c r="CK880" s="4"/>
      <c r="CL880" s="4"/>
      <c r="CM880" s="4"/>
      <c r="CN880" s="4"/>
      <c r="CO880" s="4"/>
      <c r="CP880" s="4"/>
      <c r="CQ880" s="4"/>
      <c r="CR880" s="4"/>
      <c r="CS880" s="4"/>
      <c r="CT880" s="4"/>
      <c r="CU880" s="4"/>
      <c r="CV880" s="4"/>
      <c r="CW880" s="4"/>
      <c r="CX880" s="4"/>
      <c r="CY880" s="4"/>
      <c r="CZ880" s="4"/>
      <c r="DA880" s="4"/>
      <c r="DB880" s="4"/>
      <c r="DC880" s="4"/>
      <c r="DD880" s="4"/>
      <c r="DE880" s="4"/>
      <c r="DF880" s="4"/>
      <c r="DG880" s="4"/>
      <c r="DH880" s="4"/>
      <c r="DI880" s="4"/>
      <c r="DJ880" s="4"/>
      <c r="DK880" s="4"/>
      <c r="DL880" s="4"/>
      <c r="DM880" s="4"/>
      <c r="DN880" s="4"/>
      <c r="DO880" s="4"/>
      <c r="DP880" s="4"/>
      <c r="DQ880" s="4"/>
      <c r="DR880" s="4"/>
      <c r="DS880" s="4"/>
      <c r="DT880" s="4"/>
      <c r="DU880" s="4"/>
      <c r="DV880" s="4"/>
    </row>
    <row r="881">
      <c r="A881" s="2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  <c r="CI881" s="4"/>
      <c r="CJ881" s="4"/>
      <c r="CK881" s="4"/>
      <c r="CL881" s="4"/>
      <c r="CM881" s="4"/>
      <c r="CN881" s="4"/>
      <c r="CO881" s="4"/>
      <c r="CP881" s="4"/>
      <c r="CQ881" s="4"/>
      <c r="CR881" s="4"/>
      <c r="CS881" s="4"/>
      <c r="CT881" s="4"/>
      <c r="CU881" s="4"/>
      <c r="CV881" s="4"/>
      <c r="CW881" s="4"/>
      <c r="CX881" s="4"/>
      <c r="CY881" s="4"/>
      <c r="CZ881" s="4"/>
      <c r="DA881" s="4"/>
      <c r="DB881" s="4"/>
      <c r="DC881" s="4"/>
      <c r="DD881" s="4"/>
      <c r="DE881" s="4"/>
      <c r="DF881" s="4"/>
      <c r="DG881" s="4"/>
      <c r="DH881" s="4"/>
      <c r="DI881" s="4"/>
      <c r="DJ881" s="4"/>
      <c r="DK881" s="4"/>
      <c r="DL881" s="4"/>
      <c r="DM881" s="4"/>
      <c r="DN881" s="4"/>
      <c r="DO881" s="4"/>
      <c r="DP881" s="4"/>
      <c r="DQ881" s="4"/>
      <c r="DR881" s="4"/>
      <c r="DS881" s="4"/>
      <c r="DT881" s="4"/>
      <c r="DU881" s="4"/>
      <c r="DV881" s="4"/>
    </row>
    <row r="882">
      <c r="A882" s="2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  <c r="CI882" s="4"/>
      <c r="CJ882" s="4"/>
      <c r="CK882" s="4"/>
      <c r="CL882" s="4"/>
      <c r="CM882" s="4"/>
      <c r="CN882" s="4"/>
      <c r="CO882" s="4"/>
      <c r="CP882" s="4"/>
      <c r="CQ882" s="4"/>
      <c r="CR882" s="4"/>
      <c r="CS882" s="4"/>
      <c r="CT882" s="4"/>
      <c r="CU882" s="4"/>
      <c r="CV882" s="4"/>
      <c r="CW882" s="4"/>
      <c r="CX882" s="4"/>
      <c r="CY882" s="4"/>
      <c r="CZ882" s="4"/>
      <c r="DA882" s="4"/>
      <c r="DB882" s="4"/>
      <c r="DC882" s="4"/>
      <c r="DD882" s="4"/>
      <c r="DE882" s="4"/>
      <c r="DF882" s="4"/>
      <c r="DG882" s="4"/>
      <c r="DH882" s="4"/>
      <c r="DI882" s="4"/>
      <c r="DJ882" s="4"/>
      <c r="DK882" s="4"/>
      <c r="DL882" s="4"/>
      <c r="DM882" s="4"/>
      <c r="DN882" s="4"/>
      <c r="DO882" s="4"/>
      <c r="DP882" s="4"/>
      <c r="DQ882" s="4"/>
      <c r="DR882" s="4"/>
      <c r="DS882" s="4"/>
      <c r="DT882" s="4"/>
      <c r="DU882" s="4"/>
      <c r="DV882" s="4"/>
    </row>
    <row r="883">
      <c r="A883" s="2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  <c r="CI883" s="4"/>
      <c r="CJ883" s="4"/>
      <c r="CK883" s="4"/>
      <c r="CL883" s="4"/>
      <c r="CM883" s="4"/>
      <c r="CN883" s="4"/>
      <c r="CO883" s="4"/>
      <c r="CP883" s="4"/>
      <c r="CQ883" s="4"/>
      <c r="CR883" s="4"/>
      <c r="CS883" s="4"/>
      <c r="CT883" s="4"/>
      <c r="CU883" s="4"/>
      <c r="CV883" s="4"/>
      <c r="CW883" s="4"/>
      <c r="CX883" s="4"/>
      <c r="CY883" s="4"/>
      <c r="CZ883" s="4"/>
      <c r="DA883" s="4"/>
      <c r="DB883" s="4"/>
      <c r="DC883" s="4"/>
      <c r="DD883" s="4"/>
      <c r="DE883" s="4"/>
      <c r="DF883" s="4"/>
      <c r="DG883" s="4"/>
      <c r="DH883" s="4"/>
      <c r="DI883" s="4"/>
      <c r="DJ883" s="4"/>
      <c r="DK883" s="4"/>
      <c r="DL883" s="4"/>
      <c r="DM883" s="4"/>
      <c r="DN883" s="4"/>
      <c r="DO883" s="4"/>
      <c r="DP883" s="4"/>
      <c r="DQ883" s="4"/>
      <c r="DR883" s="4"/>
      <c r="DS883" s="4"/>
      <c r="DT883" s="4"/>
      <c r="DU883" s="4"/>
      <c r="DV883" s="4"/>
    </row>
    <row r="884">
      <c r="A884" s="2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  <c r="CI884" s="4"/>
      <c r="CJ884" s="4"/>
      <c r="CK884" s="4"/>
      <c r="CL884" s="4"/>
      <c r="CM884" s="4"/>
      <c r="CN884" s="4"/>
      <c r="CO884" s="4"/>
      <c r="CP884" s="4"/>
      <c r="CQ884" s="4"/>
      <c r="CR884" s="4"/>
      <c r="CS884" s="4"/>
      <c r="CT884" s="4"/>
      <c r="CU884" s="4"/>
      <c r="CV884" s="4"/>
      <c r="CW884" s="4"/>
      <c r="CX884" s="4"/>
      <c r="CY884" s="4"/>
      <c r="CZ884" s="4"/>
      <c r="DA884" s="4"/>
      <c r="DB884" s="4"/>
      <c r="DC884" s="4"/>
      <c r="DD884" s="4"/>
      <c r="DE884" s="4"/>
      <c r="DF884" s="4"/>
      <c r="DG884" s="4"/>
      <c r="DH884" s="4"/>
      <c r="DI884" s="4"/>
      <c r="DJ884" s="4"/>
      <c r="DK884" s="4"/>
      <c r="DL884" s="4"/>
      <c r="DM884" s="4"/>
      <c r="DN884" s="4"/>
      <c r="DO884" s="4"/>
      <c r="DP884" s="4"/>
      <c r="DQ884" s="4"/>
      <c r="DR884" s="4"/>
      <c r="DS884" s="4"/>
      <c r="DT884" s="4"/>
      <c r="DU884" s="4"/>
      <c r="DV884" s="4"/>
    </row>
    <row r="885">
      <c r="A885" s="2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  <c r="CI885" s="4"/>
      <c r="CJ885" s="4"/>
      <c r="CK885" s="4"/>
      <c r="CL885" s="4"/>
      <c r="CM885" s="4"/>
      <c r="CN885" s="4"/>
      <c r="CO885" s="4"/>
      <c r="CP885" s="4"/>
      <c r="CQ885" s="4"/>
      <c r="CR885" s="4"/>
      <c r="CS885" s="4"/>
      <c r="CT885" s="4"/>
      <c r="CU885" s="4"/>
      <c r="CV885" s="4"/>
      <c r="CW885" s="4"/>
      <c r="CX885" s="4"/>
      <c r="CY885" s="4"/>
      <c r="CZ885" s="4"/>
      <c r="DA885" s="4"/>
      <c r="DB885" s="4"/>
      <c r="DC885" s="4"/>
      <c r="DD885" s="4"/>
      <c r="DE885" s="4"/>
      <c r="DF885" s="4"/>
      <c r="DG885" s="4"/>
      <c r="DH885" s="4"/>
      <c r="DI885" s="4"/>
      <c r="DJ885" s="4"/>
      <c r="DK885" s="4"/>
      <c r="DL885" s="4"/>
      <c r="DM885" s="4"/>
      <c r="DN885" s="4"/>
      <c r="DO885" s="4"/>
      <c r="DP885" s="4"/>
      <c r="DQ885" s="4"/>
      <c r="DR885" s="4"/>
      <c r="DS885" s="4"/>
      <c r="DT885" s="4"/>
      <c r="DU885" s="4"/>
      <c r="DV885" s="4"/>
    </row>
    <row r="886">
      <c r="A886" s="2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  <c r="CI886" s="4"/>
      <c r="CJ886" s="4"/>
      <c r="CK886" s="4"/>
      <c r="CL886" s="4"/>
      <c r="CM886" s="4"/>
      <c r="CN886" s="4"/>
      <c r="CO886" s="4"/>
      <c r="CP886" s="4"/>
      <c r="CQ886" s="4"/>
      <c r="CR886" s="4"/>
      <c r="CS886" s="4"/>
      <c r="CT886" s="4"/>
      <c r="CU886" s="4"/>
      <c r="CV886" s="4"/>
      <c r="CW886" s="4"/>
      <c r="CX886" s="4"/>
      <c r="CY886" s="4"/>
      <c r="CZ886" s="4"/>
      <c r="DA886" s="4"/>
      <c r="DB886" s="4"/>
      <c r="DC886" s="4"/>
      <c r="DD886" s="4"/>
      <c r="DE886" s="4"/>
      <c r="DF886" s="4"/>
      <c r="DG886" s="4"/>
      <c r="DH886" s="4"/>
      <c r="DI886" s="4"/>
      <c r="DJ886" s="4"/>
      <c r="DK886" s="4"/>
      <c r="DL886" s="4"/>
      <c r="DM886" s="4"/>
      <c r="DN886" s="4"/>
      <c r="DO886" s="4"/>
      <c r="DP886" s="4"/>
      <c r="DQ886" s="4"/>
      <c r="DR886" s="4"/>
      <c r="DS886" s="4"/>
      <c r="DT886" s="4"/>
      <c r="DU886" s="4"/>
      <c r="DV886" s="4"/>
    </row>
    <row r="887">
      <c r="A887" s="2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  <c r="CI887" s="4"/>
      <c r="CJ887" s="4"/>
      <c r="CK887" s="4"/>
      <c r="CL887" s="4"/>
      <c r="CM887" s="4"/>
      <c r="CN887" s="4"/>
      <c r="CO887" s="4"/>
      <c r="CP887" s="4"/>
      <c r="CQ887" s="4"/>
      <c r="CR887" s="4"/>
      <c r="CS887" s="4"/>
      <c r="CT887" s="4"/>
      <c r="CU887" s="4"/>
      <c r="CV887" s="4"/>
      <c r="CW887" s="4"/>
      <c r="CX887" s="4"/>
      <c r="CY887" s="4"/>
      <c r="CZ887" s="4"/>
      <c r="DA887" s="4"/>
      <c r="DB887" s="4"/>
      <c r="DC887" s="4"/>
      <c r="DD887" s="4"/>
      <c r="DE887" s="4"/>
      <c r="DF887" s="4"/>
      <c r="DG887" s="4"/>
      <c r="DH887" s="4"/>
      <c r="DI887" s="4"/>
      <c r="DJ887" s="4"/>
      <c r="DK887" s="4"/>
      <c r="DL887" s="4"/>
      <c r="DM887" s="4"/>
      <c r="DN887" s="4"/>
      <c r="DO887" s="4"/>
      <c r="DP887" s="4"/>
      <c r="DQ887" s="4"/>
      <c r="DR887" s="4"/>
      <c r="DS887" s="4"/>
      <c r="DT887" s="4"/>
      <c r="DU887" s="4"/>
      <c r="DV887" s="4"/>
    </row>
    <row r="888">
      <c r="A888" s="2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  <c r="CI888" s="4"/>
      <c r="CJ888" s="4"/>
      <c r="CK888" s="4"/>
      <c r="CL888" s="4"/>
      <c r="CM888" s="4"/>
      <c r="CN888" s="4"/>
      <c r="CO888" s="4"/>
      <c r="CP888" s="4"/>
      <c r="CQ888" s="4"/>
      <c r="CR888" s="4"/>
      <c r="CS888" s="4"/>
      <c r="CT888" s="4"/>
      <c r="CU888" s="4"/>
      <c r="CV888" s="4"/>
      <c r="CW888" s="4"/>
      <c r="CX888" s="4"/>
      <c r="CY888" s="4"/>
      <c r="CZ888" s="4"/>
      <c r="DA888" s="4"/>
      <c r="DB888" s="4"/>
      <c r="DC888" s="4"/>
      <c r="DD888" s="4"/>
      <c r="DE888" s="4"/>
      <c r="DF888" s="4"/>
      <c r="DG888" s="4"/>
      <c r="DH888" s="4"/>
      <c r="DI888" s="4"/>
      <c r="DJ888" s="4"/>
      <c r="DK888" s="4"/>
      <c r="DL888" s="4"/>
      <c r="DM888" s="4"/>
      <c r="DN888" s="4"/>
      <c r="DO888" s="4"/>
      <c r="DP888" s="4"/>
      <c r="DQ888" s="4"/>
      <c r="DR888" s="4"/>
      <c r="DS888" s="4"/>
      <c r="DT888" s="4"/>
      <c r="DU888" s="4"/>
      <c r="DV888" s="4"/>
    </row>
    <row r="889">
      <c r="A889" s="2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  <c r="CI889" s="4"/>
      <c r="CJ889" s="4"/>
      <c r="CK889" s="4"/>
      <c r="CL889" s="4"/>
      <c r="CM889" s="4"/>
      <c r="CN889" s="4"/>
      <c r="CO889" s="4"/>
      <c r="CP889" s="4"/>
      <c r="CQ889" s="4"/>
      <c r="CR889" s="4"/>
      <c r="CS889" s="4"/>
      <c r="CT889" s="4"/>
      <c r="CU889" s="4"/>
      <c r="CV889" s="4"/>
      <c r="CW889" s="4"/>
      <c r="CX889" s="4"/>
      <c r="CY889" s="4"/>
      <c r="CZ889" s="4"/>
      <c r="DA889" s="4"/>
      <c r="DB889" s="4"/>
      <c r="DC889" s="4"/>
      <c r="DD889" s="4"/>
      <c r="DE889" s="4"/>
      <c r="DF889" s="4"/>
      <c r="DG889" s="4"/>
      <c r="DH889" s="4"/>
      <c r="DI889" s="4"/>
      <c r="DJ889" s="4"/>
      <c r="DK889" s="4"/>
      <c r="DL889" s="4"/>
      <c r="DM889" s="4"/>
      <c r="DN889" s="4"/>
      <c r="DO889" s="4"/>
      <c r="DP889" s="4"/>
      <c r="DQ889" s="4"/>
      <c r="DR889" s="4"/>
      <c r="DS889" s="4"/>
      <c r="DT889" s="4"/>
      <c r="DU889" s="4"/>
      <c r="DV889" s="4"/>
    </row>
    <row r="890">
      <c r="A890" s="2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  <c r="CI890" s="4"/>
      <c r="CJ890" s="4"/>
      <c r="CK890" s="4"/>
      <c r="CL890" s="4"/>
      <c r="CM890" s="4"/>
      <c r="CN890" s="4"/>
      <c r="CO890" s="4"/>
      <c r="CP890" s="4"/>
      <c r="CQ890" s="4"/>
      <c r="CR890" s="4"/>
      <c r="CS890" s="4"/>
      <c r="CT890" s="4"/>
      <c r="CU890" s="4"/>
      <c r="CV890" s="4"/>
      <c r="CW890" s="4"/>
      <c r="CX890" s="4"/>
      <c r="CY890" s="4"/>
      <c r="CZ890" s="4"/>
      <c r="DA890" s="4"/>
      <c r="DB890" s="4"/>
      <c r="DC890" s="4"/>
      <c r="DD890" s="4"/>
      <c r="DE890" s="4"/>
      <c r="DF890" s="4"/>
      <c r="DG890" s="4"/>
      <c r="DH890" s="4"/>
      <c r="DI890" s="4"/>
      <c r="DJ890" s="4"/>
      <c r="DK890" s="4"/>
      <c r="DL890" s="4"/>
      <c r="DM890" s="4"/>
      <c r="DN890" s="4"/>
      <c r="DO890" s="4"/>
      <c r="DP890" s="4"/>
      <c r="DQ890" s="4"/>
      <c r="DR890" s="4"/>
      <c r="DS890" s="4"/>
      <c r="DT890" s="4"/>
      <c r="DU890" s="4"/>
      <c r="DV890" s="4"/>
    </row>
    <row r="891">
      <c r="A891" s="2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  <c r="CI891" s="4"/>
      <c r="CJ891" s="4"/>
      <c r="CK891" s="4"/>
      <c r="CL891" s="4"/>
      <c r="CM891" s="4"/>
      <c r="CN891" s="4"/>
      <c r="CO891" s="4"/>
      <c r="CP891" s="4"/>
      <c r="CQ891" s="4"/>
      <c r="CR891" s="4"/>
      <c r="CS891" s="4"/>
      <c r="CT891" s="4"/>
      <c r="CU891" s="4"/>
      <c r="CV891" s="4"/>
      <c r="CW891" s="4"/>
      <c r="CX891" s="4"/>
      <c r="CY891" s="4"/>
      <c r="CZ891" s="4"/>
      <c r="DA891" s="4"/>
      <c r="DB891" s="4"/>
      <c r="DC891" s="4"/>
      <c r="DD891" s="4"/>
      <c r="DE891" s="4"/>
      <c r="DF891" s="4"/>
      <c r="DG891" s="4"/>
      <c r="DH891" s="4"/>
      <c r="DI891" s="4"/>
      <c r="DJ891" s="4"/>
      <c r="DK891" s="4"/>
      <c r="DL891" s="4"/>
      <c r="DM891" s="4"/>
      <c r="DN891" s="4"/>
      <c r="DO891" s="4"/>
      <c r="DP891" s="4"/>
      <c r="DQ891" s="4"/>
      <c r="DR891" s="4"/>
      <c r="DS891" s="4"/>
      <c r="DT891" s="4"/>
      <c r="DU891" s="4"/>
      <c r="DV891" s="4"/>
    </row>
    <row r="892">
      <c r="A892" s="2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  <c r="CI892" s="4"/>
      <c r="CJ892" s="4"/>
      <c r="CK892" s="4"/>
      <c r="CL892" s="4"/>
      <c r="CM892" s="4"/>
      <c r="CN892" s="4"/>
      <c r="CO892" s="4"/>
      <c r="CP892" s="4"/>
      <c r="CQ892" s="4"/>
      <c r="CR892" s="4"/>
      <c r="CS892" s="4"/>
      <c r="CT892" s="4"/>
      <c r="CU892" s="4"/>
      <c r="CV892" s="4"/>
      <c r="CW892" s="4"/>
      <c r="CX892" s="4"/>
      <c r="CY892" s="4"/>
      <c r="CZ892" s="4"/>
      <c r="DA892" s="4"/>
      <c r="DB892" s="4"/>
      <c r="DC892" s="4"/>
      <c r="DD892" s="4"/>
      <c r="DE892" s="4"/>
      <c r="DF892" s="4"/>
      <c r="DG892" s="4"/>
      <c r="DH892" s="4"/>
      <c r="DI892" s="4"/>
      <c r="DJ892" s="4"/>
      <c r="DK892" s="4"/>
      <c r="DL892" s="4"/>
      <c r="DM892" s="4"/>
      <c r="DN892" s="4"/>
      <c r="DO892" s="4"/>
      <c r="DP892" s="4"/>
      <c r="DQ892" s="4"/>
      <c r="DR892" s="4"/>
      <c r="DS892" s="4"/>
      <c r="DT892" s="4"/>
      <c r="DU892" s="4"/>
      <c r="DV892" s="4"/>
    </row>
    <row r="893">
      <c r="A893" s="2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  <c r="CI893" s="4"/>
      <c r="CJ893" s="4"/>
      <c r="CK893" s="4"/>
      <c r="CL893" s="4"/>
      <c r="CM893" s="4"/>
      <c r="CN893" s="4"/>
      <c r="CO893" s="4"/>
      <c r="CP893" s="4"/>
      <c r="CQ893" s="4"/>
      <c r="CR893" s="4"/>
      <c r="CS893" s="4"/>
      <c r="CT893" s="4"/>
      <c r="CU893" s="4"/>
      <c r="CV893" s="4"/>
      <c r="CW893" s="4"/>
      <c r="CX893" s="4"/>
      <c r="CY893" s="4"/>
      <c r="CZ893" s="4"/>
      <c r="DA893" s="4"/>
      <c r="DB893" s="4"/>
      <c r="DC893" s="4"/>
      <c r="DD893" s="4"/>
      <c r="DE893" s="4"/>
      <c r="DF893" s="4"/>
      <c r="DG893" s="4"/>
      <c r="DH893" s="4"/>
      <c r="DI893" s="4"/>
      <c r="DJ893" s="4"/>
      <c r="DK893" s="4"/>
      <c r="DL893" s="4"/>
      <c r="DM893" s="4"/>
      <c r="DN893" s="4"/>
      <c r="DO893" s="4"/>
      <c r="DP893" s="4"/>
      <c r="DQ893" s="4"/>
      <c r="DR893" s="4"/>
      <c r="DS893" s="4"/>
      <c r="DT893" s="4"/>
      <c r="DU893" s="4"/>
      <c r="DV893" s="4"/>
    </row>
    <row r="894">
      <c r="A894" s="2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  <c r="CI894" s="4"/>
      <c r="CJ894" s="4"/>
      <c r="CK894" s="4"/>
      <c r="CL894" s="4"/>
      <c r="CM894" s="4"/>
      <c r="CN894" s="4"/>
      <c r="CO894" s="4"/>
      <c r="CP894" s="4"/>
      <c r="CQ894" s="4"/>
      <c r="CR894" s="4"/>
      <c r="CS894" s="4"/>
      <c r="CT894" s="4"/>
      <c r="CU894" s="4"/>
      <c r="CV894" s="4"/>
      <c r="CW894" s="4"/>
      <c r="CX894" s="4"/>
      <c r="CY894" s="4"/>
      <c r="CZ894" s="4"/>
      <c r="DA894" s="4"/>
      <c r="DB894" s="4"/>
      <c r="DC894" s="4"/>
      <c r="DD894" s="4"/>
      <c r="DE894" s="4"/>
      <c r="DF894" s="4"/>
      <c r="DG894" s="4"/>
      <c r="DH894" s="4"/>
      <c r="DI894" s="4"/>
      <c r="DJ894" s="4"/>
      <c r="DK894" s="4"/>
      <c r="DL894" s="4"/>
      <c r="DM894" s="4"/>
      <c r="DN894" s="4"/>
      <c r="DO894" s="4"/>
      <c r="DP894" s="4"/>
      <c r="DQ894" s="4"/>
      <c r="DR894" s="4"/>
      <c r="DS894" s="4"/>
      <c r="DT894" s="4"/>
      <c r="DU894" s="4"/>
      <c r="DV894" s="4"/>
    </row>
    <row r="895">
      <c r="A895" s="2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  <c r="CI895" s="4"/>
      <c r="CJ895" s="4"/>
      <c r="CK895" s="4"/>
      <c r="CL895" s="4"/>
      <c r="CM895" s="4"/>
      <c r="CN895" s="4"/>
      <c r="CO895" s="4"/>
      <c r="CP895" s="4"/>
      <c r="CQ895" s="4"/>
      <c r="CR895" s="4"/>
      <c r="CS895" s="4"/>
      <c r="CT895" s="4"/>
      <c r="CU895" s="4"/>
      <c r="CV895" s="4"/>
      <c r="CW895" s="4"/>
      <c r="CX895" s="4"/>
      <c r="CY895" s="4"/>
      <c r="CZ895" s="4"/>
      <c r="DA895" s="4"/>
      <c r="DB895" s="4"/>
      <c r="DC895" s="4"/>
      <c r="DD895" s="4"/>
      <c r="DE895" s="4"/>
      <c r="DF895" s="4"/>
      <c r="DG895" s="4"/>
      <c r="DH895" s="4"/>
      <c r="DI895" s="4"/>
      <c r="DJ895" s="4"/>
      <c r="DK895" s="4"/>
      <c r="DL895" s="4"/>
      <c r="DM895" s="4"/>
      <c r="DN895" s="4"/>
      <c r="DO895" s="4"/>
      <c r="DP895" s="4"/>
      <c r="DQ895" s="4"/>
      <c r="DR895" s="4"/>
      <c r="DS895" s="4"/>
      <c r="DT895" s="4"/>
      <c r="DU895" s="4"/>
      <c r="DV895" s="4"/>
    </row>
    <row r="896">
      <c r="A896" s="2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  <c r="CI896" s="4"/>
      <c r="CJ896" s="4"/>
      <c r="CK896" s="4"/>
      <c r="CL896" s="4"/>
      <c r="CM896" s="4"/>
      <c r="CN896" s="4"/>
      <c r="CO896" s="4"/>
      <c r="CP896" s="4"/>
      <c r="CQ896" s="4"/>
      <c r="CR896" s="4"/>
      <c r="CS896" s="4"/>
      <c r="CT896" s="4"/>
      <c r="CU896" s="4"/>
      <c r="CV896" s="4"/>
      <c r="CW896" s="4"/>
      <c r="CX896" s="4"/>
      <c r="CY896" s="4"/>
      <c r="CZ896" s="4"/>
      <c r="DA896" s="4"/>
      <c r="DB896" s="4"/>
      <c r="DC896" s="4"/>
      <c r="DD896" s="4"/>
      <c r="DE896" s="4"/>
      <c r="DF896" s="4"/>
      <c r="DG896" s="4"/>
      <c r="DH896" s="4"/>
      <c r="DI896" s="4"/>
      <c r="DJ896" s="4"/>
      <c r="DK896" s="4"/>
      <c r="DL896" s="4"/>
      <c r="DM896" s="4"/>
      <c r="DN896" s="4"/>
      <c r="DO896" s="4"/>
      <c r="DP896" s="4"/>
      <c r="DQ896" s="4"/>
      <c r="DR896" s="4"/>
      <c r="DS896" s="4"/>
      <c r="DT896" s="4"/>
      <c r="DU896" s="4"/>
      <c r="DV896" s="4"/>
    </row>
    <row r="897">
      <c r="A897" s="2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  <c r="CI897" s="4"/>
      <c r="CJ897" s="4"/>
      <c r="CK897" s="4"/>
      <c r="CL897" s="4"/>
      <c r="CM897" s="4"/>
      <c r="CN897" s="4"/>
      <c r="CO897" s="4"/>
      <c r="CP897" s="4"/>
      <c r="CQ897" s="4"/>
      <c r="CR897" s="4"/>
      <c r="CS897" s="4"/>
      <c r="CT897" s="4"/>
      <c r="CU897" s="4"/>
      <c r="CV897" s="4"/>
      <c r="CW897" s="4"/>
      <c r="CX897" s="4"/>
      <c r="CY897" s="4"/>
      <c r="CZ897" s="4"/>
      <c r="DA897" s="4"/>
      <c r="DB897" s="4"/>
      <c r="DC897" s="4"/>
      <c r="DD897" s="4"/>
      <c r="DE897" s="4"/>
      <c r="DF897" s="4"/>
      <c r="DG897" s="4"/>
      <c r="DH897" s="4"/>
      <c r="DI897" s="4"/>
      <c r="DJ897" s="4"/>
      <c r="DK897" s="4"/>
      <c r="DL897" s="4"/>
      <c r="DM897" s="4"/>
      <c r="DN897" s="4"/>
      <c r="DO897" s="4"/>
      <c r="DP897" s="4"/>
      <c r="DQ897" s="4"/>
      <c r="DR897" s="4"/>
      <c r="DS897" s="4"/>
      <c r="DT897" s="4"/>
      <c r="DU897" s="4"/>
      <c r="DV897" s="4"/>
    </row>
    <row r="898">
      <c r="A898" s="2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  <c r="CI898" s="4"/>
      <c r="CJ898" s="4"/>
      <c r="CK898" s="4"/>
      <c r="CL898" s="4"/>
      <c r="CM898" s="4"/>
      <c r="CN898" s="4"/>
      <c r="CO898" s="4"/>
      <c r="CP898" s="4"/>
      <c r="CQ898" s="4"/>
      <c r="CR898" s="4"/>
      <c r="CS898" s="4"/>
      <c r="CT898" s="4"/>
      <c r="CU898" s="4"/>
      <c r="CV898" s="4"/>
      <c r="CW898" s="4"/>
      <c r="CX898" s="4"/>
      <c r="CY898" s="4"/>
      <c r="CZ898" s="4"/>
      <c r="DA898" s="4"/>
      <c r="DB898" s="4"/>
      <c r="DC898" s="4"/>
      <c r="DD898" s="4"/>
      <c r="DE898" s="4"/>
      <c r="DF898" s="4"/>
      <c r="DG898" s="4"/>
      <c r="DH898" s="4"/>
      <c r="DI898" s="4"/>
      <c r="DJ898" s="4"/>
      <c r="DK898" s="4"/>
      <c r="DL898" s="4"/>
      <c r="DM898" s="4"/>
      <c r="DN898" s="4"/>
      <c r="DO898" s="4"/>
      <c r="DP898" s="4"/>
      <c r="DQ898" s="4"/>
      <c r="DR898" s="4"/>
      <c r="DS898" s="4"/>
      <c r="DT898" s="4"/>
      <c r="DU898" s="4"/>
      <c r="DV898" s="4"/>
    </row>
    <row r="899">
      <c r="A899" s="2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  <c r="CI899" s="4"/>
      <c r="CJ899" s="4"/>
      <c r="CK899" s="4"/>
      <c r="CL899" s="4"/>
      <c r="CM899" s="4"/>
      <c r="CN899" s="4"/>
      <c r="CO899" s="4"/>
      <c r="CP899" s="4"/>
      <c r="CQ899" s="4"/>
      <c r="CR899" s="4"/>
      <c r="CS899" s="4"/>
      <c r="CT899" s="4"/>
      <c r="CU899" s="4"/>
      <c r="CV899" s="4"/>
      <c r="CW899" s="4"/>
      <c r="CX899" s="4"/>
      <c r="CY899" s="4"/>
      <c r="CZ899" s="4"/>
      <c r="DA899" s="4"/>
      <c r="DB899" s="4"/>
      <c r="DC899" s="4"/>
      <c r="DD899" s="4"/>
      <c r="DE899" s="4"/>
      <c r="DF899" s="4"/>
      <c r="DG899" s="4"/>
      <c r="DH899" s="4"/>
      <c r="DI899" s="4"/>
      <c r="DJ899" s="4"/>
      <c r="DK899" s="4"/>
      <c r="DL899" s="4"/>
      <c r="DM899" s="4"/>
      <c r="DN899" s="4"/>
      <c r="DO899" s="4"/>
      <c r="DP899" s="4"/>
      <c r="DQ899" s="4"/>
      <c r="DR899" s="4"/>
      <c r="DS899" s="4"/>
      <c r="DT899" s="4"/>
      <c r="DU899" s="4"/>
      <c r="DV899" s="4"/>
    </row>
    <row r="900">
      <c r="A900" s="2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  <c r="CI900" s="4"/>
      <c r="CJ900" s="4"/>
      <c r="CK900" s="4"/>
      <c r="CL900" s="4"/>
      <c r="CM900" s="4"/>
      <c r="CN900" s="4"/>
      <c r="CO900" s="4"/>
      <c r="CP900" s="4"/>
      <c r="CQ900" s="4"/>
      <c r="CR900" s="4"/>
      <c r="CS900" s="4"/>
      <c r="CT900" s="4"/>
      <c r="CU900" s="4"/>
      <c r="CV900" s="4"/>
      <c r="CW900" s="4"/>
      <c r="CX900" s="4"/>
      <c r="CY900" s="4"/>
      <c r="CZ900" s="4"/>
      <c r="DA900" s="4"/>
      <c r="DB900" s="4"/>
      <c r="DC900" s="4"/>
      <c r="DD900" s="4"/>
      <c r="DE900" s="4"/>
      <c r="DF900" s="4"/>
      <c r="DG900" s="4"/>
      <c r="DH900" s="4"/>
      <c r="DI900" s="4"/>
      <c r="DJ900" s="4"/>
      <c r="DK900" s="4"/>
      <c r="DL900" s="4"/>
      <c r="DM900" s="4"/>
      <c r="DN900" s="4"/>
      <c r="DO900" s="4"/>
      <c r="DP900" s="4"/>
      <c r="DQ900" s="4"/>
      <c r="DR900" s="4"/>
      <c r="DS900" s="4"/>
      <c r="DT900" s="4"/>
      <c r="DU900" s="4"/>
      <c r="DV900" s="4"/>
    </row>
    <row r="901">
      <c r="A901" s="2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  <c r="CI901" s="4"/>
      <c r="CJ901" s="4"/>
      <c r="CK901" s="4"/>
      <c r="CL901" s="4"/>
      <c r="CM901" s="4"/>
      <c r="CN901" s="4"/>
      <c r="CO901" s="4"/>
      <c r="CP901" s="4"/>
      <c r="CQ901" s="4"/>
      <c r="CR901" s="4"/>
      <c r="CS901" s="4"/>
      <c r="CT901" s="4"/>
      <c r="CU901" s="4"/>
      <c r="CV901" s="4"/>
      <c r="CW901" s="4"/>
      <c r="CX901" s="4"/>
      <c r="CY901" s="4"/>
      <c r="CZ901" s="4"/>
      <c r="DA901" s="4"/>
      <c r="DB901" s="4"/>
      <c r="DC901" s="4"/>
      <c r="DD901" s="4"/>
      <c r="DE901" s="4"/>
      <c r="DF901" s="4"/>
      <c r="DG901" s="4"/>
      <c r="DH901" s="4"/>
      <c r="DI901" s="4"/>
      <c r="DJ901" s="4"/>
      <c r="DK901" s="4"/>
      <c r="DL901" s="4"/>
      <c r="DM901" s="4"/>
      <c r="DN901" s="4"/>
      <c r="DO901" s="4"/>
      <c r="DP901" s="4"/>
      <c r="DQ901" s="4"/>
      <c r="DR901" s="4"/>
      <c r="DS901" s="4"/>
      <c r="DT901" s="4"/>
      <c r="DU901" s="4"/>
      <c r="DV901" s="4"/>
    </row>
    <row r="902">
      <c r="A902" s="2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  <c r="CI902" s="4"/>
      <c r="CJ902" s="4"/>
      <c r="CK902" s="4"/>
      <c r="CL902" s="4"/>
      <c r="CM902" s="4"/>
      <c r="CN902" s="4"/>
      <c r="CO902" s="4"/>
      <c r="CP902" s="4"/>
      <c r="CQ902" s="4"/>
      <c r="CR902" s="4"/>
      <c r="CS902" s="4"/>
      <c r="CT902" s="4"/>
      <c r="CU902" s="4"/>
      <c r="CV902" s="4"/>
      <c r="CW902" s="4"/>
      <c r="CX902" s="4"/>
      <c r="CY902" s="4"/>
      <c r="CZ902" s="4"/>
      <c r="DA902" s="4"/>
      <c r="DB902" s="4"/>
      <c r="DC902" s="4"/>
      <c r="DD902" s="4"/>
      <c r="DE902" s="4"/>
      <c r="DF902" s="4"/>
      <c r="DG902" s="4"/>
      <c r="DH902" s="4"/>
      <c r="DI902" s="4"/>
      <c r="DJ902" s="4"/>
      <c r="DK902" s="4"/>
      <c r="DL902" s="4"/>
      <c r="DM902" s="4"/>
      <c r="DN902" s="4"/>
      <c r="DO902" s="4"/>
      <c r="DP902" s="4"/>
      <c r="DQ902" s="4"/>
      <c r="DR902" s="4"/>
      <c r="DS902" s="4"/>
      <c r="DT902" s="4"/>
      <c r="DU902" s="4"/>
      <c r="DV902" s="4"/>
    </row>
    <row r="903">
      <c r="A903" s="2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  <c r="CI903" s="4"/>
      <c r="CJ903" s="4"/>
      <c r="CK903" s="4"/>
      <c r="CL903" s="4"/>
      <c r="CM903" s="4"/>
      <c r="CN903" s="4"/>
      <c r="CO903" s="4"/>
      <c r="CP903" s="4"/>
      <c r="CQ903" s="4"/>
      <c r="CR903" s="4"/>
      <c r="CS903" s="4"/>
      <c r="CT903" s="4"/>
      <c r="CU903" s="4"/>
      <c r="CV903" s="4"/>
      <c r="CW903" s="4"/>
      <c r="CX903" s="4"/>
      <c r="CY903" s="4"/>
      <c r="CZ903" s="4"/>
      <c r="DA903" s="4"/>
      <c r="DB903" s="4"/>
      <c r="DC903" s="4"/>
      <c r="DD903" s="4"/>
      <c r="DE903" s="4"/>
      <c r="DF903" s="4"/>
      <c r="DG903" s="4"/>
      <c r="DH903" s="4"/>
      <c r="DI903" s="4"/>
      <c r="DJ903" s="4"/>
      <c r="DK903" s="4"/>
      <c r="DL903" s="4"/>
      <c r="DM903" s="4"/>
      <c r="DN903" s="4"/>
      <c r="DO903" s="4"/>
      <c r="DP903" s="4"/>
      <c r="DQ903" s="4"/>
      <c r="DR903" s="4"/>
      <c r="DS903" s="4"/>
      <c r="DT903" s="4"/>
      <c r="DU903" s="4"/>
      <c r="DV903" s="4"/>
    </row>
    <row r="904">
      <c r="A904" s="2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  <c r="CI904" s="4"/>
      <c r="CJ904" s="4"/>
      <c r="CK904" s="4"/>
      <c r="CL904" s="4"/>
      <c r="CM904" s="4"/>
      <c r="CN904" s="4"/>
      <c r="CO904" s="4"/>
      <c r="CP904" s="4"/>
      <c r="CQ904" s="4"/>
      <c r="CR904" s="4"/>
      <c r="CS904" s="4"/>
      <c r="CT904" s="4"/>
      <c r="CU904" s="4"/>
      <c r="CV904" s="4"/>
      <c r="CW904" s="4"/>
      <c r="CX904" s="4"/>
      <c r="CY904" s="4"/>
      <c r="CZ904" s="4"/>
      <c r="DA904" s="4"/>
      <c r="DB904" s="4"/>
      <c r="DC904" s="4"/>
      <c r="DD904" s="4"/>
      <c r="DE904" s="4"/>
      <c r="DF904" s="4"/>
      <c r="DG904" s="4"/>
      <c r="DH904" s="4"/>
      <c r="DI904" s="4"/>
      <c r="DJ904" s="4"/>
      <c r="DK904" s="4"/>
      <c r="DL904" s="4"/>
      <c r="DM904" s="4"/>
      <c r="DN904" s="4"/>
      <c r="DO904" s="4"/>
      <c r="DP904" s="4"/>
      <c r="DQ904" s="4"/>
      <c r="DR904" s="4"/>
      <c r="DS904" s="4"/>
      <c r="DT904" s="4"/>
      <c r="DU904" s="4"/>
      <c r="DV904" s="4"/>
    </row>
    <row r="905">
      <c r="A905" s="2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  <c r="CI905" s="4"/>
      <c r="CJ905" s="4"/>
      <c r="CK905" s="4"/>
      <c r="CL905" s="4"/>
      <c r="CM905" s="4"/>
      <c r="CN905" s="4"/>
      <c r="CO905" s="4"/>
      <c r="CP905" s="4"/>
      <c r="CQ905" s="4"/>
      <c r="CR905" s="4"/>
      <c r="CS905" s="4"/>
      <c r="CT905" s="4"/>
      <c r="CU905" s="4"/>
      <c r="CV905" s="4"/>
      <c r="CW905" s="4"/>
      <c r="CX905" s="4"/>
      <c r="CY905" s="4"/>
      <c r="CZ905" s="4"/>
      <c r="DA905" s="4"/>
      <c r="DB905" s="4"/>
      <c r="DC905" s="4"/>
      <c r="DD905" s="4"/>
      <c r="DE905" s="4"/>
      <c r="DF905" s="4"/>
      <c r="DG905" s="4"/>
      <c r="DH905" s="4"/>
      <c r="DI905" s="4"/>
      <c r="DJ905" s="4"/>
      <c r="DK905" s="4"/>
      <c r="DL905" s="4"/>
      <c r="DM905" s="4"/>
      <c r="DN905" s="4"/>
      <c r="DO905" s="4"/>
      <c r="DP905" s="4"/>
      <c r="DQ905" s="4"/>
      <c r="DR905" s="4"/>
      <c r="DS905" s="4"/>
      <c r="DT905" s="4"/>
      <c r="DU905" s="4"/>
      <c r="DV905" s="4"/>
    </row>
    <row r="906">
      <c r="A906" s="2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  <c r="CI906" s="4"/>
      <c r="CJ906" s="4"/>
      <c r="CK906" s="4"/>
      <c r="CL906" s="4"/>
      <c r="CM906" s="4"/>
      <c r="CN906" s="4"/>
      <c r="CO906" s="4"/>
      <c r="CP906" s="4"/>
      <c r="CQ906" s="4"/>
      <c r="CR906" s="4"/>
      <c r="CS906" s="4"/>
      <c r="CT906" s="4"/>
      <c r="CU906" s="4"/>
      <c r="CV906" s="4"/>
      <c r="CW906" s="4"/>
      <c r="CX906" s="4"/>
      <c r="CY906" s="4"/>
      <c r="CZ906" s="4"/>
      <c r="DA906" s="4"/>
      <c r="DB906" s="4"/>
      <c r="DC906" s="4"/>
      <c r="DD906" s="4"/>
      <c r="DE906" s="4"/>
      <c r="DF906" s="4"/>
      <c r="DG906" s="4"/>
      <c r="DH906" s="4"/>
      <c r="DI906" s="4"/>
      <c r="DJ906" s="4"/>
      <c r="DK906" s="4"/>
      <c r="DL906" s="4"/>
      <c r="DM906" s="4"/>
      <c r="DN906" s="4"/>
      <c r="DO906" s="4"/>
      <c r="DP906" s="4"/>
      <c r="DQ906" s="4"/>
      <c r="DR906" s="4"/>
      <c r="DS906" s="4"/>
      <c r="DT906" s="4"/>
      <c r="DU906" s="4"/>
      <c r="DV906" s="4"/>
    </row>
    <row r="907">
      <c r="A907" s="2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  <c r="CI907" s="4"/>
      <c r="CJ907" s="4"/>
      <c r="CK907" s="4"/>
      <c r="CL907" s="4"/>
      <c r="CM907" s="4"/>
      <c r="CN907" s="4"/>
      <c r="CO907" s="4"/>
      <c r="CP907" s="4"/>
      <c r="CQ907" s="4"/>
      <c r="CR907" s="4"/>
      <c r="CS907" s="4"/>
      <c r="CT907" s="4"/>
      <c r="CU907" s="4"/>
      <c r="CV907" s="4"/>
      <c r="CW907" s="4"/>
      <c r="CX907" s="4"/>
      <c r="CY907" s="4"/>
      <c r="CZ907" s="4"/>
      <c r="DA907" s="4"/>
      <c r="DB907" s="4"/>
      <c r="DC907" s="4"/>
      <c r="DD907" s="4"/>
      <c r="DE907" s="4"/>
      <c r="DF907" s="4"/>
      <c r="DG907" s="4"/>
      <c r="DH907" s="4"/>
      <c r="DI907" s="4"/>
      <c r="DJ907" s="4"/>
      <c r="DK907" s="4"/>
      <c r="DL907" s="4"/>
      <c r="DM907" s="4"/>
      <c r="DN907" s="4"/>
      <c r="DO907" s="4"/>
      <c r="DP907" s="4"/>
      <c r="DQ907" s="4"/>
      <c r="DR907" s="4"/>
      <c r="DS907" s="4"/>
      <c r="DT907" s="4"/>
      <c r="DU907" s="4"/>
      <c r="DV907" s="4"/>
    </row>
    <row r="908">
      <c r="A908" s="2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  <c r="CI908" s="4"/>
      <c r="CJ908" s="4"/>
      <c r="CK908" s="4"/>
      <c r="CL908" s="4"/>
      <c r="CM908" s="4"/>
      <c r="CN908" s="4"/>
      <c r="CO908" s="4"/>
      <c r="CP908" s="4"/>
      <c r="CQ908" s="4"/>
      <c r="CR908" s="4"/>
      <c r="CS908" s="4"/>
      <c r="CT908" s="4"/>
      <c r="CU908" s="4"/>
      <c r="CV908" s="4"/>
      <c r="CW908" s="4"/>
      <c r="CX908" s="4"/>
      <c r="CY908" s="4"/>
      <c r="CZ908" s="4"/>
      <c r="DA908" s="4"/>
      <c r="DB908" s="4"/>
      <c r="DC908" s="4"/>
      <c r="DD908" s="4"/>
      <c r="DE908" s="4"/>
      <c r="DF908" s="4"/>
      <c r="DG908" s="4"/>
      <c r="DH908" s="4"/>
      <c r="DI908" s="4"/>
      <c r="DJ908" s="4"/>
      <c r="DK908" s="4"/>
      <c r="DL908" s="4"/>
      <c r="DM908" s="4"/>
      <c r="DN908" s="4"/>
      <c r="DO908" s="4"/>
      <c r="DP908" s="4"/>
      <c r="DQ908" s="4"/>
      <c r="DR908" s="4"/>
      <c r="DS908" s="4"/>
      <c r="DT908" s="4"/>
      <c r="DU908" s="4"/>
      <c r="DV908" s="4"/>
    </row>
    <row r="909">
      <c r="A909" s="2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  <c r="CI909" s="4"/>
      <c r="CJ909" s="4"/>
      <c r="CK909" s="4"/>
      <c r="CL909" s="4"/>
      <c r="CM909" s="4"/>
      <c r="CN909" s="4"/>
      <c r="CO909" s="4"/>
      <c r="CP909" s="4"/>
      <c r="CQ909" s="4"/>
      <c r="CR909" s="4"/>
      <c r="CS909" s="4"/>
      <c r="CT909" s="4"/>
      <c r="CU909" s="4"/>
      <c r="CV909" s="4"/>
      <c r="CW909" s="4"/>
      <c r="CX909" s="4"/>
      <c r="CY909" s="4"/>
      <c r="CZ909" s="4"/>
      <c r="DA909" s="4"/>
      <c r="DB909" s="4"/>
      <c r="DC909" s="4"/>
      <c r="DD909" s="4"/>
      <c r="DE909" s="4"/>
      <c r="DF909" s="4"/>
      <c r="DG909" s="4"/>
      <c r="DH909" s="4"/>
      <c r="DI909" s="4"/>
      <c r="DJ909" s="4"/>
      <c r="DK909" s="4"/>
      <c r="DL909" s="4"/>
      <c r="DM909" s="4"/>
      <c r="DN909" s="4"/>
      <c r="DO909" s="4"/>
      <c r="DP909" s="4"/>
      <c r="DQ909" s="4"/>
      <c r="DR909" s="4"/>
      <c r="DS909" s="4"/>
      <c r="DT909" s="4"/>
      <c r="DU909" s="4"/>
      <c r="DV909" s="4"/>
    </row>
    <row r="910">
      <c r="A910" s="2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  <c r="CI910" s="4"/>
      <c r="CJ910" s="4"/>
      <c r="CK910" s="4"/>
      <c r="CL910" s="4"/>
      <c r="CM910" s="4"/>
      <c r="CN910" s="4"/>
      <c r="CO910" s="4"/>
      <c r="CP910" s="4"/>
      <c r="CQ910" s="4"/>
      <c r="CR910" s="4"/>
      <c r="CS910" s="4"/>
      <c r="CT910" s="4"/>
      <c r="CU910" s="4"/>
      <c r="CV910" s="4"/>
      <c r="CW910" s="4"/>
      <c r="CX910" s="4"/>
      <c r="CY910" s="4"/>
      <c r="CZ910" s="4"/>
      <c r="DA910" s="4"/>
      <c r="DB910" s="4"/>
      <c r="DC910" s="4"/>
      <c r="DD910" s="4"/>
      <c r="DE910" s="4"/>
      <c r="DF910" s="4"/>
      <c r="DG910" s="4"/>
      <c r="DH910" s="4"/>
      <c r="DI910" s="4"/>
      <c r="DJ910" s="4"/>
      <c r="DK910" s="4"/>
      <c r="DL910" s="4"/>
      <c r="DM910" s="4"/>
      <c r="DN910" s="4"/>
      <c r="DO910" s="4"/>
      <c r="DP910" s="4"/>
      <c r="DQ910" s="4"/>
      <c r="DR910" s="4"/>
      <c r="DS910" s="4"/>
      <c r="DT910" s="4"/>
      <c r="DU910" s="4"/>
      <c r="DV910" s="4"/>
    </row>
    <row r="911">
      <c r="A911" s="2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  <c r="CI911" s="4"/>
      <c r="CJ911" s="4"/>
      <c r="CK911" s="4"/>
      <c r="CL911" s="4"/>
      <c r="CM911" s="4"/>
      <c r="CN911" s="4"/>
      <c r="CO911" s="4"/>
      <c r="CP911" s="4"/>
      <c r="CQ911" s="4"/>
      <c r="CR911" s="4"/>
      <c r="CS911" s="4"/>
      <c r="CT911" s="4"/>
      <c r="CU911" s="4"/>
      <c r="CV911" s="4"/>
      <c r="CW911" s="4"/>
      <c r="CX911" s="4"/>
      <c r="CY911" s="4"/>
      <c r="CZ911" s="4"/>
      <c r="DA911" s="4"/>
      <c r="DB911" s="4"/>
      <c r="DC911" s="4"/>
      <c r="DD911" s="4"/>
      <c r="DE911" s="4"/>
      <c r="DF911" s="4"/>
      <c r="DG911" s="4"/>
      <c r="DH911" s="4"/>
      <c r="DI911" s="4"/>
      <c r="DJ911" s="4"/>
      <c r="DK911" s="4"/>
      <c r="DL911" s="4"/>
      <c r="DM911" s="4"/>
      <c r="DN911" s="4"/>
      <c r="DO911" s="4"/>
      <c r="DP911" s="4"/>
      <c r="DQ911" s="4"/>
      <c r="DR911" s="4"/>
      <c r="DS911" s="4"/>
      <c r="DT911" s="4"/>
      <c r="DU911" s="4"/>
      <c r="DV911" s="4"/>
    </row>
    <row r="912">
      <c r="A912" s="2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  <c r="CI912" s="4"/>
      <c r="CJ912" s="4"/>
      <c r="CK912" s="4"/>
      <c r="CL912" s="4"/>
      <c r="CM912" s="4"/>
      <c r="CN912" s="4"/>
      <c r="CO912" s="4"/>
      <c r="CP912" s="4"/>
      <c r="CQ912" s="4"/>
      <c r="CR912" s="4"/>
      <c r="CS912" s="4"/>
      <c r="CT912" s="4"/>
      <c r="CU912" s="4"/>
      <c r="CV912" s="4"/>
      <c r="CW912" s="4"/>
      <c r="CX912" s="4"/>
      <c r="CY912" s="4"/>
      <c r="CZ912" s="4"/>
      <c r="DA912" s="4"/>
      <c r="DB912" s="4"/>
      <c r="DC912" s="4"/>
      <c r="DD912" s="4"/>
      <c r="DE912" s="4"/>
      <c r="DF912" s="4"/>
      <c r="DG912" s="4"/>
      <c r="DH912" s="4"/>
      <c r="DI912" s="4"/>
      <c r="DJ912" s="4"/>
      <c r="DK912" s="4"/>
      <c r="DL912" s="4"/>
      <c r="DM912" s="4"/>
      <c r="DN912" s="4"/>
      <c r="DO912" s="4"/>
      <c r="DP912" s="4"/>
      <c r="DQ912" s="4"/>
      <c r="DR912" s="4"/>
      <c r="DS912" s="4"/>
      <c r="DT912" s="4"/>
      <c r="DU912" s="4"/>
      <c r="DV912" s="4"/>
    </row>
    <row r="913">
      <c r="A913" s="2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  <c r="CI913" s="4"/>
      <c r="CJ913" s="4"/>
      <c r="CK913" s="4"/>
      <c r="CL913" s="4"/>
      <c r="CM913" s="4"/>
      <c r="CN913" s="4"/>
      <c r="CO913" s="4"/>
      <c r="CP913" s="4"/>
      <c r="CQ913" s="4"/>
      <c r="CR913" s="4"/>
      <c r="CS913" s="4"/>
      <c r="CT913" s="4"/>
      <c r="CU913" s="4"/>
      <c r="CV913" s="4"/>
      <c r="CW913" s="4"/>
      <c r="CX913" s="4"/>
      <c r="CY913" s="4"/>
      <c r="CZ913" s="4"/>
      <c r="DA913" s="4"/>
      <c r="DB913" s="4"/>
      <c r="DC913" s="4"/>
      <c r="DD913" s="4"/>
      <c r="DE913" s="4"/>
      <c r="DF913" s="4"/>
      <c r="DG913" s="4"/>
      <c r="DH913" s="4"/>
      <c r="DI913" s="4"/>
      <c r="DJ913" s="4"/>
      <c r="DK913" s="4"/>
      <c r="DL913" s="4"/>
      <c r="DM913" s="4"/>
      <c r="DN913" s="4"/>
      <c r="DO913" s="4"/>
      <c r="DP913" s="4"/>
      <c r="DQ913" s="4"/>
      <c r="DR913" s="4"/>
      <c r="DS913" s="4"/>
      <c r="DT913" s="4"/>
      <c r="DU913" s="4"/>
      <c r="DV913" s="4"/>
    </row>
    <row r="914">
      <c r="A914" s="2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  <c r="CI914" s="4"/>
      <c r="CJ914" s="4"/>
      <c r="CK914" s="4"/>
      <c r="CL914" s="4"/>
      <c r="CM914" s="4"/>
      <c r="CN914" s="4"/>
      <c r="CO914" s="4"/>
      <c r="CP914" s="4"/>
      <c r="CQ914" s="4"/>
      <c r="CR914" s="4"/>
      <c r="CS914" s="4"/>
      <c r="CT914" s="4"/>
      <c r="CU914" s="4"/>
      <c r="CV914" s="4"/>
      <c r="CW914" s="4"/>
      <c r="CX914" s="4"/>
      <c r="CY914" s="4"/>
      <c r="CZ914" s="4"/>
      <c r="DA914" s="4"/>
      <c r="DB914" s="4"/>
      <c r="DC914" s="4"/>
      <c r="DD914" s="4"/>
      <c r="DE914" s="4"/>
      <c r="DF914" s="4"/>
      <c r="DG914" s="4"/>
      <c r="DH914" s="4"/>
      <c r="DI914" s="4"/>
      <c r="DJ914" s="4"/>
      <c r="DK914" s="4"/>
      <c r="DL914" s="4"/>
      <c r="DM914" s="4"/>
      <c r="DN914" s="4"/>
      <c r="DO914" s="4"/>
      <c r="DP914" s="4"/>
      <c r="DQ914" s="4"/>
      <c r="DR914" s="4"/>
      <c r="DS914" s="4"/>
      <c r="DT914" s="4"/>
      <c r="DU914" s="4"/>
      <c r="DV914" s="4"/>
    </row>
    <row r="915">
      <c r="A915" s="2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  <c r="CI915" s="4"/>
      <c r="CJ915" s="4"/>
      <c r="CK915" s="4"/>
      <c r="CL915" s="4"/>
      <c r="CM915" s="4"/>
      <c r="CN915" s="4"/>
      <c r="CO915" s="4"/>
      <c r="CP915" s="4"/>
      <c r="CQ915" s="4"/>
      <c r="CR915" s="4"/>
      <c r="CS915" s="4"/>
      <c r="CT915" s="4"/>
      <c r="CU915" s="4"/>
      <c r="CV915" s="4"/>
      <c r="CW915" s="4"/>
      <c r="CX915" s="4"/>
      <c r="CY915" s="4"/>
      <c r="CZ915" s="4"/>
      <c r="DA915" s="4"/>
      <c r="DB915" s="4"/>
      <c r="DC915" s="4"/>
      <c r="DD915" s="4"/>
      <c r="DE915" s="4"/>
      <c r="DF915" s="4"/>
      <c r="DG915" s="4"/>
      <c r="DH915" s="4"/>
      <c r="DI915" s="4"/>
      <c r="DJ915" s="4"/>
      <c r="DK915" s="4"/>
      <c r="DL915" s="4"/>
      <c r="DM915" s="4"/>
      <c r="DN915" s="4"/>
      <c r="DO915" s="4"/>
      <c r="DP915" s="4"/>
      <c r="DQ915" s="4"/>
      <c r="DR915" s="4"/>
      <c r="DS915" s="4"/>
      <c r="DT915" s="4"/>
      <c r="DU915" s="4"/>
      <c r="DV915" s="4"/>
    </row>
    <row r="916">
      <c r="A916" s="2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  <c r="CI916" s="4"/>
      <c r="CJ916" s="4"/>
      <c r="CK916" s="4"/>
      <c r="CL916" s="4"/>
      <c r="CM916" s="4"/>
      <c r="CN916" s="4"/>
      <c r="CO916" s="4"/>
      <c r="CP916" s="4"/>
      <c r="CQ916" s="4"/>
      <c r="CR916" s="4"/>
      <c r="CS916" s="4"/>
      <c r="CT916" s="4"/>
      <c r="CU916" s="4"/>
      <c r="CV916" s="4"/>
      <c r="CW916" s="4"/>
      <c r="CX916" s="4"/>
      <c r="CY916" s="4"/>
      <c r="CZ916" s="4"/>
      <c r="DA916" s="4"/>
      <c r="DB916" s="4"/>
      <c r="DC916" s="4"/>
      <c r="DD916" s="4"/>
      <c r="DE916" s="4"/>
      <c r="DF916" s="4"/>
      <c r="DG916" s="4"/>
      <c r="DH916" s="4"/>
      <c r="DI916" s="4"/>
      <c r="DJ916" s="4"/>
      <c r="DK916" s="4"/>
      <c r="DL916" s="4"/>
      <c r="DM916" s="4"/>
      <c r="DN916" s="4"/>
      <c r="DO916" s="4"/>
      <c r="DP916" s="4"/>
      <c r="DQ916" s="4"/>
      <c r="DR916" s="4"/>
      <c r="DS916" s="4"/>
      <c r="DT916" s="4"/>
      <c r="DU916" s="4"/>
      <c r="DV916" s="4"/>
    </row>
    <row r="917">
      <c r="A917" s="2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  <c r="CI917" s="4"/>
      <c r="CJ917" s="4"/>
      <c r="CK917" s="4"/>
      <c r="CL917" s="4"/>
      <c r="CM917" s="4"/>
      <c r="CN917" s="4"/>
      <c r="CO917" s="4"/>
      <c r="CP917" s="4"/>
      <c r="CQ917" s="4"/>
      <c r="CR917" s="4"/>
      <c r="CS917" s="4"/>
      <c r="CT917" s="4"/>
      <c r="CU917" s="4"/>
      <c r="CV917" s="4"/>
      <c r="CW917" s="4"/>
      <c r="CX917" s="4"/>
      <c r="CY917" s="4"/>
      <c r="CZ917" s="4"/>
      <c r="DA917" s="4"/>
      <c r="DB917" s="4"/>
      <c r="DC917" s="4"/>
      <c r="DD917" s="4"/>
      <c r="DE917" s="4"/>
      <c r="DF917" s="4"/>
      <c r="DG917" s="4"/>
      <c r="DH917" s="4"/>
      <c r="DI917" s="4"/>
      <c r="DJ917" s="4"/>
      <c r="DK917" s="4"/>
      <c r="DL917" s="4"/>
      <c r="DM917" s="4"/>
      <c r="DN917" s="4"/>
      <c r="DO917" s="4"/>
      <c r="DP917" s="4"/>
      <c r="DQ917" s="4"/>
      <c r="DR917" s="4"/>
      <c r="DS917" s="4"/>
      <c r="DT917" s="4"/>
      <c r="DU917" s="4"/>
      <c r="DV917" s="4"/>
    </row>
    <row r="918">
      <c r="A918" s="2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  <c r="CI918" s="4"/>
      <c r="CJ918" s="4"/>
      <c r="CK918" s="4"/>
      <c r="CL918" s="4"/>
      <c r="CM918" s="4"/>
      <c r="CN918" s="4"/>
      <c r="CO918" s="4"/>
      <c r="CP918" s="4"/>
      <c r="CQ918" s="4"/>
      <c r="CR918" s="4"/>
      <c r="CS918" s="4"/>
      <c r="CT918" s="4"/>
      <c r="CU918" s="4"/>
      <c r="CV918" s="4"/>
      <c r="CW918" s="4"/>
      <c r="CX918" s="4"/>
      <c r="CY918" s="4"/>
      <c r="CZ918" s="4"/>
      <c r="DA918" s="4"/>
      <c r="DB918" s="4"/>
      <c r="DC918" s="4"/>
      <c r="DD918" s="4"/>
      <c r="DE918" s="4"/>
      <c r="DF918" s="4"/>
      <c r="DG918" s="4"/>
      <c r="DH918" s="4"/>
      <c r="DI918" s="4"/>
      <c r="DJ918" s="4"/>
      <c r="DK918" s="4"/>
      <c r="DL918" s="4"/>
      <c r="DM918" s="4"/>
      <c r="DN918" s="4"/>
      <c r="DO918" s="4"/>
      <c r="DP918" s="4"/>
      <c r="DQ918" s="4"/>
      <c r="DR918" s="4"/>
      <c r="DS918" s="4"/>
      <c r="DT918" s="4"/>
      <c r="DU918" s="4"/>
      <c r="DV918" s="4"/>
    </row>
    <row r="919">
      <c r="A919" s="2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  <c r="CI919" s="4"/>
      <c r="CJ919" s="4"/>
      <c r="CK919" s="4"/>
      <c r="CL919" s="4"/>
      <c r="CM919" s="4"/>
      <c r="CN919" s="4"/>
      <c r="CO919" s="4"/>
      <c r="CP919" s="4"/>
      <c r="CQ919" s="4"/>
      <c r="CR919" s="4"/>
      <c r="CS919" s="4"/>
      <c r="CT919" s="4"/>
      <c r="CU919" s="4"/>
      <c r="CV919" s="4"/>
      <c r="CW919" s="4"/>
      <c r="CX919" s="4"/>
      <c r="CY919" s="4"/>
      <c r="CZ919" s="4"/>
      <c r="DA919" s="4"/>
      <c r="DB919" s="4"/>
      <c r="DC919" s="4"/>
      <c r="DD919" s="4"/>
      <c r="DE919" s="4"/>
      <c r="DF919" s="4"/>
      <c r="DG919" s="4"/>
      <c r="DH919" s="4"/>
      <c r="DI919" s="4"/>
      <c r="DJ919" s="4"/>
      <c r="DK919" s="4"/>
      <c r="DL919" s="4"/>
      <c r="DM919" s="4"/>
      <c r="DN919" s="4"/>
      <c r="DO919" s="4"/>
      <c r="DP919" s="4"/>
      <c r="DQ919" s="4"/>
      <c r="DR919" s="4"/>
      <c r="DS919" s="4"/>
      <c r="DT919" s="4"/>
      <c r="DU919" s="4"/>
      <c r="DV919" s="4"/>
    </row>
    <row r="920">
      <c r="A920" s="2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  <c r="CI920" s="4"/>
      <c r="CJ920" s="4"/>
      <c r="CK920" s="4"/>
      <c r="CL920" s="4"/>
      <c r="CM920" s="4"/>
      <c r="CN920" s="4"/>
      <c r="CO920" s="4"/>
      <c r="CP920" s="4"/>
      <c r="CQ920" s="4"/>
      <c r="CR920" s="4"/>
      <c r="CS920" s="4"/>
      <c r="CT920" s="4"/>
      <c r="CU920" s="4"/>
      <c r="CV920" s="4"/>
      <c r="CW920" s="4"/>
      <c r="CX920" s="4"/>
      <c r="CY920" s="4"/>
      <c r="CZ920" s="4"/>
      <c r="DA920" s="4"/>
      <c r="DB920" s="4"/>
      <c r="DC920" s="4"/>
      <c r="DD920" s="4"/>
      <c r="DE920" s="4"/>
      <c r="DF920" s="4"/>
      <c r="DG920" s="4"/>
      <c r="DH920" s="4"/>
      <c r="DI920" s="4"/>
      <c r="DJ920" s="4"/>
      <c r="DK920" s="4"/>
      <c r="DL920" s="4"/>
      <c r="DM920" s="4"/>
      <c r="DN920" s="4"/>
      <c r="DO920" s="4"/>
      <c r="DP920" s="4"/>
      <c r="DQ920" s="4"/>
      <c r="DR920" s="4"/>
      <c r="DS920" s="4"/>
      <c r="DT920" s="4"/>
      <c r="DU920" s="4"/>
      <c r="DV920" s="4"/>
    </row>
    <row r="921">
      <c r="A921" s="2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  <c r="CI921" s="4"/>
      <c r="CJ921" s="4"/>
      <c r="CK921" s="4"/>
      <c r="CL921" s="4"/>
      <c r="CM921" s="4"/>
      <c r="CN921" s="4"/>
      <c r="CO921" s="4"/>
      <c r="CP921" s="4"/>
      <c r="CQ921" s="4"/>
      <c r="CR921" s="4"/>
      <c r="CS921" s="4"/>
      <c r="CT921" s="4"/>
      <c r="CU921" s="4"/>
      <c r="CV921" s="4"/>
      <c r="CW921" s="4"/>
      <c r="CX921" s="4"/>
      <c r="CY921" s="4"/>
      <c r="CZ921" s="4"/>
      <c r="DA921" s="4"/>
      <c r="DB921" s="4"/>
      <c r="DC921" s="4"/>
      <c r="DD921" s="4"/>
      <c r="DE921" s="4"/>
      <c r="DF921" s="4"/>
      <c r="DG921" s="4"/>
      <c r="DH921" s="4"/>
      <c r="DI921" s="4"/>
      <c r="DJ921" s="4"/>
      <c r="DK921" s="4"/>
      <c r="DL921" s="4"/>
      <c r="DM921" s="4"/>
      <c r="DN921" s="4"/>
      <c r="DO921" s="4"/>
      <c r="DP921" s="4"/>
      <c r="DQ921" s="4"/>
      <c r="DR921" s="4"/>
      <c r="DS921" s="4"/>
      <c r="DT921" s="4"/>
      <c r="DU921" s="4"/>
      <c r="DV921" s="4"/>
    </row>
    <row r="922">
      <c r="A922" s="2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  <c r="CI922" s="4"/>
      <c r="CJ922" s="4"/>
      <c r="CK922" s="4"/>
      <c r="CL922" s="4"/>
      <c r="CM922" s="4"/>
      <c r="CN922" s="4"/>
      <c r="CO922" s="4"/>
      <c r="CP922" s="4"/>
      <c r="CQ922" s="4"/>
      <c r="CR922" s="4"/>
      <c r="CS922" s="4"/>
      <c r="CT922" s="4"/>
      <c r="CU922" s="4"/>
      <c r="CV922" s="4"/>
      <c r="CW922" s="4"/>
      <c r="CX922" s="4"/>
      <c r="CY922" s="4"/>
      <c r="CZ922" s="4"/>
      <c r="DA922" s="4"/>
      <c r="DB922" s="4"/>
      <c r="DC922" s="4"/>
      <c r="DD922" s="4"/>
      <c r="DE922" s="4"/>
      <c r="DF922" s="4"/>
      <c r="DG922" s="4"/>
      <c r="DH922" s="4"/>
      <c r="DI922" s="4"/>
      <c r="DJ922" s="4"/>
      <c r="DK922" s="4"/>
      <c r="DL922" s="4"/>
      <c r="DM922" s="4"/>
      <c r="DN922" s="4"/>
      <c r="DO922" s="4"/>
      <c r="DP922" s="4"/>
      <c r="DQ922" s="4"/>
      <c r="DR922" s="4"/>
      <c r="DS922" s="4"/>
      <c r="DT922" s="4"/>
      <c r="DU922" s="4"/>
      <c r="DV922" s="4"/>
    </row>
    <row r="923">
      <c r="A923" s="2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  <c r="CI923" s="4"/>
      <c r="CJ923" s="4"/>
      <c r="CK923" s="4"/>
      <c r="CL923" s="4"/>
      <c r="CM923" s="4"/>
      <c r="CN923" s="4"/>
      <c r="CO923" s="4"/>
      <c r="CP923" s="4"/>
      <c r="CQ923" s="4"/>
      <c r="CR923" s="4"/>
      <c r="CS923" s="4"/>
      <c r="CT923" s="4"/>
      <c r="CU923" s="4"/>
      <c r="CV923" s="4"/>
      <c r="CW923" s="4"/>
      <c r="CX923" s="4"/>
      <c r="CY923" s="4"/>
      <c r="CZ923" s="4"/>
      <c r="DA923" s="4"/>
      <c r="DB923" s="4"/>
      <c r="DC923" s="4"/>
      <c r="DD923" s="4"/>
      <c r="DE923" s="4"/>
      <c r="DF923" s="4"/>
      <c r="DG923" s="4"/>
      <c r="DH923" s="4"/>
      <c r="DI923" s="4"/>
      <c r="DJ923" s="4"/>
      <c r="DK923" s="4"/>
      <c r="DL923" s="4"/>
      <c r="DM923" s="4"/>
      <c r="DN923" s="4"/>
      <c r="DO923" s="4"/>
      <c r="DP923" s="4"/>
      <c r="DQ923" s="4"/>
      <c r="DR923" s="4"/>
      <c r="DS923" s="4"/>
      <c r="DT923" s="4"/>
      <c r="DU923" s="4"/>
      <c r="DV923" s="4"/>
    </row>
    <row r="924">
      <c r="A924" s="2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  <c r="CI924" s="4"/>
      <c r="CJ924" s="4"/>
      <c r="CK924" s="4"/>
      <c r="CL924" s="4"/>
      <c r="CM924" s="4"/>
      <c r="CN924" s="4"/>
      <c r="CO924" s="4"/>
      <c r="CP924" s="4"/>
      <c r="CQ924" s="4"/>
      <c r="CR924" s="4"/>
      <c r="CS924" s="4"/>
      <c r="CT924" s="4"/>
      <c r="CU924" s="4"/>
      <c r="CV924" s="4"/>
      <c r="CW924" s="4"/>
      <c r="CX924" s="4"/>
      <c r="CY924" s="4"/>
      <c r="CZ924" s="4"/>
      <c r="DA924" s="4"/>
      <c r="DB924" s="4"/>
      <c r="DC924" s="4"/>
      <c r="DD924" s="4"/>
      <c r="DE924" s="4"/>
      <c r="DF924" s="4"/>
      <c r="DG924" s="4"/>
      <c r="DH924" s="4"/>
      <c r="DI924" s="4"/>
      <c r="DJ924" s="4"/>
      <c r="DK924" s="4"/>
      <c r="DL924" s="4"/>
      <c r="DM924" s="4"/>
      <c r="DN924" s="4"/>
      <c r="DO924" s="4"/>
      <c r="DP924" s="4"/>
      <c r="DQ924" s="4"/>
      <c r="DR924" s="4"/>
      <c r="DS924" s="4"/>
      <c r="DT924" s="4"/>
      <c r="DU924" s="4"/>
      <c r="DV924" s="4"/>
    </row>
    <row r="925">
      <c r="A925" s="2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  <c r="CI925" s="4"/>
      <c r="CJ925" s="4"/>
      <c r="CK925" s="4"/>
      <c r="CL925" s="4"/>
      <c r="CM925" s="4"/>
      <c r="CN925" s="4"/>
      <c r="CO925" s="4"/>
      <c r="CP925" s="4"/>
      <c r="CQ925" s="4"/>
      <c r="CR925" s="4"/>
      <c r="CS925" s="4"/>
      <c r="CT925" s="4"/>
      <c r="CU925" s="4"/>
      <c r="CV925" s="4"/>
      <c r="CW925" s="4"/>
      <c r="CX925" s="4"/>
      <c r="CY925" s="4"/>
      <c r="CZ925" s="4"/>
      <c r="DA925" s="4"/>
      <c r="DB925" s="4"/>
      <c r="DC925" s="4"/>
      <c r="DD925" s="4"/>
      <c r="DE925" s="4"/>
      <c r="DF925" s="4"/>
      <c r="DG925" s="4"/>
      <c r="DH925" s="4"/>
      <c r="DI925" s="4"/>
      <c r="DJ925" s="4"/>
      <c r="DK925" s="4"/>
      <c r="DL925" s="4"/>
      <c r="DM925" s="4"/>
      <c r="DN925" s="4"/>
      <c r="DO925" s="4"/>
      <c r="DP925" s="4"/>
      <c r="DQ925" s="4"/>
      <c r="DR925" s="4"/>
      <c r="DS925" s="4"/>
      <c r="DT925" s="4"/>
      <c r="DU925" s="4"/>
      <c r="DV925" s="4"/>
    </row>
    <row r="926">
      <c r="A926" s="2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  <c r="CI926" s="4"/>
      <c r="CJ926" s="4"/>
      <c r="CK926" s="4"/>
      <c r="CL926" s="4"/>
      <c r="CM926" s="4"/>
      <c r="CN926" s="4"/>
      <c r="CO926" s="4"/>
      <c r="CP926" s="4"/>
      <c r="CQ926" s="4"/>
      <c r="CR926" s="4"/>
      <c r="CS926" s="4"/>
      <c r="CT926" s="4"/>
      <c r="CU926" s="4"/>
      <c r="CV926" s="4"/>
      <c r="CW926" s="4"/>
      <c r="CX926" s="4"/>
      <c r="CY926" s="4"/>
      <c r="CZ926" s="4"/>
      <c r="DA926" s="4"/>
      <c r="DB926" s="4"/>
      <c r="DC926" s="4"/>
      <c r="DD926" s="4"/>
      <c r="DE926" s="4"/>
      <c r="DF926" s="4"/>
      <c r="DG926" s="4"/>
      <c r="DH926" s="4"/>
      <c r="DI926" s="4"/>
      <c r="DJ926" s="4"/>
      <c r="DK926" s="4"/>
      <c r="DL926" s="4"/>
      <c r="DM926" s="4"/>
      <c r="DN926" s="4"/>
      <c r="DO926" s="4"/>
      <c r="DP926" s="4"/>
      <c r="DQ926" s="4"/>
      <c r="DR926" s="4"/>
      <c r="DS926" s="4"/>
      <c r="DT926" s="4"/>
      <c r="DU926" s="4"/>
      <c r="DV926" s="4"/>
    </row>
    <row r="927">
      <c r="A927" s="2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  <c r="CI927" s="4"/>
      <c r="CJ927" s="4"/>
      <c r="CK927" s="4"/>
      <c r="CL927" s="4"/>
      <c r="CM927" s="4"/>
      <c r="CN927" s="4"/>
      <c r="CO927" s="4"/>
      <c r="CP927" s="4"/>
      <c r="CQ927" s="4"/>
      <c r="CR927" s="4"/>
      <c r="CS927" s="4"/>
      <c r="CT927" s="4"/>
      <c r="CU927" s="4"/>
      <c r="CV927" s="4"/>
      <c r="CW927" s="4"/>
      <c r="CX927" s="4"/>
      <c r="CY927" s="4"/>
      <c r="CZ927" s="4"/>
      <c r="DA927" s="4"/>
      <c r="DB927" s="4"/>
      <c r="DC927" s="4"/>
      <c r="DD927" s="4"/>
      <c r="DE927" s="4"/>
      <c r="DF927" s="4"/>
      <c r="DG927" s="4"/>
      <c r="DH927" s="4"/>
      <c r="DI927" s="4"/>
      <c r="DJ927" s="4"/>
      <c r="DK927" s="4"/>
      <c r="DL927" s="4"/>
      <c r="DM927" s="4"/>
      <c r="DN927" s="4"/>
      <c r="DO927" s="4"/>
      <c r="DP927" s="4"/>
      <c r="DQ927" s="4"/>
      <c r="DR927" s="4"/>
      <c r="DS927" s="4"/>
      <c r="DT927" s="4"/>
      <c r="DU927" s="4"/>
      <c r="DV927" s="4"/>
    </row>
    <row r="928">
      <c r="A928" s="2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  <c r="CI928" s="4"/>
      <c r="CJ928" s="4"/>
      <c r="CK928" s="4"/>
      <c r="CL928" s="4"/>
      <c r="CM928" s="4"/>
      <c r="CN928" s="4"/>
      <c r="CO928" s="4"/>
      <c r="CP928" s="4"/>
      <c r="CQ928" s="4"/>
      <c r="CR928" s="4"/>
      <c r="CS928" s="4"/>
      <c r="CT928" s="4"/>
      <c r="CU928" s="4"/>
      <c r="CV928" s="4"/>
      <c r="CW928" s="4"/>
      <c r="CX928" s="4"/>
      <c r="CY928" s="4"/>
      <c r="CZ928" s="4"/>
      <c r="DA928" s="4"/>
      <c r="DB928" s="4"/>
      <c r="DC928" s="4"/>
      <c r="DD928" s="4"/>
      <c r="DE928" s="4"/>
      <c r="DF928" s="4"/>
      <c r="DG928" s="4"/>
      <c r="DH928" s="4"/>
      <c r="DI928" s="4"/>
      <c r="DJ928" s="4"/>
      <c r="DK928" s="4"/>
      <c r="DL928" s="4"/>
      <c r="DM928" s="4"/>
      <c r="DN928" s="4"/>
      <c r="DO928" s="4"/>
      <c r="DP928" s="4"/>
      <c r="DQ928" s="4"/>
      <c r="DR928" s="4"/>
      <c r="DS928" s="4"/>
      <c r="DT928" s="4"/>
      <c r="DU928" s="4"/>
      <c r="DV928" s="4"/>
    </row>
    <row r="929">
      <c r="A929" s="2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  <c r="CI929" s="4"/>
      <c r="CJ929" s="4"/>
      <c r="CK929" s="4"/>
      <c r="CL929" s="4"/>
      <c r="CM929" s="4"/>
      <c r="CN929" s="4"/>
      <c r="CO929" s="4"/>
      <c r="CP929" s="4"/>
      <c r="CQ929" s="4"/>
      <c r="CR929" s="4"/>
      <c r="CS929" s="4"/>
      <c r="CT929" s="4"/>
      <c r="CU929" s="4"/>
      <c r="CV929" s="4"/>
      <c r="CW929" s="4"/>
      <c r="CX929" s="4"/>
      <c r="CY929" s="4"/>
      <c r="CZ929" s="4"/>
      <c r="DA929" s="4"/>
      <c r="DB929" s="4"/>
      <c r="DC929" s="4"/>
      <c r="DD929" s="4"/>
      <c r="DE929" s="4"/>
      <c r="DF929" s="4"/>
      <c r="DG929" s="4"/>
      <c r="DH929" s="4"/>
      <c r="DI929" s="4"/>
      <c r="DJ929" s="4"/>
      <c r="DK929" s="4"/>
      <c r="DL929" s="4"/>
      <c r="DM929" s="4"/>
      <c r="DN929" s="4"/>
      <c r="DO929" s="4"/>
      <c r="DP929" s="4"/>
      <c r="DQ929" s="4"/>
      <c r="DR929" s="4"/>
      <c r="DS929" s="4"/>
      <c r="DT929" s="4"/>
      <c r="DU929" s="4"/>
      <c r="DV929" s="4"/>
    </row>
    <row r="930">
      <c r="A930" s="2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  <c r="CI930" s="4"/>
      <c r="CJ930" s="4"/>
      <c r="CK930" s="4"/>
      <c r="CL930" s="4"/>
      <c r="CM930" s="4"/>
      <c r="CN930" s="4"/>
      <c r="CO930" s="4"/>
      <c r="CP930" s="4"/>
      <c r="CQ930" s="4"/>
      <c r="CR930" s="4"/>
      <c r="CS930" s="4"/>
      <c r="CT930" s="4"/>
      <c r="CU930" s="4"/>
      <c r="CV930" s="4"/>
      <c r="CW930" s="4"/>
      <c r="CX930" s="4"/>
      <c r="CY930" s="4"/>
      <c r="CZ930" s="4"/>
      <c r="DA930" s="4"/>
      <c r="DB930" s="4"/>
      <c r="DC930" s="4"/>
      <c r="DD930" s="4"/>
      <c r="DE930" s="4"/>
      <c r="DF930" s="4"/>
      <c r="DG930" s="4"/>
      <c r="DH930" s="4"/>
      <c r="DI930" s="4"/>
      <c r="DJ930" s="4"/>
      <c r="DK930" s="4"/>
      <c r="DL930" s="4"/>
      <c r="DM930" s="4"/>
      <c r="DN930" s="4"/>
      <c r="DO930" s="4"/>
      <c r="DP930" s="4"/>
      <c r="DQ930" s="4"/>
      <c r="DR930" s="4"/>
      <c r="DS930" s="4"/>
      <c r="DT930" s="4"/>
      <c r="DU930" s="4"/>
      <c r="DV930" s="4"/>
    </row>
    <row r="931">
      <c r="A931" s="2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  <c r="CI931" s="4"/>
      <c r="CJ931" s="4"/>
      <c r="CK931" s="4"/>
      <c r="CL931" s="4"/>
      <c r="CM931" s="4"/>
      <c r="CN931" s="4"/>
      <c r="CO931" s="4"/>
      <c r="CP931" s="4"/>
      <c r="CQ931" s="4"/>
      <c r="CR931" s="4"/>
      <c r="CS931" s="4"/>
      <c r="CT931" s="4"/>
      <c r="CU931" s="4"/>
      <c r="CV931" s="4"/>
      <c r="CW931" s="4"/>
      <c r="CX931" s="4"/>
      <c r="CY931" s="4"/>
      <c r="CZ931" s="4"/>
      <c r="DA931" s="4"/>
      <c r="DB931" s="4"/>
      <c r="DC931" s="4"/>
      <c r="DD931" s="4"/>
      <c r="DE931" s="4"/>
      <c r="DF931" s="4"/>
      <c r="DG931" s="4"/>
      <c r="DH931" s="4"/>
      <c r="DI931" s="4"/>
      <c r="DJ931" s="4"/>
      <c r="DK931" s="4"/>
      <c r="DL931" s="4"/>
      <c r="DM931" s="4"/>
      <c r="DN931" s="4"/>
      <c r="DO931" s="4"/>
      <c r="DP931" s="4"/>
      <c r="DQ931" s="4"/>
      <c r="DR931" s="4"/>
      <c r="DS931" s="4"/>
      <c r="DT931" s="4"/>
      <c r="DU931" s="4"/>
      <c r="DV931" s="4"/>
    </row>
    <row r="932">
      <c r="A932" s="2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  <c r="CI932" s="4"/>
      <c r="CJ932" s="4"/>
      <c r="CK932" s="4"/>
      <c r="CL932" s="4"/>
      <c r="CM932" s="4"/>
      <c r="CN932" s="4"/>
      <c r="CO932" s="4"/>
      <c r="CP932" s="4"/>
      <c r="CQ932" s="4"/>
      <c r="CR932" s="4"/>
      <c r="CS932" s="4"/>
      <c r="CT932" s="4"/>
      <c r="CU932" s="4"/>
      <c r="CV932" s="4"/>
      <c r="CW932" s="4"/>
      <c r="CX932" s="4"/>
      <c r="CY932" s="4"/>
      <c r="CZ932" s="4"/>
      <c r="DA932" s="4"/>
      <c r="DB932" s="4"/>
      <c r="DC932" s="4"/>
      <c r="DD932" s="4"/>
      <c r="DE932" s="4"/>
      <c r="DF932" s="4"/>
      <c r="DG932" s="4"/>
      <c r="DH932" s="4"/>
      <c r="DI932" s="4"/>
      <c r="DJ932" s="4"/>
      <c r="DK932" s="4"/>
      <c r="DL932" s="4"/>
      <c r="DM932" s="4"/>
      <c r="DN932" s="4"/>
      <c r="DO932" s="4"/>
      <c r="DP932" s="4"/>
      <c r="DQ932" s="4"/>
      <c r="DR932" s="4"/>
      <c r="DS932" s="4"/>
      <c r="DT932" s="4"/>
      <c r="DU932" s="4"/>
      <c r="DV932" s="4"/>
    </row>
    <row r="933">
      <c r="A933" s="2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  <c r="CI933" s="4"/>
      <c r="CJ933" s="4"/>
      <c r="CK933" s="4"/>
      <c r="CL933" s="4"/>
      <c r="CM933" s="4"/>
      <c r="CN933" s="4"/>
      <c r="CO933" s="4"/>
      <c r="CP933" s="4"/>
      <c r="CQ933" s="4"/>
      <c r="CR933" s="4"/>
      <c r="CS933" s="4"/>
      <c r="CT933" s="4"/>
      <c r="CU933" s="4"/>
      <c r="CV933" s="4"/>
      <c r="CW933" s="4"/>
      <c r="CX933" s="4"/>
      <c r="CY933" s="4"/>
      <c r="CZ933" s="4"/>
      <c r="DA933" s="4"/>
      <c r="DB933" s="4"/>
      <c r="DC933" s="4"/>
      <c r="DD933" s="4"/>
      <c r="DE933" s="4"/>
      <c r="DF933" s="4"/>
      <c r="DG933" s="4"/>
      <c r="DH933" s="4"/>
      <c r="DI933" s="4"/>
      <c r="DJ933" s="4"/>
      <c r="DK933" s="4"/>
      <c r="DL933" s="4"/>
      <c r="DM933" s="4"/>
      <c r="DN933" s="4"/>
      <c r="DO933" s="4"/>
      <c r="DP933" s="4"/>
      <c r="DQ933" s="4"/>
      <c r="DR933" s="4"/>
      <c r="DS933" s="4"/>
      <c r="DT933" s="4"/>
      <c r="DU933" s="4"/>
      <c r="DV933" s="4"/>
    </row>
    <row r="934">
      <c r="A934" s="2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  <c r="CI934" s="4"/>
      <c r="CJ934" s="4"/>
      <c r="CK934" s="4"/>
      <c r="CL934" s="4"/>
      <c r="CM934" s="4"/>
      <c r="CN934" s="4"/>
      <c r="CO934" s="4"/>
      <c r="CP934" s="4"/>
      <c r="CQ934" s="4"/>
      <c r="CR934" s="4"/>
      <c r="CS934" s="4"/>
      <c r="CT934" s="4"/>
      <c r="CU934" s="4"/>
      <c r="CV934" s="4"/>
      <c r="CW934" s="4"/>
      <c r="CX934" s="4"/>
      <c r="CY934" s="4"/>
      <c r="CZ934" s="4"/>
      <c r="DA934" s="4"/>
      <c r="DB934" s="4"/>
      <c r="DC934" s="4"/>
      <c r="DD934" s="4"/>
      <c r="DE934" s="4"/>
      <c r="DF934" s="4"/>
      <c r="DG934" s="4"/>
      <c r="DH934" s="4"/>
      <c r="DI934" s="4"/>
      <c r="DJ934" s="4"/>
      <c r="DK934" s="4"/>
      <c r="DL934" s="4"/>
      <c r="DM934" s="4"/>
      <c r="DN934" s="4"/>
      <c r="DO934" s="4"/>
      <c r="DP934" s="4"/>
      <c r="DQ934" s="4"/>
      <c r="DR934" s="4"/>
      <c r="DS934" s="4"/>
      <c r="DT934" s="4"/>
      <c r="DU934" s="4"/>
      <c r="DV934" s="4"/>
    </row>
    <row r="935">
      <c r="A935" s="2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  <c r="CI935" s="4"/>
      <c r="CJ935" s="4"/>
      <c r="CK935" s="4"/>
      <c r="CL935" s="4"/>
      <c r="CM935" s="4"/>
      <c r="CN935" s="4"/>
      <c r="CO935" s="4"/>
      <c r="CP935" s="4"/>
      <c r="CQ935" s="4"/>
      <c r="CR935" s="4"/>
      <c r="CS935" s="4"/>
      <c r="CT935" s="4"/>
      <c r="CU935" s="4"/>
      <c r="CV935" s="4"/>
      <c r="CW935" s="4"/>
      <c r="CX935" s="4"/>
      <c r="CY935" s="4"/>
      <c r="CZ935" s="4"/>
      <c r="DA935" s="4"/>
      <c r="DB935" s="4"/>
      <c r="DC935" s="4"/>
      <c r="DD935" s="4"/>
      <c r="DE935" s="4"/>
      <c r="DF935" s="4"/>
      <c r="DG935" s="4"/>
      <c r="DH935" s="4"/>
      <c r="DI935" s="4"/>
      <c r="DJ935" s="4"/>
      <c r="DK935" s="4"/>
      <c r="DL935" s="4"/>
      <c r="DM935" s="4"/>
      <c r="DN935" s="4"/>
      <c r="DO935" s="4"/>
      <c r="DP935" s="4"/>
      <c r="DQ935" s="4"/>
      <c r="DR935" s="4"/>
      <c r="DS935" s="4"/>
      <c r="DT935" s="4"/>
      <c r="DU935" s="4"/>
      <c r="DV935" s="4"/>
    </row>
    <row r="936">
      <c r="A936" s="2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  <c r="CI936" s="4"/>
      <c r="CJ936" s="4"/>
      <c r="CK936" s="4"/>
      <c r="CL936" s="4"/>
      <c r="CM936" s="4"/>
      <c r="CN936" s="4"/>
      <c r="CO936" s="4"/>
      <c r="CP936" s="4"/>
      <c r="CQ936" s="4"/>
      <c r="CR936" s="4"/>
      <c r="CS936" s="4"/>
      <c r="CT936" s="4"/>
      <c r="CU936" s="4"/>
      <c r="CV936" s="4"/>
      <c r="CW936" s="4"/>
      <c r="CX936" s="4"/>
      <c r="CY936" s="4"/>
      <c r="CZ936" s="4"/>
      <c r="DA936" s="4"/>
      <c r="DB936" s="4"/>
      <c r="DC936" s="4"/>
      <c r="DD936" s="4"/>
      <c r="DE936" s="4"/>
      <c r="DF936" s="4"/>
      <c r="DG936" s="4"/>
      <c r="DH936" s="4"/>
      <c r="DI936" s="4"/>
      <c r="DJ936" s="4"/>
      <c r="DK936" s="4"/>
      <c r="DL936" s="4"/>
      <c r="DM936" s="4"/>
      <c r="DN936" s="4"/>
      <c r="DO936" s="4"/>
      <c r="DP936" s="4"/>
      <c r="DQ936" s="4"/>
      <c r="DR936" s="4"/>
      <c r="DS936" s="4"/>
      <c r="DT936" s="4"/>
      <c r="DU936" s="4"/>
      <c r="DV936" s="4"/>
    </row>
    <row r="937">
      <c r="A937" s="2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  <c r="CI937" s="4"/>
      <c r="CJ937" s="4"/>
      <c r="CK937" s="4"/>
      <c r="CL937" s="4"/>
      <c r="CM937" s="4"/>
      <c r="CN937" s="4"/>
      <c r="CO937" s="4"/>
      <c r="CP937" s="4"/>
      <c r="CQ937" s="4"/>
      <c r="CR937" s="4"/>
      <c r="CS937" s="4"/>
      <c r="CT937" s="4"/>
      <c r="CU937" s="4"/>
      <c r="CV937" s="4"/>
      <c r="CW937" s="4"/>
      <c r="CX937" s="4"/>
      <c r="CY937" s="4"/>
      <c r="CZ937" s="4"/>
      <c r="DA937" s="4"/>
      <c r="DB937" s="4"/>
      <c r="DC937" s="4"/>
      <c r="DD937" s="4"/>
      <c r="DE937" s="4"/>
      <c r="DF937" s="4"/>
      <c r="DG937" s="4"/>
      <c r="DH937" s="4"/>
      <c r="DI937" s="4"/>
      <c r="DJ937" s="4"/>
      <c r="DK937" s="4"/>
      <c r="DL937" s="4"/>
      <c r="DM937" s="4"/>
      <c r="DN937" s="4"/>
      <c r="DO937" s="4"/>
      <c r="DP937" s="4"/>
      <c r="DQ937" s="4"/>
      <c r="DR937" s="4"/>
      <c r="DS937" s="4"/>
      <c r="DT937" s="4"/>
      <c r="DU937" s="4"/>
      <c r="DV937" s="4"/>
    </row>
    <row r="938">
      <c r="A938" s="2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  <c r="CI938" s="4"/>
      <c r="CJ938" s="4"/>
      <c r="CK938" s="4"/>
      <c r="CL938" s="4"/>
      <c r="CM938" s="4"/>
      <c r="CN938" s="4"/>
      <c r="CO938" s="4"/>
      <c r="CP938" s="4"/>
      <c r="CQ938" s="4"/>
      <c r="CR938" s="4"/>
      <c r="CS938" s="4"/>
      <c r="CT938" s="4"/>
      <c r="CU938" s="4"/>
      <c r="CV938" s="4"/>
      <c r="CW938" s="4"/>
      <c r="CX938" s="4"/>
      <c r="CY938" s="4"/>
      <c r="CZ938" s="4"/>
      <c r="DA938" s="4"/>
      <c r="DB938" s="4"/>
      <c r="DC938" s="4"/>
      <c r="DD938" s="4"/>
      <c r="DE938" s="4"/>
      <c r="DF938" s="4"/>
      <c r="DG938" s="4"/>
      <c r="DH938" s="4"/>
      <c r="DI938" s="4"/>
      <c r="DJ938" s="4"/>
      <c r="DK938" s="4"/>
      <c r="DL938" s="4"/>
      <c r="DM938" s="4"/>
      <c r="DN938" s="4"/>
      <c r="DO938" s="4"/>
      <c r="DP938" s="4"/>
      <c r="DQ938" s="4"/>
      <c r="DR938" s="4"/>
      <c r="DS938" s="4"/>
      <c r="DT938" s="4"/>
      <c r="DU938" s="4"/>
      <c r="DV938" s="4"/>
    </row>
    <row r="939">
      <c r="A939" s="2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  <c r="CI939" s="4"/>
      <c r="CJ939" s="4"/>
      <c r="CK939" s="4"/>
      <c r="CL939" s="4"/>
      <c r="CM939" s="4"/>
      <c r="CN939" s="4"/>
      <c r="CO939" s="4"/>
      <c r="CP939" s="4"/>
      <c r="CQ939" s="4"/>
      <c r="CR939" s="4"/>
      <c r="CS939" s="4"/>
      <c r="CT939" s="4"/>
      <c r="CU939" s="4"/>
      <c r="CV939" s="4"/>
      <c r="CW939" s="4"/>
      <c r="CX939" s="4"/>
      <c r="CY939" s="4"/>
      <c r="CZ939" s="4"/>
      <c r="DA939" s="4"/>
      <c r="DB939" s="4"/>
      <c r="DC939" s="4"/>
      <c r="DD939" s="4"/>
      <c r="DE939" s="4"/>
      <c r="DF939" s="4"/>
      <c r="DG939" s="4"/>
      <c r="DH939" s="4"/>
      <c r="DI939" s="4"/>
      <c r="DJ939" s="4"/>
      <c r="DK939" s="4"/>
      <c r="DL939" s="4"/>
      <c r="DM939" s="4"/>
      <c r="DN939" s="4"/>
      <c r="DO939" s="4"/>
      <c r="DP939" s="4"/>
      <c r="DQ939" s="4"/>
      <c r="DR939" s="4"/>
      <c r="DS939" s="4"/>
      <c r="DT939" s="4"/>
      <c r="DU939" s="4"/>
      <c r="DV939" s="4"/>
    </row>
    <row r="940">
      <c r="A940" s="2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  <c r="CI940" s="4"/>
      <c r="CJ940" s="4"/>
      <c r="CK940" s="4"/>
      <c r="CL940" s="4"/>
      <c r="CM940" s="4"/>
      <c r="CN940" s="4"/>
      <c r="CO940" s="4"/>
      <c r="CP940" s="4"/>
      <c r="CQ940" s="4"/>
      <c r="CR940" s="4"/>
      <c r="CS940" s="4"/>
      <c r="CT940" s="4"/>
      <c r="CU940" s="4"/>
      <c r="CV940" s="4"/>
      <c r="CW940" s="4"/>
      <c r="CX940" s="4"/>
      <c r="CY940" s="4"/>
      <c r="CZ940" s="4"/>
      <c r="DA940" s="4"/>
      <c r="DB940" s="4"/>
      <c r="DC940" s="4"/>
      <c r="DD940" s="4"/>
      <c r="DE940" s="4"/>
      <c r="DF940" s="4"/>
      <c r="DG940" s="4"/>
      <c r="DH940" s="4"/>
      <c r="DI940" s="4"/>
      <c r="DJ940" s="4"/>
      <c r="DK940" s="4"/>
      <c r="DL940" s="4"/>
      <c r="DM940" s="4"/>
      <c r="DN940" s="4"/>
      <c r="DO940" s="4"/>
      <c r="DP940" s="4"/>
      <c r="DQ940" s="4"/>
      <c r="DR940" s="4"/>
      <c r="DS940" s="4"/>
      <c r="DT940" s="4"/>
      <c r="DU940" s="4"/>
      <c r="DV940" s="4"/>
    </row>
    <row r="941">
      <c r="A941" s="2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  <c r="CI941" s="4"/>
      <c r="CJ941" s="4"/>
      <c r="CK941" s="4"/>
      <c r="CL941" s="4"/>
      <c r="CM941" s="4"/>
      <c r="CN941" s="4"/>
      <c r="CO941" s="4"/>
      <c r="CP941" s="4"/>
      <c r="CQ941" s="4"/>
      <c r="CR941" s="4"/>
      <c r="CS941" s="4"/>
      <c r="CT941" s="4"/>
      <c r="CU941" s="4"/>
      <c r="CV941" s="4"/>
      <c r="CW941" s="4"/>
      <c r="CX941" s="4"/>
      <c r="CY941" s="4"/>
      <c r="CZ941" s="4"/>
      <c r="DA941" s="4"/>
      <c r="DB941" s="4"/>
      <c r="DC941" s="4"/>
      <c r="DD941" s="4"/>
      <c r="DE941" s="4"/>
      <c r="DF941" s="4"/>
      <c r="DG941" s="4"/>
      <c r="DH941" s="4"/>
      <c r="DI941" s="4"/>
      <c r="DJ941" s="4"/>
      <c r="DK941" s="4"/>
      <c r="DL941" s="4"/>
      <c r="DM941" s="4"/>
      <c r="DN941" s="4"/>
      <c r="DO941" s="4"/>
      <c r="DP941" s="4"/>
      <c r="DQ941" s="4"/>
      <c r="DR941" s="4"/>
      <c r="DS941" s="4"/>
      <c r="DT941" s="4"/>
      <c r="DU941" s="4"/>
      <c r="DV941" s="4"/>
    </row>
    <row r="942">
      <c r="A942" s="2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  <c r="CI942" s="4"/>
      <c r="CJ942" s="4"/>
      <c r="CK942" s="4"/>
      <c r="CL942" s="4"/>
      <c r="CM942" s="4"/>
      <c r="CN942" s="4"/>
      <c r="CO942" s="4"/>
      <c r="CP942" s="4"/>
      <c r="CQ942" s="4"/>
      <c r="CR942" s="4"/>
      <c r="CS942" s="4"/>
      <c r="CT942" s="4"/>
      <c r="CU942" s="4"/>
      <c r="CV942" s="4"/>
      <c r="CW942" s="4"/>
      <c r="CX942" s="4"/>
      <c r="CY942" s="4"/>
      <c r="CZ942" s="4"/>
      <c r="DA942" s="4"/>
      <c r="DB942" s="4"/>
      <c r="DC942" s="4"/>
      <c r="DD942" s="4"/>
      <c r="DE942" s="4"/>
      <c r="DF942" s="4"/>
      <c r="DG942" s="4"/>
      <c r="DH942" s="4"/>
      <c r="DI942" s="4"/>
      <c r="DJ942" s="4"/>
      <c r="DK942" s="4"/>
      <c r="DL942" s="4"/>
      <c r="DM942" s="4"/>
      <c r="DN942" s="4"/>
      <c r="DO942" s="4"/>
      <c r="DP942" s="4"/>
      <c r="DQ942" s="4"/>
      <c r="DR942" s="4"/>
      <c r="DS942" s="4"/>
      <c r="DT942" s="4"/>
      <c r="DU942" s="4"/>
      <c r="DV942" s="4"/>
    </row>
    <row r="943">
      <c r="A943" s="2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  <c r="CI943" s="4"/>
      <c r="CJ943" s="4"/>
      <c r="CK943" s="4"/>
      <c r="CL943" s="4"/>
      <c r="CM943" s="4"/>
      <c r="CN943" s="4"/>
      <c r="CO943" s="4"/>
      <c r="CP943" s="4"/>
      <c r="CQ943" s="4"/>
      <c r="CR943" s="4"/>
      <c r="CS943" s="4"/>
      <c r="CT943" s="4"/>
      <c r="CU943" s="4"/>
      <c r="CV943" s="4"/>
      <c r="CW943" s="4"/>
      <c r="CX943" s="4"/>
      <c r="CY943" s="4"/>
      <c r="CZ943" s="4"/>
      <c r="DA943" s="4"/>
      <c r="DB943" s="4"/>
      <c r="DC943" s="4"/>
      <c r="DD943" s="4"/>
      <c r="DE943" s="4"/>
      <c r="DF943" s="4"/>
      <c r="DG943" s="4"/>
      <c r="DH943" s="4"/>
      <c r="DI943" s="4"/>
      <c r="DJ943" s="4"/>
      <c r="DK943" s="4"/>
      <c r="DL943" s="4"/>
      <c r="DM943" s="4"/>
      <c r="DN943" s="4"/>
      <c r="DO943" s="4"/>
      <c r="DP943" s="4"/>
      <c r="DQ943" s="4"/>
      <c r="DR943" s="4"/>
      <c r="DS943" s="4"/>
      <c r="DT943" s="4"/>
      <c r="DU943" s="4"/>
      <c r="DV943" s="4"/>
    </row>
    <row r="944">
      <c r="A944" s="2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  <c r="CI944" s="4"/>
      <c r="CJ944" s="4"/>
      <c r="CK944" s="4"/>
      <c r="CL944" s="4"/>
      <c r="CM944" s="4"/>
      <c r="CN944" s="4"/>
      <c r="CO944" s="4"/>
      <c r="CP944" s="4"/>
      <c r="CQ944" s="4"/>
      <c r="CR944" s="4"/>
      <c r="CS944" s="4"/>
      <c r="CT944" s="4"/>
      <c r="CU944" s="4"/>
      <c r="CV944" s="4"/>
      <c r="CW944" s="4"/>
      <c r="CX944" s="4"/>
      <c r="CY944" s="4"/>
      <c r="CZ944" s="4"/>
      <c r="DA944" s="4"/>
      <c r="DB944" s="4"/>
      <c r="DC944" s="4"/>
      <c r="DD944" s="4"/>
      <c r="DE944" s="4"/>
      <c r="DF944" s="4"/>
      <c r="DG944" s="4"/>
      <c r="DH944" s="4"/>
      <c r="DI944" s="4"/>
      <c r="DJ944" s="4"/>
      <c r="DK944" s="4"/>
      <c r="DL944" s="4"/>
      <c r="DM944" s="4"/>
      <c r="DN944" s="4"/>
      <c r="DO944" s="4"/>
      <c r="DP944" s="4"/>
      <c r="DQ944" s="4"/>
      <c r="DR944" s="4"/>
      <c r="DS944" s="4"/>
      <c r="DT944" s="4"/>
      <c r="DU944" s="4"/>
      <c r="DV944" s="4"/>
    </row>
    <row r="945">
      <c r="A945" s="2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  <c r="CI945" s="4"/>
      <c r="CJ945" s="4"/>
      <c r="CK945" s="4"/>
      <c r="CL945" s="4"/>
      <c r="CM945" s="4"/>
      <c r="CN945" s="4"/>
      <c r="CO945" s="4"/>
      <c r="CP945" s="4"/>
      <c r="CQ945" s="4"/>
      <c r="CR945" s="4"/>
      <c r="CS945" s="4"/>
      <c r="CT945" s="4"/>
      <c r="CU945" s="4"/>
      <c r="CV945" s="4"/>
      <c r="CW945" s="4"/>
      <c r="CX945" s="4"/>
      <c r="CY945" s="4"/>
      <c r="CZ945" s="4"/>
      <c r="DA945" s="4"/>
      <c r="DB945" s="4"/>
      <c r="DC945" s="4"/>
      <c r="DD945" s="4"/>
      <c r="DE945" s="4"/>
      <c r="DF945" s="4"/>
      <c r="DG945" s="4"/>
      <c r="DH945" s="4"/>
      <c r="DI945" s="4"/>
      <c r="DJ945" s="4"/>
      <c r="DK945" s="4"/>
      <c r="DL945" s="4"/>
      <c r="DM945" s="4"/>
      <c r="DN945" s="4"/>
      <c r="DO945" s="4"/>
      <c r="DP945" s="4"/>
      <c r="DQ945" s="4"/>
      <c r="DR945" s="4"/>
      <c r="DS945" s="4"/>
      <c r="DT945" s="4"/>
      <c r="DU945" s="4"/>
      <c r="DV945" s="4"/>
    </row>
    <row r="946">
      <c r="A946" s="2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  <c r="CI946" s="4"/>
      <c r="CJ946" s="4"/>
      <c r="CK946" s="4"/>
      <c r="CL946" s="4"/>
      <c r="CM946" s="4"/>
      <c r="CN946" s="4"/>
      <c r="CO946" s="4"/>
      <c r="CP946" s="4"/>
      <c r="CQ946" s="4"/>
      <c r="CR946" s="4"/>
      <c r="CS946" s="4"/>
      <c r="CT946" s="4"/>
      <c r="CU946" s="4"/>
      <c r="CV946" s="4"/>
      <c r="CW946" s="4"/>
      <c r="CX946" s="4"/>
      <c r="CY946" s="4"/>
      <c r="CZ946" s="4"/>
      <c r="DA946" s="4"/>
      <c r="DB946" s="4"/>
      <c r="DC946" s="4"/>
      <c r="DD946" s="4"/>
      <c r="DE946" s="4"/>
      <c r="DF946" s="4"/>
      <c r="DG946" s="4"/>
      <c r="DH946" s="4"/>
      <c r="DI946" s="4"/>
      <c r="DJ946" s="4"/>
      <c r="DK946" s="4"/>
      <c r="DL946" s="4"/>
      <c r="DM946" s="4"/>
      <c r="DN946" s="4"/>
      <c r="DO946" s="4"/>
      <c r="DP946" s="4"/>
      <c r="DQ946" s="4"/>
      <c r="DR946" s="4"/>
      <c r="DS946" s="4"/>
      <c r="DT946" s="4"/>
      <c r="DU946" s="4"/>
      <c r="DV946" s="4"/>
    </row>
    <row r="947">
      <c r="A947" s="2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  <c r="CI947" s="4"/>
      <c r="CJ947" s="4"/>
      <c r="CK947" s="4"/>
      <c r="CL947" s="4"/>
      <c r="CM947" s="4"/>
      <c r="CN947" s="4"/>
      <c r="CO947" s="4"/>
      <c r="CP947" s="4"/>
      <c r="CQ947" s="4"/>
      <c r="CR947" s="4"/>
      <c r="CS947" s="4"/>
      <c r="CT947" s="4"/>
      <c r="CU947" s="4"/>
      <c r="CV947" s="4"/>
      <c r="CW947" s="4"/>
      <c r="CX947" s="4"/>
      <c r="CY947" s="4"/>
      <c r="CZ947" s="4"/>
      <c r="DA947" s="4"/>
      <c r="DB947" s="4"/>
      <c r="DC947" s="4"/>
      <c r="DD947" s="4"/>
      <c r="DE947" s="4"/>
      <c r="DF947" s="4"/>
      <c r="DG947" s="4"/>
      <c r="DH947" s="4"/>
      <c r="DI947" s="4"/>
      <c r="DJ947" s="4"/>
      <c r="DK947" s="4"/>
      <c r="DL947" s="4"/>
      <c r="DM947" s="4"/>
      <c r="DN947" s="4"/>
      <c r="DO947" s="4"/>
      <c r="DP947" s="4"/>
      <c r="DQ947" s="4"/>
      <c r="DR947" s="4"/>
      <c r="DS947" s="4"/>
      <c r="DT947" s="4"/>
      <c r="DU947" s="4"/>
      <c r="DV947" s="4"/>
    </row>
    <row r="948">
      <c r="A948" s="2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  <c r="CI948" s="4"/>
      <c r="CJ948" s="4"/>
      <c r="CK948" s="4"/>
      <c r="CL948" s="4"/>
      <c r="CM948" s="4"/>
      <c r="CN948" s="4"/>
      <c r="CO948" s="4"/>
      <c r="CP948" s="4"/>
      <c r="CQ948" s="4"/>
      <c r="CR948" s="4"/>
      <c r="CS948" s="4"/>
      <c r="CT948" s="4"/>
      <c r="CU948" s="4"/>
      <c r="CV948" s="4"/>
      <c r="CW948" s="4"/>
      <c r="CX948" s="4"/>
      <c r="CY948" s="4"/>
      <c r="CZ948" s="4"/>
      <c r="DA948" s="4"/>
      <c r="DB948" s="4"/>
      <c r="DC948" s="4"/>
      <c r="DD948" s="4"/>
      <c r="DE948" s="4"/>
      <c r="DF948" s="4"/>
      <c r="DG948" s="4"/>
      <c r="DH948" s="4"/>
      <c r="DI948" s="4"/>
      <c r="DJ948" s="4"/>
      <c r="DK948" s="4"/>
      <c r="DL948" s="4"/>
      <c r="DM948" s="4"/>
      <c r="DN948" s="4"/>
      <c r="DO948" s="4"/>
      <c r="DP948" s="4"/>
      <c r="DQ948" s="4"/>
      <c r="DR948" s="4"/>
      <c r="DS948" s="4"/>
      <c r="DT948" s="4"/>
      <c r="DU948" s="4"/>
      <c r="DV948" s="4"/>
    </row>
    <row r="949">
      <c r="A949" s="2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  <c r="CI949" s="4"/>
      <c r="CJ949" s="4"/>
      <c r="CK949" s="4"/>
      <c r="CL949" s="4"/>
      <c r="CM949" s="4"/>
      <c r="CN949" s="4"/>
      <c r="CO949" s="4"/>
      <c r="CP949" s="4"/>
      <c r="CQ949" s="4"/>
      <c r="CR949" s="4"/>
      <c r="CS949" s="4"/>
      <c r="CT949" s="4"/>
      <c r="CU949" s="4"/>
      <c r="CV949" s="4"/>
      <c r="CW949" s="4"/>
      <c r="CX949" s="4"/>
      <c r="CY949" s="4"/>
      <c r="CZ949" s="4"/>
      <c r="DA949" s="4"/>
      <c r="DB949" s="4"/>
      <c r="DC949" s="4"/>
      <c r="DD949" s="4"/>
      <c r="DE949" s="4"/>
      <c r="DF949" s="4"/>
      <c r="DG949" s="4"/>
      <c r="DH949" s="4"/>
      <c r="DI949" s="4"/>
      <c r="DJ949" s="4"/>
      <c r="DK949" s="4"/>
      <c r="DL949" s="4"/>
      <c r="DM949" s="4"/>
      <c r="DN949" s="4"/>
      <c r="DO949" s="4"/>
      <c r="DP949" s="4"/>
      <c r="DQ949" s="4"/>
      <c r="DR949" s="4"/>
      <c r="DS949" s="4"/>
      <c r="DT949" s="4"/>
      <c r="DU949" s="4"/>
      <c r="DV949" s="4"/>
    </row>
    <row r="950">
      <c r="A950" s="2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  <c r="CI950" s="4"/>
      <c r="CJ950" s="4"/>
      <c r="CK950" s="4"/>
      <c r="CL950" s="4"/>
      <c r="CM950" s="4"/>
      <c r="CN950" s="4"/>
      <c r="CO950" s="4"/>
      <c r="CP950" s="4"/>
      <c r="CQ950" s="4"/>
      <c r="CR950" s="4"/>
      <c r="CS950" s="4"/>
      <c r="CT950" s="4"/>
      <c r="CU950" s="4"/>
      <c r="CV950" s="4"/>
      <c r="CW950" s="4"/>
      <c r="CX950" s="4"/>
      <c r="CY950" s="4"/>
      <c r="CZ950" s="4"/>
      <c r="DA950" s="4"/>
      <c r="DB950" s="4"/>
      <c r="DC950" s="4"/>
      <c r="DD950" s="4"/>
      <c r="DE950" s="4"/>
      <c r="DF950" s="4"/>
      <c r="DG950" s="4"/>
      <c r="DH950" s="4"/>
      <c r="DI950" s="4"/>
      <c r="DJ950" s="4"/>
      <c r="DK950" s="4"/>
      <c r="DL950" s="4"/>
      <c r="DM950" s="4"/>
      <c r="DN950" s="4"/>
      <c r="DO950" s="4"/>
      <c r="DP950" s="4"/>
      <c r="DQ950" s="4"/>
      <c r="DR950" s="4"/>
      <c r="DS950" s="4"/>
      <c r="DT950" s="4"/>
      <c r="DU950" s="4"/>
      <c r="DV950" s="4"/>
    </row>
    <row r="951">
      <c r="A951" s="2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  <c r="CI951" s="4"/>
      <c r="CJ951" s="4"/>
      <c r="CK951" s="4"/>
      <c r="CL951" s="4"/>
      <c r="CM951" s="4"/>
      <c r="CN951" s="4"/>
      <c r="CO951" s="4"/>
      <c r="CP951" s="4"/>
      <c r="CQ951" s="4"/>
      <c r="CR951" s="4"/>
      <c r="CS951" s="4"/>
      <c r="CT951" s="4"/>
      <c r="CU951" s="4"/>
      <c r="CV951" s="4"/>
      <c r="CW951" s="4"/>
      <c r="CX951" s="4"/>
      <c r="CY951" s="4"/>
      <c r="CZ951" s="4"/>
      <c r="DA951" s="4"/>
      <c r="DB951" s="4"/>
      <c r="DC951" s="4"/>
      <c r="DD951" s="4"/>
      <c r="DE951" s="4"/>
      <c r="DF951" s="4"/>
      <c r="DG951" s="4"/>
      <c r="DH951" s="4"/>
      <c r="DI951" s="4"/>
      <c r="DJ951" s="4"/>
      <c r="DK951" s="4"/>
      <c r="DL951" s="4"/>
      <c r="DM951" s="4"/>
      <c r="DN951" s="4"/>
      <c r="DO951" s="4"/>
      <c r="DP951" s="4"/>
      <c r="DQ951" s="4"/>
      <c r="DR951" s="4"/>
      <c r="DS951" s="4"/>
      <c r="DT951" s="4"/>
      <c r="DU951" s="4"/>
      <c r="DV951" s="4"/>
    </row>
    <row r="952">
      <c r="A952" s="2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  <c r="CI952" s="4"/>
      <c r="CJ952" s="4"/>
      <c r="CK952" s="4"/>
      <c r="CL952" s="4"/>
      <c r="CM952" s="4"/>
      <c r="CN952" s="4"/>
      <c r="CO952" s="4"/>
      <c r="CP952" s="4"/>
      <c r="CQ952" s="4"/>
      <c r="CR952" s="4"/>
      <c r="CS952" s="4"/>
      <c r="CT952" s="4"/>
      <c r="CU952" s="4"/>
      <c r="CV952" s="4"/>
      <c r="CW952" s="4"/>
      <c r="CX952" s="4"/>
      <c r="CY952" s="4"/>
      <c r="CZ952" s="4"/>
      <c r="DA952" s="4"/>
      <c r="DB952" s="4"/>
      <c r="DC952" s="4"/>
      <c r="DD952" s="4"/>
      <c r="DE952" s="4"/>
      <c r="DF952" s="4"/>
      <c r="DG952" s="4"/>
      <c r="DH952" s="4"/>
      <c r="DI952" s="4"/>
      <c r="DJ952" s="4"/>
      <c r="DK952" s="4"/>
      <c r="DL952" s="4"/>
      <c r="DM952" s="4"/>
      <c r="DN952" s="4"/>
      <c r="DO952" s="4"/>
      <c r="DP952" s="4"/>
      <c r="DQ952" s="4"/>
      <c r="DR952" s="4"/>
      <c r="DS952" s="4"/>
      <c r="DT952" s="4"/>
      <c r="DU952" s="4"/>
      <c r="DV952" s="4"/>
    </row>
    <row r="953">
      <c r="A953" s="2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  <c r="CI953" s="4"/>
      <c r="CJ953" s="4"/>
      <c r="CK953" s="4"/>
      <c r="CL953" s="4"/>
      <c r="CM953" s="4"/>
      <c r="CN953" s="4"/>
      <c r="CO953" s="4"/>
      <c r="CP953" s="4"/>
      <c r="CQ953" s="4"/>
      <c r="CR953" s="4"/>
      <c r="CS953" s="4"/>
      <c r="CT953" s="4"/>
      <c r="CU953" s="4"/>
      <c r="CV953" s="4"/>
      <c r="CW953" s="4"/>
      <c r="CX953" s="4"/>
      <c r="CY953" s="4"/>
      <c r="CZ953" s="4"/>
      <c r="DA953" s="4"/>
      <c r="DB953" s="4"/>
      <c r="DC953" s="4"/>
      <c r="DD953" s="4"/>
      <c r="DE953" s="4"/>
      <c r="DF953" s="4"/>
      <c r="DG953" s="4"/>
      <c r="DH953" s="4"/>
      <c r="DI953" s="4"/>
      <c r="DJ953" s="4"/>
      <c r="DK953" s="4"/>
      <c r="DL953" s="4"/>
      <c r="DM953" s="4"/>
      <c r="DN953" s="4"/>
      <c r="DO953" s="4"/>
      <c r="DP953" s="4"/>
      <c r="DQ953" s="4"/>
      <c r="DR953" s="4"/>
      <c r="DS953" s="4"/>
      <c r="DT953" s="4"/>
      <c r="DU953" s="4"/>
      <c r="DV953" s="4"/>
    </row>
    <row r="954">
      <c r="A954" s="2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  <c r="CI954" s="4"/>
      <c r="CJ954" s="4"/>
      <c r="CK954" s="4"/>
      <c r="CL954" s="4"/>
      <c r="CM954" s="4"/>
      <c r="CN954" s="4"/>
      <c r="CO954" s="4"/>
      <c r="CP954" s="4"/>
      <c r="CQ954" s="4"/>
      <c r="CR954" s="4"/>
      <c r="CS954" s="4"/>
      <c r="CT954" s="4"/>
      <c r="CU954" s="4"/>
      <c r="CV954" s="4"/>
      <c r="CW954" s="4"/>
      <c r="CX954" s="4"/>
      <c r="CY954" s="4"/>
      <c r="CZ954" s="4"/>
      <c r="DA954" s="4"/>
      <c r="DB954" s="4"/>
      <c r="DC954" s="4"/>
      <c r="DD954" s="4"/>
      <c r="DE954" s="4"/>
      <c r="DF954" s="4"/>
      <c r="DG954" s="4"/>
      <c r="DH954" s="4"/>
      <c r="DI954" s="4"/>
      <c r="DJ954" s="4"/>
      <c r="DK954" s="4"/>
      <c r="DL954" s="4"/>
      <c r="DM954" s="4"/>
      <c r="DN954" s="4"/>
      <c r="DO954" s="4"/>
      <c r="DP954" s="4"/>
      <c r="DQ954" s="4"/>
      <c r="DR954" s="4"/>
      <c r="DS954" s="4"/>
      <c r="DT954" s="4"/>
      <c r="DU954" s="4"/>
      <c r="DV954" s="4"/>
    </row>
    <row r="955">
      <c r="A955" s="2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  <c r="CI955" s="4"/>
      <c r="CJ955" s="4"/>
      <c r="CK955" s="4"/>
      <c r="CL955" s="4"/>
      <c r="CM955" s="4"/>
      <c r="CN955" s="4"/>
      <c r="CO955" s="4"/>
      <c r="CP955" s="4"/>
      <c r="CQ955" s="4"/>
      <c r="CR955" s="4"/>
      <c r="CS955" s="4"/>
      <c r="CT955" s="4"/>
      <c r="CU955" s="4"/>
      <c r="CV955" s="4"/>
      <c r="CW955" s="4"/>
      <c r="CX955" s="4"/>
      <c r="CY955" s="4"/>
      <c r="CZ955" s="4"/>
      <c r="DA955" s="4"/>
      <c r="DB955" s="4"/>
      <c r="DC955" s="4"/>
      <c r="DD955" s="4"/>
      <c r="DE955" s="4"/>
      <c r="DF955" s="4"/>
      <c r="DG955" s="4"/>
      <c r="DH955" s="4"/>
      <c r="DI955" s="4"/>
      <c r="DJ955" s="4"/>
      <c r="DK955" s="4"/>
      <c r="DL955" s="4"/>
      <c r="DM955" s="4"/>
      <c r="DN955" s="4"/>
      <c r="DO955" s="4"/>
      <c r="DP955" s="4"/>
      <c r="DQ955" s="4"/>
      <c r="DR955" s="4"/>
      <c r="DS955" s="4"/>
      <c r="DT955" s="4"/>
      <c r="DU955" s="4"/>
      <c r="DV955" s="4"/>
    </row>
    <row r="956">
      <c r="A956" s="2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  <c r="CI956" s="4"/>
      <c r="CJ956" s="4"/>
      <c r="CK956" s="4"/>
      <c r="CL956" s="4"/>
      <c r="CM956" s="4"/>
      <c r="CN956" s="4"/>
      <c r="CO956" s="4"/>
      <c r="CP956" s="4"/>
      <c r="CQ956" s="4"/>
      <c r="CR956" s="4"/>
      <c r="CS956" s="4"/>
      <c r="CT956" s="4"/>
      <c r="CU956" s="4"/>
      <c r="CV956" s="4"/>
      <c r="CW956" s="4"/>
      <c r="CX956" s="4"/>
      <c r="CY956" s="4"/>
      <c r="CZ956" s="4"/>
      <c r="DA956" s="4"/>
      <c r="DB956" s="4"/>
      <c r="DC956" s="4"/>
      <c r="DD956" s="4"/>
      <c r="DE956" s="4"/>
      <c r="DF956" s="4"/>
      <c r="DG956" s="4"/>
      <c r="DH956" s="4"/>
      <c r="DI956" s="4"/>
      <c r="DJ956" s="4"/>
      <c r="DK956" s="4"/>
      <c r="DL956" s="4"/>
      <c r="DM956" s="4"/>
      <c r="DN956" s="4"/>
      <c r="DO956" s="4"/>
      <c r="DP956" s="4"/>
      <c r="DQ956" s="4"/>
      <c r="DR956" s="4"/>
      <c r="DS956" s="4"/>
      <c r="DT956" s="4"/>
      <c r="DU956" s="4"/>
      <c r="DV956" s="4"/>
    </row>
    <row r="957">
      <c r="A957" s="2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  <c r="CI957" s="4"/>
      <c r="CJ957" s="4"/>
      <c r="CK957" s="4"/>
      <c r="CL957" s="4"/>
      <c r="CM957" s="4"/>
      <c r="CN957" s="4"/>
      <c r="CO957" s="4"/>
      <c r="CP957" s="4"/>
      <c r="CQ957" s="4"/>
      <c r="CR957" s="4"/>
      <c r="CS957" s="4"/>
      <c r="CT957" s="4"/>
      <c r="CU957" s="4"/>
      <c r="CV957" s="4"/>
      <c r="CW957" s="4"/>
      <c r="CX957" s="4"/>
      <c r="CY957" s="4"/>
      <c r="CZ957" s="4"/>
      <c r="DA957" s="4"/>
      <c r="DB957" s="4"/>
      <c r="DC957" s="4"/>
      <c r="DD957" s="4"/>
      <c r="DE957" s="4"/>
      <c r="DF957" s="4"/>
      <c r="DG957" s="4"/>
      <c r="DH957" s="4"/>
      <c r="DI957" s="4"/>
      <c r="DJ957" s="4"/>
      <c r="DK957" s="4"/>
      <c r="DL957" s="4"/>
      <c r="DM957" s="4"/>
      <c r="DN957" s="4"/>
      <c r="DO957" s="4"/>
      <c r="DP957" s="4"/>
      <c r="DQ957" s="4"/>
      <c r="DR957" s="4"/>
      <c r="DS957" s="4"/>
      <c r="DT957" s="4"/>
      <c r="DU957" s="4"/>
      <c r="DV957" s="4"/>
    </row>
    <row r="958">
      <c r="A958" s="2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  <c r="CI958" s="4"/>
      <c r="CJ958" s="4"/>
      <c r="CK958" s="4"/>
      <c r="CL958" s="4"/>
      <c r="CM958" s="4"/>
      <c r="CN958" s="4"/>
      <c r="CO958" s="4"/>
      <c r="CP958" s="4"/>
      <c r="CQ958" s="4"/>
      <c r="CR958" s="4"/>
      <c r="CS958" s="4"/>
      <c r="CT958" s="4"/>
      <c r="CU958" s="4"/>
      <c r="CV958" s="4"/>
      <c r="CW958" s="4"/>
      <c r="CX958" s="4"/>
      <c r="CY958" s="4"/>
      <c r="CZ958" s="4"/>
      <c r="DA958" s="4"/>
      <c r="DB958" s="4"/>
      <c r="DC958" s="4"/>
      <c r="DD958" s="4"/>
      <c r="DE958" s="4"/>
      <c r="DF958" s="4"/>
      <c r="DG958" s="4"/>
      <c r="DH958" s="4"/>
      <c r="DI958" s="4"/>
      <c r="DJ958" s="4"/>
      <c r="DK958" s="4"/>
      <c r="DL958" s="4"/>
      <c r="DM958" s="4"/>
      <c r="DN958" s="4"/>
      <c r="DO958" s="4"/>
      <c r="DP958" s="4"/>
      <c r="DQ958" s="4"/>
      <c r="DR958" s="4"/>
      <c r="DS958" s="4"/>
      <c r="DT958" s="4"/>
      <c r="DU958" s="4"/>
      <c r="DV958" s="4"/>
    </row>
    <row r="959">
      <c r="A959" s="2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  <c r="CI959" s="4"/>
      <c r="CJ959" s="4"/>
      <c r="CK959" s="4"/>
      <c r="CL959" s="4"/>
      <c r="CM959" s="4"/>
      <c r="CN959" s="4"/>
      <c r="CO959" s="4"/>
      <c r="CP959" s="4"/>
      <c r="CQ959" s="4"/>
      <c r="CR959" s="4"/>
      <c r="CS959" s="4"/>
      <c r="CT959" s="4"/>
      <c r="CU959" s="4"/>
      <c r="CV959" s="4"/>
      <c r="CW959" s="4"/>
      <c r="CX959" s="4"/>
      <c r="CY959" s="4"/>
      <c r="CZ959" s="4"/>
      <c r="DA959" s="4"/>
      <c r="DB959" s="4"/>
      <c r="DC959" s="4"/>
      <c r="DD959" s="4"/>
      <c r="DE959" s="4"/>
      <c r="DF959" s="4"/>
      <c r="DG959" s="4"/>
      <c r="DH959" s="4"/>
      <c r="DI959" s="4"/>
      <c r="DJ959" s="4"/>
      <c r="DK959" s="4"/>
      <c r="DL959" s="4"/>
      <c r="DM959" s="4"/>
      <c r="DN959" s="4"/>
      <c r="DO959" s="4"/>
      <c r="DP959" s="4"/>
      <c r="DQ959" s="4"/>
      <c r="DR959" s="4"/>
      <c r="DS959" s="4"/>
      <c r="DT959" s="4"/>
      <c r="DU959" s="4"/>
      <c r="DV959" s="4"/>
    </row>
    <row r="960">
      <c r="A960" s="2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  <c r="CI960" s="4"/>
      <c r="CJ960" s="4"/>
      <c r="CK960" s="4"/>
      <c r="CL960" s="4"/>
      <c r="CM960" s="4"/>
      <c r="CN960" s="4"/>
      <c r="CO960" s="4"/>
      <c r="CP960" s="4"/>
      <c r="CQ960" s="4"/>
      <c r="CR960" s="4"/>
      <c r="CS960" s="4"/>
      <c r="CT960" s="4"/>
      <c r="CU960" s="4"/>
      <c r="CV960" s="4"/>
      <c r="CW960" s="4"/>
      <c r="CX960" s="4"/>
      <c r="CY960" s="4"/>
      <c r="CZ960" s="4"/>
      <c r="DA960" s="4"/>
      <c r="DB960" s="4"/>
      <c r="DC960" s="4"/>
      <c r="DD960" s="4"/>
      <c r="DE960" s="4"/>
      <c r="DF960" s="4"/>
      <c r="DG960" s="4"/>
      <c r="DH960" s="4"/>
      <c r="DI960" s="4"/>
      <c r="DJ960" s="4"/>
      <c r="DK960" s="4"/>
      <c r="DL960" s="4"/>
      <c r="DM960" s="4"/>
      <c r="DN960" s="4"/>
      <c r="DO960" s="4"/>
      <c r="DP960" s="4"/>
      <c r="DQ960" s="4"/>
      <c r="DR960" s="4"/>
      <c r="DS960" s="4"/>
      <c r="DT960" s="4"/>
      <c r="DU960" s="4"/>
      <c r="DV960" s="4"/>
    </row>
    <row r="961">
      <c r="A961" s="2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  <c r="CI961" s="4"/>
      <c r="CJ961" s="4"/>
      <c r="CK961" s="4"/>
      <c r="CL961" s="4"/>
      <c r="CM961" s="4"/>
      <c r="CN961" s="4"/>
      <c r="CO961" s="4"/>
      <c r="CP961" s="4"/>
      <c r="CQ961" s="4"/>
      <c r="CR961" s="4"/>
      <c r="CS961" s="4"/>
      <c r="CT961" s="4"/>
      <c r="CU961" s="4"/>
      <c r="CV961" s="4"/>
      <c r="CW961" s="4"/>
      <c r="CX961" s="4"/>
      <c r="CY961" s="4"/>
      <c r="CZ961" s="4"/>
      <c r="DA961" s="4"/>
      <c r="DB961" s="4"/>
      <c r="DC961" s="4"/>
      <c r="DD961" s="4"/>
      <c r="DE961" s="4"/>
      <c r="DF961" s="4"/>
      <c r="DG961" s="4"/>
      <c r="DH961" s="4"/>
      <c r="DI961" s="4"/>
      <c r="DJ961" s="4"/>
      <c r="DK961" s="4"/>
      <c r="DL961" s="4"/>
      <c r="DM961" s="4"/>
      <c r="DN961" s="4"/>
      <c r="DO961" s="4"/>
      <c r="DP961" s="4"/>
      <c r="DQ961" s="4"/>
      <c r="DR961" s="4"/>
      <c r="DS961" s="4"/>
      <c r="DT961" s="4"/>
      <c r="DU961" s="4"/>
      <c r="DV961" s="4"/>
    </row>
    <row r="962">
      <c r="A962" s="2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  <c r="CI962" s="4"/>
      <c r="CJ962" s="4"/>
      <c r="CK962" s="4"/>
      <c r="CL962" s="4"/>
      <c r="CM962" s="4"/>
      <c r="CN962" s="4"/>
      <c r="CO962" s="4"/>
      <c r="CP962" s="4"/>
      <c r="CQ962" s="4"/>
      <c r="CR962" s="4"/>
      <c r="CS962" s="4"/>
      <c r="CT962" s="4"/>
      <c r="CU962" s="4"/>
      <c r="CV962" s="4"/>
      <c r="CW962" s="4"/>
      <c r="CX962" s="4"/>
      <c r="CY962" s="4"/>
      <c r="CZ962" s="4"/>
      <c r="DA962" s="4"/>
      <c r="DB962" s="4"/>
      <c r="DC962" s="4"/>
      <c r="DD962" s="4"/>
      <c r="DE962" s="4"/>
      <c r="DF962" s="4"/>
      <c r="DG962" s="4"/>
      <c r="DH962" s="4"/>
      <c r="DI962" s="4"/>
      <c r="DJ962" s="4"/>
      <c r="DK962" s="4"/>
      <c r="DL962" s="4"/>
      <c r="DM962" s="4"/>
      <c r="DN962" s="4"/>
      <c r="DO962" s="4"/>
      <c r="DP962" s="4"/>
      <c r="DQ962" s="4"/>
      <c r="DR962" s="4"/>
      <c r="DS962" s="4"/>
      <c r="DT962" s="4"/>
      <c r="DU962" s="4"/>
      <c r="DV962" s="4"/>
    </row>
    <row r="963">
      <c r="A963" s="2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  <c r="CI963" s="4"/>
      <c r="CJ963" s="4"/>
      <c r="CK963" s="4"/>
      <c r="CL963" s="4"/>
      <c r="CM963" s="4"/>
      <c r="CN963" s="4"/>
      <c r="CO963" s="4"/>
      <c r="CP963" s="4"/>
      <c r="CQ963" s="4"/>
      <c r="CR963" s="4"/>
      <c r="CS963" s="4"/>
      <c r="CT963" s="4"/>
      <c r="CU963" s="4"/>
      <c r="CV963" s="4"/>
      <c r="CW963" s="4"/>
      <c r="CX963" s="4"/>
      <c r="CY963" s="4"/>
      <c r="CZ963" s="4"/>
      <c r="DA963" s="4"/>
      <c r="DB963" s="4"/>
      <c r="DC963" s="4"/>
      <c r="DD963" s="4"/>
      <c r="DE963" s="4"/>
      <c r="DF963" s="4"/>
      <c r="DG963" s="4"/>
      <c r="DH963" s="4"/>
      <c r="DI963" s="4"/>
      <c r="DJ963" s="4"/>
      <c r="DK963" s="4"/>
      <c r="DL963" s="4"/>
      <c r="DM963" s="4"/>
      <c r="DN963" s="4"/>
      <c r="DO963" s="4"/>
      <c r="DP963" s="4"/>
      <c r="DQ963" s="4"/>
      <c r="DR963" s="4"/>
      <c r="DS963" s="4"/>
      <c r="DT963" s="4"/>
      <c r="DU963" s="4"/>
      <c r="DV963" s="4"/>
    </row>
    <row r="964">
      <c r="A964" s="2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  <c r="CI964" s="4"/>
      <c r="CJ964" s="4"/>
      <c r="CK964" s="4"/>
      <c r="CL964" s="4"/>
      <c r="CM964" s="4"/>
      <c r="CN964" s="4"/>
      <c r="CO964" s="4"/>
      <c r="CP964" s="4"/>
      <c r="CQ964" s="4"/>
      <c r="CR964" s="4"/>
      <c r="CS964" s="4"/>
      <c r="CT964" s="4"/>
      <c r="CU964" s="4"/>
      <c r="CV964" s="4"/>
      <c r="CW964" s="4"/>
      <c r="CX964" s="4"/>
      <c r="CY964" s="4"/>
      <c r="CZ964" s="4"/>
      <c r="DA964" s="4"/>
      <c r="DB964" s="4"/>
      <c r="DC964" s="4"/>
      <c r="DD964" s="4"/>
      <c r="DE964" s="4"/>
      <c r="DF964" s="4"/>
      <c r="DG964" s="4"/>
      <c r="DH964" s="4"/>
      <c r="DI964" s="4"/>
      <c r="DJ964" s="4"/>
      <c r="DK964" s="4"/>
      <c r="DL964" s="4"/>
      <c r="DM964" s="4"/>
      <c r="DN964" s="4"/>
      <c r="DO964" s="4"/>
      <c r="DP964" s="4"/>
      <c r="DQ964" s="4"/>
      <c r="DR964" s="4"/>
      <c r="DS964" s="4"/>
      <c r="DT964" s="4"/>
      <c r="DU964" s="4"/>
      <c r="DV964" s="4"/>
    </row>
    <row r="965">
      <c r="A965" s="2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  <c r="CI965" s="4"/>
      <c r="CJ965" s="4"/>
      <c r="CK965" s="4"/>
      <c r="CL965" s="4"/>
      <c r="CM965" s="4"/>
      <c r="CN965" s="4"/>
      <c r="CO965" s="4"/>
      <c r="CP965" s="4"/>
      <c r="CQ965" s="4"/>
      <c r="CR965" s="4"/>
      <c r="CS965" s="4"/>
      <c r="CT965" s="4"/>
      <c r="CU965" s="4"/>
      <c r="CV965" s="4"/>
      <c r="CW965" s="4"/>
      <c r="CX965" s="4"/>
      <c r="CY965" s="4"/>
      <c r="CZ965" s="4"/>
      <c r="DA965" s="4"/>
      <c r="DB965" s="4"/>
      <c r="DC965" s="4"/>
      <c r="DD965" s="4"/>
      <c r="DE965" s="4"/>
      <c r="DF965" s="4"/>
      <c r="DG965" s="4"/>
      <c r="DH965" s="4"/>
      <c r="DI965" s="4"/>
      <c r="DJ965" s="4"/>
      <c r="DK965" s="4"/>
      <c r="DL965" s="4"/>
      <c r="DM965" s="4"/>
      <c r="DN965" s="4"/>
      <c r="DO965" s="4"/>
      <c r="DP965" s="4"/>
      <c r="DQ965" s="4"/>
      <c r="DR965" s="4"/>
      <c r="DS965" s="4"/>
      <c r="DT965" s="4"/>
      <c r="DU965" s="4"/>
      <c r="DV965" s="4"/>
    </row>
    <row r="966">
      <c r="A966" s="2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  <c r="CI966" s="4"/>
      <c r="CJ966" s="4"/>
      <c r="CK966" s="4"/>
      <c r="CL966" s="4"/>
      <c r="CM966" s="4"/>
      <c r="CN966" s="4"/>
      <c r="CO966" s="4"/>
      <c r="CP966" s="4"/>
      <c r="CQ966" s="4"/>
      <c r="CR966" s="4"/>
      <c r="CS966" s="4"/>
      <c r="CT966" s="4"/>
      <c r="CU966" s="4"/>
      <c r="CV966" s="4"/>
      <c r="CW966" s="4"/>
      <c r="CX966" s="4"/>
      <c r="CY966" s="4"/>
      <c r="CZ966" s="4"/>
      <c r="DA966" s="4"/>
      <c r="DB966" s="4"/>
      <c r="DC966" s="4"/>
      <c r="DD966" s="4"/>
      <c r="DE966" s="4"/>
      <c r="DF966" s="4"/>
      <c r="DG966" s="4"/>
      <c r="DH966" s="4"/>
      <c r="DI966" s="4"/>
      <c r="DJ966" s="4"/>
      <c r="DK966" s="4"/>
      <c r="DL966" s="4"/>
      <c r="DM966" s="4"/>
      <c r="DN966" s="4"/>
      <c r="DO966" s="4"/>
      <c r="DP966" s="4"/>
      <c r="DQ966" s="4"/>
      <c r="DR966" s="4"/>
      <c r="DS966" s="4"/>
      <c r="DT966" s="4"/>
      <c r="DU966" s="4"/>
      <c r="DV966" s="4"/>
    </row>
    <row r="967">
      <c r="A967" s="2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  <c r="CI967" s="4"/>
      <c r="CJ967" s="4"/>
      <c r="CK967" s="4"/>
      <c r="CL967" s="4"/>
      <c r="CM967" s="4"/>
      <c r="CN967" s="4"/>
      <c r="CO967" s="4"/>
      <c r="CP967" s="4"/>
      <c r="CQ967" s="4"/>
      <c r="CR967" s="4"/>
      <c r="CS967" s="4"/>
      <c r="CT967" s="4"/>
      <c r="CU967" s="4"/>
      <c r="CV967" s="4"/>
      <c r="CW967" s="4"/>
      <c r="CX967" s="4"/>
      <c r="CY967" s="4"/>
      <c r="CZ967" s="4"/>
      <c r="DA967" s="4"/>
      <c r="DB967" s="4"/>
      <c r="DC967" s="4"/>
      <c r="DD967" s="4"/>
      <c r="DE967" s="4"/>
      <c r="DF967" s="4"/>
      <c r="DG967" s="4"/>
      <c r="DH967" s="4"/>
      <c r="DI967" s="4"/>
      <c r="DJ967" s="4"/>
      <c r="DK967" s="4"/>
      <c r="DL967" s="4"/>
      <c r="DM967" s="4"/>
      <c r="DN967" s="4"/>
      <c r="DO967" s="4"/>
      <c r="DP967" s="4"/>
      <c r="DQ967" s="4"/>
      <c r="DR967" s="4"/>
      <c r="DS967" s="4"/>
      <c r="DT967" s="4"/>
      <c r="DU967" s="4"/>
      <c r="DV967" s="4"/>
    </row>
    <row r="968">
      <c r="A968" s="2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  <c r="CI968" s="4"/>
      <c r="CJ968" s="4"/>
      <c r="CK968" s="4"/>
      <c r="CL968" s="4"/>
      <c r="CM968" s="4"/>
      <c r="CN968" s="4"/>
      <c r="CO968" s="4"/>
      <c r="CP968" s="4"/>
      <c r="CQ968" s="4"/>
      <c r="CR968" s="4"/>
      <c r="CS968" s="4"/>
      <c r="CT968" s="4"/>
      <c r="CU968" s="4"/>
      <c r="CV968" s="4"/>
      <c r="CW968" s="4"/>
      <c r="CX968" s="4"/>
      <c r="CY968" s="4"/>
      <c r="CZ968" s="4"/>
      <c r="DA968" s="4"/>
      <c r="DB968" s="4"/>
      <c r="DC968" s="4"/>
      <c r="DD968" s="4"/>
      <c r="DE968" s="4"/>
      <c r="DF968" s="4"/>
      <c r="DG968" s="4"/>
      <c r="DH968" s="4"/>
      <c r="DI968" s="4"/>
      <c r="DJ968" s="4"/>
      <c r="DK968" s="4"/>
      <c r="DL968" s="4"/>
      <c r="DM968" s="4"/>
      <c r="DN968" s="4"/>
      <c r="DO968" s="4"/>
      <c r="DP968" s="4"/>
      <c r="DQ968" s="4"/>
      <c r="DR968" s="4"/>
      <c r="DS968" s="4"/>
      <c r="DT968" s="4"/>
      <c r="DU968" s="4"/>
      <c r="DV968" s="4"/>
    </row>
    <row r="969">
      <c r="A969" s="2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  <c r="CI969" s="4"/>
      <c r="CJ969" s="4"/>
      <c r="CK969" s="4"/>
      <c r="CL969" s="4"/>
      <c r="CM969" s="4"/>
      <c r="CN969" s="4"/>
      <c r="CO969" s="4"/>
      <c r="CP969" s="4"/>
      <c r="CQ969" s="4"/>
      <c r="CR969" s="4"/>
      <c r="CS969" s="4"/>
      <c r="CT969" s="4"/>
      <c r="CU969" s="4"/>
      <c r="CV969" s="4"/>
      <c r="CW969" s="4"/>
      <c r="CX969" s="4"/>
      <c r="CY969" s="4"/>
      <c r="CZ969" s="4"/>
      <c r="DA969" s="4"/>
      <c r="DB969" s="4"/>
      <c r="DC969" s="4"/>
      <c r="DD969" s="4"/>
      <c r="DE969" s="4"/>
      <c r="DF969" s="4"/>
      <c r="DG969" s="4"/>
      <c r="DH969" s="4"/>
      <c r="DI969" s="4"/>
      <c r="DJ969" s="4"/>
      <c r="DK969" s="4"/>
      <c r="DL969" s="4"/>
      <c r="DM969" s="4"/>
      <c r="DN969" s="4"/>
      <c r="DO969" s="4"/>
      <c r="DP969" s="4"/>
      <c r="DQ969" s="4"/>
      <c r="DR969" s="4"/>
      <c r="DS969" s="4"/>
      <c r="DT969" s="4"/>
      <c r="DU969" s="4"/>
      <c r="DV969" s="4"/>
    </row>
    <row r="970">
      <c r="A970" s="2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  <c r="CI970" s="4"/>
      <c r="CJ970" s="4"/>
      <c r="CK970" s="4"/>
      <c r="CL970" s="4"/>
      <c r="CM970" s="4"/>
      <c r="CN970" s="4"/>
      <c r="CO970" s="4"/>
      <c r="CP970" s="4"/>
      <c r="CQ970" s="4"/>
      <c r="CR970" s="4"/>
      <c r="CS970" s="4"/>
      <c r="CT970" s="4"/>
      <c r="CU970" s="4"/>
      <c r="CV970" s="4"/>
      <c r="CW970" s="4"/>
      <c r="CX970" s="4"/>
      <c r="CY970" s="4"/>
      <c r="CZ970" s="4"/>
      <c r="DA970" s="4"/>
      <c r="DB970" s="4"/>
      <c r="DC970" s="4"/>
      <c r="DD970" s="4"/>
      <c r="DE970" s="4"/>
      <c r="DF970" s="4"/>
      <c r="DG970" s="4"/>
      <c r="DH970" s="4"/>
      <c r="DI970" s="4"/>
      <c r="DJ970" s="4"/>
      <c r="DK970" s="4"/>
      <c r="DL970" s="4"/>
      <c r="DM970" s="4"/>
      <c r="DN970" s="4"/>
      <c r="DO970" s="4"/>
      <c r="DP970" s="4"/>
      <c r="DQ970" s="4"/>
      <c r="DR970" s="4"/>
      <c r="DS970" s="4"/>
      <c r="DT970" s="4"/>
      <c r="DU970" s="4"/>
      <c r="DV970" s="4"/>
    </row>
    <row r="971">
      <c r="A971" s="2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  <c r="CI971" s="4"/>
      <c r="CJ971" s="4"/>
      <c r="CK971" s="4"/>
      <c r="CL971" s="4"/>
      <c r="CM971" s="4"/>
      <c r="CN971" s="4"/>
      <c r="CO971" s="4"/>
      <c r="CP971" s="4"/>
      <c r="CQ971" s="4"/>
      <c r="CR971" s="4"/>
      <c r="CS971" s="4"/>
      <c r="CT971" s="4"/>
      <c r="CU971" s="4"/>
      <c r="CV971" s="4"/>
      <c r="CW971" s="4"/>
      <c r="CX971" s="4"/>
      <c r="CY971" s="4"/>
      <c r="CZ971" s="4"/>
      <c r="DA971" s="4"/>
      <c r="DB971" s="4"/>
      <c r="DC971" s="4"/>
      <c r="DD971" s="4"/>
      <c r="DE971" s="4"/>
      <c r="DF971" s="4"/>
      <c r="DG971" s="4"/>
      <c r="DH971" s="4"/>
      <c r="DI971" s="4"/>
      <c r="DJ971" s="4"/>
      <c r="DK971" s="4"/>
      <c r="DL971" s="4"/>
      <c r="DM971" s="4"/>
      <c r="DN971" s="4"/>
      <c r="DO971" s="4"/>
      <c r="DP971" s="4"/>
      <c r="DQ971" s="4"/>
      <c r="DR971" s="4"/>
      <c r="DS971" s="4"/>
      <c r="DT971" s="4"/>
      <c r="DU971" s="4"/>
      <c r="DV971" s="4"/>
    </row>
    <row r="972">
      <c r="A972" s="2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  <c r="CI972" s="4"/>
      <c r="CJ972" s="4"/>
      <c r="CK972" s="4"/>
      <c r="CL972" s="4"/>
      <c r="CM972" s="4"/>
      <c r="CN972" s="4"/>
      <c r="CO972" s="4"/>
      <c r="CP972" s="4"/>
      <c r="CQ972" s="4"/>
      <c r="CR972" s="4"/>
      <c r="CS972" s="4"/>
      <c r="CT972" s="4"/>
      <c r="CU972" s="4"/>
      <c r="CV972" s="4"/>
      <c r="CW972" s="4"/>
      <c r="CX972" s="4"/>
      <c r="CY972" s="4"/>
      <c r="CZ972" s="4"/>
      <c r="DA972" s="4"/>
      <c r="DB972" s="4"/>
      <c r="DC972" s="4"/>
      <c r="DD972" s="4"/>
      <c r="DE972" s="4"/>
      <c r="DF972" s="4"/>
      <c r="DG972" s="4"/>
      <c r="DH972" s="4"/>
      <c r="DI972" s="4"/>
      <c r="DJ972" s="4"/>
      <c r="DK972" s="4"/>
      <c r="DL972" s="4"/>
      <c r="DM972" s="4"/>
      <c r="DN972" s="4"/>
      <c r="DO972" s="4"/>
      <c r="DP972" s="4"/>
      <c r="DQ972" s="4"/>
      <c r="DR972" s="4"/>
      <c r="DS972" s="4"/>
      <c r="DT972" s="4"/>
      <c r="DU972" s="4"/>
      <c r="DV972" s="4"/>
    </row>
    <row r="973">
      <c r="A973" s="2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  <c r="CI973" s="4"/>
      <c r="CJ973" s="4"/>
      <c r="CK973" s="4"/>
      <c r="CL973" s="4"/>
      <c r="CM973" s="4"/>
      <c r="CN973" s="4"/>
      <c r="CO973" s="4"/>
      <c r="CP973" s="4"/>
      <c r="CQ973" s="4"/>
      <c r="CR973" s="4"/>
      <c r="CS973" s="4"/>
      <c r="CT973" s="4"/>
      <c r="CU973" s="4"/>
      <c r="CV973" s="4"/>
      <c r="CW973" s="4"/>
      <c r="CX973" s="4"/>
      <c r="CY973" s="4"/>
      <c r="CZ973" s="4"/>
      <c r="DA973" s="4"/>
      <c r="DB973" s="4"/>
      <c r="DC973" s="4"/>
      <c r="DD973" s="4"/>
      <c r="DE973" s="4"/>
      <c r="DF973" s="4"/>
      <c r="DG973" s="4"/>
      <c r="DH973" s="4"/>
      <c r="DI973" s="4"/>
      <c r="DJ973" s="4"/>
      <c r="DK973" s="4"/>
      <c r="DL973" s="4"/>
      <c r="DM973" s="4"/>
      <c r="DN973" s="4"/>
      <c r="DO973" s="4"/>
      <c r="DP973" s="4"/>
      <c r="DQ973" s="4"/>
      <c r="DR973" s="4"/>
      <c r="DS973" s="4"/>
      <c r="DT973" s="4"/>
      <c r="DU973" s="4"/>
      <c r="DV973" s="4"/>
    </row>
    <row r="974">
      <c r="A974" s="2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  <c r="CI974" s="4"/>
      <c r="CJ974" s="4"/>
      <c r="CK974" s="4"/>
      <c r="CL974" s="4"/>
      <c r="CM974" s="4"/>
      <c r="CN974" s="4"/>
      <c r="CO974" s="4"/>
      <c r="CP974" s="4"/>
      <c r="CQ974" s="4"/>
      <c r="CR974" s="4"/>
      <c r="CS974" s="4"/>
      <c r="CT974" s="4"/>
      <c r="CU974" s="4"/>
      <c r="CV974" s="4"/>
      <c r="CW974" s="4"/>
      <c r="CX974" s="4"/>
      <c r="CY974" s="4"/>
      <c r="CZ974" s="4"/>
      <c r="DA974" s="4"/>
      <c r="DB974" s="4"/>
      <c r="DC974" s="4"/>
      <c r="DD974" s="4"/>
      <c r="DE974" s="4"/>
      <c r="DF974" s="4"/>
      <c r="DG974" s="4"/>
      <c r="DH974" s="4"/>
      <c r="DI974" s="4"/>
      <c r="DJ974" s="4"/>
      <c r="DK974" s="4"/>
      <c r="DL974" s="4"/>
      <c r="DM974" s="4"/>
      <c r="DN974" s="4"/>
      <c r="DO974" s="4"/>
      <c r="DP974" s="4"/>
      <c r="DQ974" s="4"/>
      <c r="DR974" s="4"/>
      <c r="DS974" s="4"/>
      <c r="DT974" s="4"/>
      <c r="DU974" s="4"/>
      <c r="DV974" s="4"/>
    </row>
    <row r="975">
      <c r="A975" s="2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  <c r="CI975" s="4"/>
      <c r="CJ975" s="4"/>
      <c r="CK975" s="4"/>
      <c r="CL975" s="4"/>
      <c r="CM975" s="4"/>
      <c r="CN975" s="4"/>
      <c r="CO975" s="4"/>
      <c r="CP975" s="4"/>
      <c r="CQ975" s="4"/>
      <c r="CR975" s="4"/>
      <c r="CS975" s="4"/>
      <c r="CT975" s="4"/>
      <c r="CU975" s="4"/>
      <c r="CV975" s="4"/>
      <c r="CW975" s="4"/>
      <c r="CX975" s="4"/>
      <c r="CY975" s="4"/>
      <c r="CZ975" s="4"/>
      <c r="DA975" s="4"/>
      <c r="DB975" s="4"/>
      <c r="DC975" s="4"/>
      <c r="DD975" s="4"/>
      <c r="DE975" s="4"/>
      <c r="DF975" s="4"/>
      <c r="DG975" s="4"/>
      <c r="DH975" s="4"/>
      <c r="DI975" s="4"/>
      <c r="DJ975" s="4"/>
      <c r="DK975" s="4"/>
      <c r="DL975" s="4"/>
      <c r="DM975" s="4"/>
      <c r="DN975" s="4"/>
      <c r="DO975" s="4"/>
      <c r="DP975" s="4"/>
      <c r="DQ975" s="4"/>
      <c r="DR975" s="4"/>
      <c r="DS975" s="4"/>
      <c r="DT975" s="4"/>
      <c r="DU975" s="4"/>
      <c r="DV975" s="4"/>
    </row>
    <row r="976">
      <c r="A976" s="2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  <c r="CI976" s="4"/>
      <c r="CJ976" s="4"/>
      <c r="CK976" s="4"/>
      <c r="CL976" s="4"/>
      <c r="CM976" s="4"/>
      <c r="CN976" s="4"/>
      <c r="CO976" s="4"/>
      <c r="CP976" s="4"/>
      <c r="CQ976" s="4"/>
      <c r="CR976" s="4"/>
      <c r="CS976" s="4"/>
      <c r="CT976" s="4"/>
      <c r="CU976" s="4"/>
      <c r="CV976" s="4"/>
      <c r="CW976" s="4"/>
      <c r="CX976" s="4"/>
      <c r="CY976" s="4"/>
      <c r="CZ976" s="4"/>
      <c r="DA976" s="4"/>
      <c r="DB976" s="4"/>
      <c r="DC976" s="4"/>
      <c r="DD976" s="4"/>
      <c r="DE976" s="4"/>
      <c r="DF976" s="4"/>
      <c r="DG976" s="4"/>
      <c r="DH976" s="4"/>
      <c r="DI976" s="4"/>
      <c r="DJ976" s="4"/>
      <c r="DK976" s="4"/>
      <c r="DL976" s="4"/>
      <c r="DM976" s="4"/>
      <c r="DN976" s="4"/>
      <c r="DO976" s="4"/>
      <c r="DP976" s="4"/>
      <c r="DQ976" s="4"/>
      <c r="DR976" s="4"/>
      <c r="DS976" s="4"/>
      <c r="DT976" s="4"/>
      <c r="DU976" s="4"/>
      <c r="DV976" s="4"/>
    </row>
    <row r="977">
      <c r="A977" s="2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  <c r="CI977" s="4"/>
      <c r="CJ977" s="4"/>
      <c r="CK977" s="4"/>
      <c r="CL977" s="4"/>
      <c r="CM977" s="4"/>
      <c r="CN977" s="4"/>
      <c r="CO977" s="4"/>
      <c r="CP977" s="4"/>
      <c r="CQ977" s="4"/>
      <c r="CR977" s="4"/>
      <c r="CS977" s="4"/>
      <c r="CT977" s="4"/>
      <c r="CU977" s="4"/>
      <c r="CV977" s="4"/>
      <c r="CW977" s="4"/>
      <c r="CX977" s="4"/>
      <c r="CY977" s="4"/>
      <c r="CZ977" s="4"/>
      <c r="DA977" s="4"/>
      <c r="DB977" s="4"/>
      <c r="DC977" s="4"/>
      <c r="DD977" s="4"/>
      <c r="DE977" s="4"/>
      <c r="DF977" s="4"/>
      <c r="DG977" s="4"/>
      <c r="DH977" s="4"/>
      <c r="DI977" s="4"/>
      <c r="DJ977" s="4"/>
      <c r="DK977" s="4"/>
      <c r="DL977" s="4"/>
      <c r="DM977" s="4"/>
      <c r="DN977" s="4"/>
      <c r="DO977" s="4"/>
      <c r="DP977" s="4"/>
      <c r="DQ977" s="4"/>
      <c r="DR977" s="4"/>
      <c r="DS977" s="4"/>
      <c r="DT977" s="4"/>
      <c r="DU977" s="4"/>
      <c r="DV977" s="4"/>
    </row>
    <row r="978">
      <c r="A978" s="2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  <c r="CI978" s="4"/>
      <c r="CJ978" s="4"/>
      <c r="CK978" s="4"/>
      <c r="CL978" s="4"/>
      <c r="CM978" s="4"/>
      <c r="CN978" s="4"/>
      <c r="CO978" s="4"/>
      <c r="CP978" s="4"/>
      <c r="CQ978" s="4"/>
      <c r="CR978" s="4"/>
      <c r="CS978" s="4"/>
      <c r="CT978" s="4"/>
      <c r="CU978" s="4"/>
      <c r="CV978" s="4"/>
      <c r="CW978" s="4"/>
      <c r="CX978" s="4"/>
      <c r="CY978" s="4"/>
      <c r="CZ978" s="4"/>
      <c r="DA978" s="4"/>
      <c r="DB978" s="4"/>
      <c r="DC978" s="4"/>
      <c r="DD978" s="4"/>
      <c r="DE978" s="4"/>
      <c r="DF978" s="4"/>
      <c r="DG978" s="4"/>
      <c r="DH978" s="4"/>
      <c r="DI978" s="4"/>
      <c r="DJ978" s="4"/>
      <c r="DK978" s="4"/>
      <c r="DL978" s="4"/>
      <c r="DM978" s="4"/>
      <c r="DN978" s="4"/>
      <c r="DO978" s="4"/>
      <c r="DP978" s="4"/>
      <c r="DQ978" s="4"/>
      <c r="DR978" s="4"/>
      <c r="DS978" s="4"/>
      <c r="DT978" s="4"/>
      <c r="DU978" s="4"/>
      <c r="DV978" s="4"/>
    </row>
    <row r="979">
      <c r="A979" s="2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  <c r="CI979" s="4"/>
      <c r="CJ979" s="4"/>
      <c r="CK979" s="4"/>
      <c r="CL979" s="4"/>
      <c r="CM979" s="4"/>
      <c r="CN979" s="4"/>
      <c r="CO979" s="4"/>
      <c r="CP979" s="4"/>
      <c r="CQ979" s="4"/>
      <c r="CR979" s="4"/>
      <c r="CS979" s="4"/>
      <c r="CT979" s="4"/>
      <c r="CU979" s="4"/>
      <c r="CV979" s="4"/>
      <c r="CW979" s="4"/>
      <c r="CX979" s="4"/>
      <c r="CY979" s="4"/>
      <c r="CZ979" s="4"/>
      <c r="DA979" s="4"/>
      <c r="DB979" s="4"/>
      <c r="DC979" s="4"/>
      <c r="DD979" s="4"/>
      <c r="DE979" s="4"/>
      <c r="DF979" s="4"/>
      <c r="DG979" s="4"/>
      <c r="DH979" s="4"/>
      <c r="DI979" s="4"/>
      <c r="DJ979" s="4"/>
      <c r="DK979" s="4"/>
      <c r="DL979" s="4"/>
      <c r="DM979" s="4"/>
      <c r="DN979" s="4"/>
      <c r="DO979" s="4"/>
      <c r="DP979" s="4"/>
      <c r="DQ979" s="4"/>
      <c r="DR979" s="4"/>
      <c r="DS979" s="4"/>
      <c r="DT979" s="4"/>
      <c r="DU979" s="4"/>
      <c r="DV979" s="4"/>
    </row>
    <row r="980">
      <c r="A980" s="2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  <c r="CI980" s="4"/>
      <c r="CJ980" s="4"/>
      <c r="CK980" s="4"/>
      <c r="CL980" s="4"/>
      <c r="CM980" s="4"/>
      <c r="CN980" s="4"/>
      <c r="CO980" s="4"/>
      <c r="CP980" s="4"/>
      <c r="CQ980" s="4"/>
      <c r="CR980" s="4"/>
      <c r="CS980" s="4"/>
      <c r="CT980" s="4"/>
      <c r="CU980" s="4"/>
      <c r="CV980" s="4"/>
      <c r="CW980" s="4"/>
      <c r="CX980" s="4"/>
      <c r="CY980" s="4"/>
      <c r="CZ980" s="4"/>
      <c r="DA980" s="4"/>
      <c r="DB980" s="4"/>
      <c r="DC980" s="4"/>
      <c r="DD980" s="4"/>
      <c r="DE980" s="4"/>
      <c r="DF980" s="4"/>
      <c r="DG980" s="4"/>
      <c r="DH980" s="4"/>
      <c r="DI980" s="4"/>
      <c r="DJ980" s="4"/>
      <c r="DK980" s="4"/>
      <c r="DL980" s="4"/>
      <c r="DM980" s="4"/>
      <c r="DN980" s="4"/>
      <c r="DO980" s="4"/>
      <c r="DP980" s="4"/>
      <c r="DQ980" s="4"/>
      <c r="DR980" s="4"/>
      <c r="DS980" s="4"/>
      <c r="DT980" s="4"/>
      <c r="DU980" s="4"/>
      <c r="DV980" s="4"/>
    </row>
    <row r="981">
      <c r="A981" s="2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  <c r="CI981" s="4"/>
      <c r="CJ981" s="4"/>
      <c r="CK981" s="4"/>
      <c r="CL981" s="4"/>
      <c r="CM981" s="4"/>
      <c r="CN981" s="4"/>
      <c r="CO981" s="4"/>
      <c r="CP981" s="4"/>
      <c r="CQ981" s="4"/>
      <c r="CR981" s="4"/>
      <c r="CS981" s="4"/>
      <c r="CT981" s="4"/>
      <c r="CU981" s="4"/>
      <c r="CV981" s="4"/>
      <c r="CW981" s="4"/>
      <c r="CX981" s="4"/>
      <c r="CY981" s="4"/>
      <c r="CZ981" s="4"/>
      <c r="DA981" s="4"/>
      <c r="DB981" s="4"/>
      <c r="DC981" s="4"/>
      <c r="DD981" s="4"/>
      <c r="DE981" s="4"/>
      <c r="DF981" s="4"/>
      <c r="DG981" s="4"/>
      <c r="DH981" s="4"/>
      <c r="DI981" s="4"/>
      <c r="DJ981" s="4"/>
      <c r="DK981" s="4"/>
      <c r="DL981" s="4"/>
      <c r="DM981" s="4"/>
      <c r="DN981" s="4"/>
      <c r="DO981" s="4"/>
      <c r="DP981" s="4"/>
      <c r="DQ981" s="4"/>
      <c r="DR981" s="4"/>
      <c r="DS981" s="4"/>
      <c r="DT981" s="4"/>
      <c r="DU981" s="4"/>
      <c r="DV981" s="4"/>
    </row>
    <row r="982">
      <c r="A982" s="2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  <c r="CI982" s="4"/>
      <c r="CJ982" s="4"/>
      <c r="CK982" s="4"/>
      <c r="CL982" s="4"/>
      <c r="CM982" s="4"/>
      <c r="CN982" s="4"/>
      <c r="CO982" s="4"/>
      <c r="CP982" s="4"/>
      <c r="CQ982" s="4"/>
      <c r="CR982" s="4"/>
      <c r="CS982" s="4"/>
      <c r="CT982" s="4"/>
      <c r="CU982" s="4"/>
      <c r="CV982" s="4"/>
      <c r="CW982" s="4"/>
      <c r="CX982" s="4"/>
      <c r="CY982" s="4"/>
      <c r="CZ982" s="4"/>
      <c r="DA982" s="4"/>
      <c r="DB982" s="4"/>
      <c r="DC982" s="4"/>
      <c r="DD982" s="4"/>
      <c r="DE982" s="4"/>
      <c r="DF982" s="4"/>
      <c r="DG982" s="4"/>
      <c r="DH982" s="4"/>
      <c r="DI982" s="4"/>
      <c r="DJ982" s="4"/>
      <c r="DK982" s="4"/>
      <c r="DL982" s="4"/>
      <c r="DM982" s="4"/>
      <c r="DN982" s="4"/>
      <c r="DO982" s="4"/>
      <c r="DP982" s="4"/>
      <c r="DQ982" s="4"/>
      <c r="DR982" s="4"/>
      <c r="DS982" s="4"/>
      <c r="DT982" s="4"/>
      <c r="DU982" s="4"/>
      <c r="DV982" s="4"/>
    </row>
    <row r="983">
      <c r="A983" s="2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  <c r="CI983" s="4"/>
      <c r="CJ983" s="4"/>
      <c r="CK983" s="4"/>
      <c r="CL983" s="4"/>
      <c r="CM983" s="4"/>
      <c r="CN983" s="4"/>
      <c r="CO983" s="4"/>
      <c r="CP983" s="4"/>
      <c r="CQ983" s="4"/>
      <c r="CR983" s="4"/>
      <c r="CS983" s="4"/>
      <c r="CT983" s="4"/>
      <c r="CU983" s="4"/>
      <c r="CV983" s="4"/>
      <c r="CW983" s="4"/>
      <c r="CX983" s="4"/>
      <c r="CY983" s="4"/>
      <c r="CZ983" s="4"/>
      <c r="DA983" s="4"/>
      <c r="DB983" s="4"/>
      <c r="DC983" s="4"/>
      <c r="DD983" s="4"/>
      <c r="DE983" s="4"/>
      <c r="DF983" s="4"/>
      <c r="DG983" s="4"/>
      <c r="DH983" s="4"/>
      <c r="DI983" s="4"/>
      <c r="DJ983" s="4"/>
      <c r="DK983" s="4"/>
      <c r="DL983" s="4"/>
      <c r="DM983" s="4"/>
      <c r="DN983" s="4"/>
      <c r="DO983" s="4"/>
      <c r="DP983" s="4"/>
      <c r="DQ983" s="4"/>
      <c r="DR983" s="4"/>
      <c r="DS983" s="4"/>
      <c r="DT983" s="4"/>
      <c r="DU983" s="4"/>
      <c r="DV983" s="4"/>
    </row>
    <row r="984">
      <c r="A984" s="2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  <c r="CI984" s="4"/>
      <c r="CJ984" s="4"/>
      <c r="CK984" s="4"/>
      <c r="CL984" s="4"/>
      <c r="CM984" s="4"/>
      <c r="CN984" s="4"/>
      <c r="CO984" s="4"/>
      <c r="CP984" s="4"/>
      <c r="CQ984" s="4"/>
      <c r="CR984" s="4"/>
      <c r="CS984" s="4"/>
      <c r="CT984" s="4"/>
      <c r="CU984" s="4"/>
      <c r="CV984" s="4"/>
      <c r="CW984" s="4"/>
      <c r="CX984" s="4"/>
      <c r="CY984" s="4"/>
      <c r="CZ984" s="4"/>
      <c r="DA984" s="4"/>
      <c r="DB984" s="4"/>
      <c r="DC984" s="4"/>
      <c r="DD984" s="4"/>
      <c r="DE984" s="4"/>
      <c r="DF984" s="4"/>
      <c r="DG984" s="4"/>
      <c r="DH984" s="4"/>
      <c r="DI984" s="4"/>
      <c r="DJ984" s="4"/>
      <c r="DK984" s="4"/>
      <c r="DL984" s="4"/>
      <c r="DM984" s="4"/>
      <c r="DN984" s="4"/>
      <c r="DO984" s="4"/>
      <c r="DP984" s="4"/>
      <c r="DQ984" s="4"/>
      <c r="DR984" s="4"/>
      <c r="DS984" s="4"/>
      <c r="DT984" s="4"/>
      <c r="DU984" s="4"/>
      <c r="DV984" s="4"/>
    </row>
    <row r="985">
      <c r="A985" s="2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  <c r="CI985" s="4"/>
      <c r="CJ985" s="4"/>
      <c r="CK985" s="4"/>
      <c r="CL985" s="4"/>
      <c r="CM985" s="4"/>
      <c r="CN985" s="4"/>
      <c r="CO985" s="4"/>
      <c r="CP985" s="4"/>
      <c r="CQ985" s="4"/>
      <c r="CR985" s="4"/>
      <c r="CS985" s="4"/>
      <c r="CT985" s="4"/>
      <c r="CU985" s="4"/>
      <c r="CV985" s="4"/>
      <c r="CW985" s="4"/>
      <c r="CX985" s="4"/>
      <c r="CY985" s="4"/>
      <c r="CZ985" s="4"/>
      <c r="DA985" s="4"/>
      <c r="DB985" s="4"/>
      <c r="DC985" s="4"/>
      <c r="DD985" s="4"/>
      <c r="DE985" s="4"/>
      <c r="DF985" s="4"/>
      <c r="DG985" s="4"/>
      <c r="DH985" s="4"/>
      <c r="DI985" s="4"/>
      <c r="DJ985" s="4"/>
      <c r="DK985" s="4"/>
      <c r="DL985" s="4"/>
      <c r="DM985" s="4"/>
      <c r="DN985" s="4"/>
      <c r="DO985" s="4"/>
      <c r="DP985" s="4"/>
      <c r="DQ985" s="4"/>
      <c r="DR985" s="4"/>
      <c r="DS985" s="4"/>
      <c r="DT985" s="4"/>
      <c r="DU985" s="4"/>
      <c r="DV985" s="4"/>
    </row>
    <row r="986">
      <c r="A986" s="2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  <c r="CI986" s="4"/>
      <c r="CJ986" s="4"/>
      <c r="CK986" s="4"/>
      <c r="CL986" s="4"/>
      <c r="CM986" s="4"/>
      <c r="CN986" s="4"/>
      <c r="CO986" s="4"/>
      <c r="CP986" s="4"/>
      <c r="CQ986" s="4"/>
      <c r="CR986" s="4"/>
      <c r="CS986" s="4"/>
      <c r="CT986" s="4"/>
      <c r="CU986" s="4"/>
      <c r="CV986" s="4"/>
      <c r="CW986" s="4"/>
      <c r="CX986" s="4"/>
      <c r="CY986" s="4"/>
      <c r="CZ986" s="4"/>
      <c r="DA986" s="4"/>
      <c r="DB986" s="4"/>
      <c r="DC986" s="4"/>
      <c r="DD986" s="4"/>
      <c r="DE986" s="4"/>
      <c r="DF986" s="4"/>
      <c r="DG986" s="4"/>
      <c r="DH986" s="4"/>
      <c r="DI986" s="4"/>
      <c r="DJ986" s="4"/>
      <c r="DK986" s="4"/>
      <c r="DL986" s="4"/>
      <c r="DM986" s="4"/>
      <c r="DN986" s="4"/>
      <c r="DO986" s="4"/>
      <c r="DP986" s="4"/>
      <c r="DQ986" s="4"/>
      <c r="DR986" s="4"/>
      <c r="DS986" s="4"/>
      <c r="DT986" s="4"/>
      <c r="DU986" s="4"/>
      <c r="DV986" s="4"/>
    </row>
    <row r="987">
      <c r="A987" s="2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  <c r="CI987" s="4"/>
      <c r="CJ987" s="4"/>
      <c r="CK987" s="4"/>
      <c r="CL987" s="4"/>
      <c r="CM987" s="4"/>
      <c r="CN987" s="4"/>
      <c r="CO987" s="4"/>
      <c r="CP987" s="4"/>
      <c r="CQ987" s="4"/>
      <c r="CR987" s="4"/>
      <c r="CS987" s="4"/>
      <c r="CT987" s="4"/>
      <c r="CU987" s="4"/>
      <c r="CV987" s="4"/>
      <c r="CW987" s="4"/>
      <c r="CX987" s="4"/>
      <c r="CY987" s="4"/>
      <c r="CZ987" s="4"/>
      <c r="DA987" s="4"/>
      <c r="DB987" s="4"/>
      <c r="DC987" s="4"/>
      <c r="DD987" s="4"/>
      <c r="DE987" s="4"/>
      <c r="DF987" s="4"/>
      <c r="DG987" s="4"/>
      <c r="DH987" s="4"/>
      <c r="DI987" s="4"/>
      <c r="DJ987" s="4"/>
      <c r="DK987" s="4"/>
      <c r="DL987" s="4"/>
      <c r="DM987" s="4"/>
      <c r="DN987" s="4"/>
      <c r="DO987" s="4"/>
      <c r="DP987" s="4"/>
      <c r="DQ987" s="4"/>
      <c r="DR987" s="4"/>
      <c r="DS987" s="4"/>
      <c r="DT987" s="4"/>
      <c r="DU987" s="4"/>
      <c r="DV987" s="4"/>
    </row>
    <row r="988">
      <c r="A988" s="2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  <c r="CI988" s="4"/>
      <c r="CJ988" s="4"/>
      <c r="CK988" s="4"/>
      <c r="CL988" s="4"/>
      <c r="CM988" s="4"/>
      <c r="CN988" s="4"/>
      <c r="CO988" s="4"/>
      <c r="CP988" s="4"/>
      <c r="CQ988" s="4"/>
      <c r="CR988" s="4"/>
      <c r="CS988" s="4"/>
      <c r="CT988" s="4"/>
      <c r="CU988" s="4"/>
      <c r="CV988" s="4"/>
      <c r="CW988" s="4"/>
      <c r="CX988" s="4"/>
      <c r="CY988" s="4"/>
      <c r="CZ988" s="4"/>
      <c r="DA988" s="4"/>
      <c r="DB988" s="4"/>
      <c r="DC988" s="4"/>
      <c r="DD988" s="4"/>
      <c r="DE988" s="4"/>
      <c r="DF988" s="4"/>
      <c r="DG988" s="4"/>
      <c r="DH988" s="4"/>
      <c r="DI988" s="4"/>
      <c r="DJ988" s="4"/>
      <c r="DK988" s="4"/>
      <c r="DL988" s="4"/>
      <c r="DM988" s="4"/>
      <c r="DN988" s="4"/>
      <c r="DO988" s="4"/>
      <c r="DP988" s="4"/>
      <c r="DQ988" s="4"/>
      <c r="DR988" s="4"/>
      <c r="DS988" s="4"/>
      <c r="DT988" s="4"/>
      <c r="DU988" s="4"/>
      <c r="DV988" s="4"/>
    </row>
    <row r="989">
      <c r="A989" s="2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  <c r="CI989" s="4"/>
      <c r="CJ989" s="4"/>
      <c r="CK989" s="4"/>
      <c r="CL989" s="4"/>
      <c r="CM989" s="4"/>
      <c r="CN989" s="4"/>
      <c r="CO989" s="4"/>
      <c r="CP989" s="4"/>
      <c r="CQ989" s="4"/>
      <c r="CR989" s="4"/>
      <c r="CS989" s="4"/>
      <c r="CT989" s="4"/>
      <c r="CU989" s="4"/>
      <c r="CV989" s="4"/>
      <c r="CW989" s="4"/>
      <c r="CX989" s="4"/>
      <c r="CY989" s="4"/>
      <c r="CZ989" s="4"/>
      <c r="DA989" s="4"/>
      <c r="DB989" s="4"/>
      <c r="DC989" s="4"/>
      <c r="DD989" s="4"/>
      <c r="DE989" s="4"/>
      <c r="DF989" s="4"/>
      <c r="DG989" s="4"/>
      <c r="DH989" s="4"/>
      <c r="DI989" s="4"/>
      <c r="DJ989" s="4"/>
      <c r="DK989" s="4"/>
      <c r="DL989" s="4"/>
      <c r="DM989" s="4"/>
      <c r="DN989" s="4"/>
      <c r="DO989" s="4"/>
      <c r="DP989" s="4"/>
      <c r="DQ989" s="4"/>
      <c r="DR989" s="4"/>
      <c r="DS989" s="4"/>
      <c r="DT989" s="4"/>
      <c r="DU989" s="4"/>
      <c r="DV989" s="4"/>
    </row>
    <row r="990">
      <c r="A990" s="2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  <c r="CI990" s="4"/>
      <c r="CJ990" s="4"/>
      <c r="CK990" s="4"/>
      <c r="CL990" s="4"/>
      <c r="CM990" s="4"/>
      <c r="CN990" s="4"/>
      <c r="CO990" s="4"/>
      <c r="CP990" s="4"/>
      <c r="CQ990" s="4"/>
      <c r="CR990" s="4"/>
      <c r="CS990" s="4"/>
      <c r="CT990" s="4"/>
      <c r="CU990" s="4"/>
      <c r="CV990" s="4"/>
      <c r="CW990" s="4"/>
      <c r="CX990" s="4"/>
      <c r="CY990" s="4"/>
      <c r="CZ990" s="4"/>
      <c r="DA990" s="4"/>
      <c r="DB990" s="4"/>
      <c r="DC990" s="4"/>
      <c r="DD990" s="4"/>
      <c r="DE990" s="4"/>
      <c r="DF990" s="4"/>
      <c r="DG990" s="4"/>
      <c r="DH990" s="4"/>
      <c r="DI990" s="4"/>
      <c r="DJ990" s="4"/>
      <c r="DK990" s="4"/>
      <c r="DL990" s="4"/>
      <c r="DM990" s="4"/>
      <c r="DN990" s="4"/>
      <c r="DO990" s="4"/>
      <c r="DP990" s="4"/>
      <c r="DQ990" s="4"/>
      <c r="DR990" s="4"/>
      <c r="DS990" s="4"/>
      <c r="DT990" s="4"/>
      <c r="DU990" s="4"/>
      <c r="DV990" s="4"/>
    </row>
    <row r="991">
      <c r="A991" s="2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  <c r="CI991" s="4"/>
      <c r="CJ991" s="4"/>
      <c r="CK991" s="4"/>
      <c r="CL991" s="4"/>
      <c r="CM991" s="4"/>
      <c r="CN991" s="4"/>
      <c r="CO991" s="4"/>
      <c r="CP991" s="4"/>
      <c r="CQ991" s="4"/>
      <c r="CR991" s="4"/>
      <c r="CS991" s="4"/>
      <c r="CT991" s="4"/>
      <c r="CU991" s="4"/>
      <c r="CV991" s="4"/>
      <c r="CW991" s="4"/>
      <c r="CX991" s="4"/>
      <c r="CY991" s="4"/>
      <c r="CZ991" s="4"/>
      <c r="DA991" s="4"/>
      <c r="DB991" s="4"/>
      <c r="DC991" s="4"/>
      <c r="DD991" s="4"/>
      <c r="DE991" s="4"/>
      <c r="DF991" s="4"/>
      <c r="DG991" s="4"/>
      <c r="DH991" s="4"/>
      <c r="DI991" s="4"/>
      <c r="DJ991" s="4"/>
      <c r="DK991" s="4"/>
      <c r="DL991" s="4"/>
      <c r="DM991" s="4"/>
      <c r="DN991" s="4"/>
      <c r="DO991" s="4"/>
      <c r="DP991" s="4"/>
      <c r="DQ991" s="4"/>
      <c r="DR991" s="4"/>
      <c r="DS991" s="4"/>
      <c r="DT991" s="4"/>
      <c r="DU991" s="4"/>
      <c r="DV991" s="4"/>
    </row>
    <row r="992">
      <c r="A992" s="2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  <c r="CI992" s="4"/>
      <c r="CJ992" s="4"/>
      <c r="CK992" s="4"/>
      <c r="CL992" s="4"/>
      <c r="CM992" s="4"/>
      <c r="CN992" s="4"/>
      <c r="CO992" s="4"/>
      <c r="CP992" s="4"/>
      <c r="CQ992" s="4"/>
      <c r="CR992" s="4"/>
      <c r="CS992" s="4"/>
      <c r="CT992" s="4"/>
      <c r="CU992" s="4"/>
      <c r="CV992" s="4"/>
      <c r="CW992" s="4"/>
      <c r="CX992" s="4"/>
      <c r="CY992" s="4"/>
      <c r="CZ992" s="4"/>
      <c r="DA992" s="4"/>
      <c r="DB992" s="4"/>
      <c r="DC992" s="4"/>
      <c r="DD992" s="4"/>
      <c r="DE992" s="4"/>
      <c r="DF992" s="4"/>
      <c r="DG992" s="4"/>
      <c r="DH992" s="4"/>
      <c r="DI992" s="4"/>
      <c r="DJ992" s="4"/>
      <c r="DK992" s="4"/>
      <c r="DL992" s="4"/>
      <c r="DM992" s="4"/>
      <c r="DN992" s="4"/>
      <c r="DO992" s="4"/>
      <c r="DP992" s="4"/>
      <c r="DQ992" s="4"/>
      <c r="DR992" s="4"/>
      <c r="DS992" s="4"/>
      <c r="DT992" s="4"/>
      <c r="DU992" s="4"/>
      <c r="DV992" s="4"/>
    </row>
    <row r="993">
      <c r="A993" s="2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  <c r="CI993" s="4"/>
      <c r="CJ993" s="4"/>
      <c r="CK993" s="4"/>
      <c r="CL993" s="4"/>
      <c r="CM993" s="4"/>
      <c r="CN993" s="4"/>
      <c r="CO993" s="4"/>
      <c r="CP993" s="4"/>
      <c r="CQ993" s="4"/>
      <c r="CR993" s="4"/>
      <c r="CS993" s="4"/>
      <c r="CT993" s="4"/>
      <c r="CU993" s="4"/>
      <c r="CV993" s="4"/>
      <c r="CW993" s="4"/>
      <c r="CX993" s="4"/>
      <c r="CY993" s="4"/>
      <c r="CZ993" s="4"/>
      <c r="DA993" s="4"/>
      <c r="DB993" s="4"/>
      <c r="DC993" s="4"/>
      <c r="DD993" s="4"/>
      <c r="DE993" s="4"/>
      <c r="DF993" s="4"/>
      <c r="DG993" s="4"/>
      <c r="DH993" s="4"/>
      <c r="DI993" s="4"/>
      <c r="DJ993" s="4"/>
      <c r="DK993" s="4"/>
      <c r="DL993" s="4"/>
      <c r="DM993" s="4"/>
      <c r="DN993" s="4"/>
      <c r="DO993" s="4"/>
      <c r="DP993" s="4"/>
      <c r="DQ993" s="4"/>
      <c r="DR993" s="4"/>
      <c r="DS993" s="4"/>
      <c r="DT993" s="4"/>
      <c r="DU993" s="4"/>
      <c r="DV993" s="4"/>
    </row>
    <row r="994">
      <c r="A994" s="2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  <c r="CI994" s="4"/>
      <c r="CJ994" s="4"/>
      <c r="CK994" s="4"/>
      <c r="CL994" s="4"/>
      <c r="CM994" s="4"/>
      <c r="CN994" s="4"/>
      <c r="CO994" s="4"/>
      <c r="CP994" s="4"/>
      <c r="CQ994" s="4"/>
      <c r="CR994" s="4"/>
      <c r="CS994" s="4"/>
      <c r="CT994" s="4"/>
      <c r="CU994" s="4"/>
      <c r="CV994" s="4"/>
      <c r="CW994" s="4"/>
      <c r="CX994" s="4"/>
      <c r="CY994" s="4"/>
      <c r="CZ994" s="4"/>
      <c r="DA994" s="4"/>
      <c r="DB994" s="4"/>
      <c r="DC994" s="4"/>
      <c r="DD994" s="4"/>
      <c r="DE994" s="4"/>
      <c r="DF994" s="4"/>
      <c r="DG994" s="4"/>
      <c r="DH994" s="4"/>
      <c r="DI994" s="4"/>
      <c r="DJ994" s="4"/>
      <c r="DK994" s="4"/>
      <c r="DL994" s="4"/>
      <c r="DM994" s="4"/>
      <c r="DN994" s="4"/>
      <c r="DO994" s="4"/>
      <c r="DP994" s="4"/>
      <c r="DQ994" s="4"/>
      <c r="DR994" s="4"/>
      <c r="DS994" s="4"/>
      <c r="DT994" s="4"/>
      <c r="DU994" s="4"/>
      <c r="DV994" s="4"/>
    </row>
    <row r="995">
      <c r="A995" s="2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  <c r="CI995" s="4"/>
      <c r="CJ995" s="4"/>
      <c r="CK995" s="4"/>
      <c r="CL995" s="4"/>
      <c r="CM995" s="4"/>
      <c r="CN995" s="4"/>
      <c r="CO995" s="4"/>
      <c r="CP995" s="4"/>
      <c r="CQ995" s="4"/>
      <c r="CR995" s="4"/>
      <c r="CS995" s="4"/>
      <c r="CT995" s="4"/>
      <c r="CU995" s="4"/>
      <c r="CV995" s="4"/>
      <c r="CW995" s="4"/>
      <c r="CX995" s="4"/>
      <c r="CY995" s="4"/>
      <c r="CZ995" s="4"/>
      <c r="DA995" s="4"/>
      <c r="DB995" s="4"/>
      <c r="DC995" s="4"/>
      <c r="DD995" s="4"/>
      <c r="DE995" s="4"/>
      <c r="DF995" s="4"/>
      <c r="DG995" s="4"/>
      <c r="DH995" s="4"/>
      <c r="DI995" s="4"/>
      <c r="DJ995" s="4"/>
      <c r="DK995" s="4"/>
      <c r="DL995" s="4"/>
      <c r="DM995" s="4"/>
      <c r="DN995" s="4"/>
      <c r="DO995" s="4"/>
      <c r="DP995" s="4"/>
      <c r="DQ995" s="4"/>
      <c r="DR995" s="4"/>
      <c r="DS995" s="4"/>
      <c r="DT995" s="4"/>
      <c r="DU995" s="4"/>
      <c r="DV995" s="4"/>
    </row>
    <row r="996">
      <c r="A996" s="2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  <c r="CI996" s="4"/>
      <c r="CJ996" s="4"/>
      <c r="CK996" s="4"/>
      <c r="CL996" s="4"/>
      <c r="CM996" s="4"/>
      <c r="CN996" s="4"/>
      <c r="CO996" s="4"/>
      <c r="CP996" s="4"/>
      <c r="CQ996" s="4"/>
      <c r="CR996" s="4"/>
      <c r="CS996" s="4"/>
      <c r="CT996" s="4"/>
      <c r="CU996" s="4"/>
      <c r="CV996" s="4"/>
      <c r="CW996" s="4"/>
      <c r="CX996" s="4"/>
      <c r="CY996" s="4"/>
      <c r="CZ996" s="4"/>
      <c r="DA996" s="4"/>
      <c r="DB996" s="4"/>
      <c r="DC996" s="4"/>
      <c r="DD996" s="4"/>
      <c r="DE996" s="4"/>
      <c r="DF996" s="4"/>
      <c r="DG996" s="4"/>
      <c r="DH996" s="4"/>
      <c r="DI996" s="4"/>
      <c r="DJ996" s="4"/>
      <c r="DK996" s="4"/>
      <c r="DL996" s="4"/>
      <c r="DM996" s="4"/>
      <c r="DN996" s="4"/>
      <c r="DO996" s="4"/>
      <c r="DP996" s="4"/>
      <c r="DQ996" s="4"/>
      <c r="DR996" s="4"/>
      <c r="DS996" s="4"/>
      <c r="DT996" s="4"/>
      <c r="DU996" s="4"/>
      <c r="DV996" s="4"/>
    </row>
    <row r="997">
      <c r="A997" s="2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  <c r="CI997" s="4"/>
      <c r="CJ997" s="4"/>
      <c r="CK997" s="4"/>
      <c r="CL997" s="4"/>
      <c r="CM997" s="4"/>
      <c r="CN997" s="4"/>
      <c r="CO997" s="4"/>
      <c r="CP997" s="4"/>
      <c r="CQ997" s="4"/>
      <c r="CR997" s="4"/>
      <c r="CS997" s="4"/>
      <c r="CT997" s="4"/>
      <c r="CU997" s="4"/>
      <c r="CV997" s="4"/>
      <c r="CW997" s="4"/>
      <c r="CX997" s="4"/>
      <c r="CY997" s="4"/>
      <c r="CZ997" s="4"/>
      <c r="DA997" s="4"/>
      <c r="DB997" s="4"/>
      <c r="DC997" s="4"/>
      <c r="DD997" s="4"/>
      <c r="DE997" s="4"/>
      <c r="DF997" s="4"/>
      <c r="DG997" s="4"/>
      <c r="DH997" s="4"/>
      <c r="DI997" s="4"/>
      <c r="DJ997" s="4"/>
      <c r="DK997" s="4"/>
      <c r="DL997" s="4"/>
      <c r="DM997" s="4"/>
      <c r="DN997" s="4"/>
      <c r="DO997" s="4"/>
      <c r="DP997" s="4"/>
      <c r="DQ997" s="4"/>
      <c r="DR997" s="4"/>
      <c r="DS997" s="4"/>
      <c r="DT997" s="4"/>
      <c r="DU997" s="4"/>
      <c r="DV997" s="4"/>
    </row>
    <row r="998">
      <c r="A998" s="2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  <c r="CI998" s="4"/>
      <c r="CJ998" s="4"/>
      <c r="CK998" s="4"/>
      <c r="CL998" s="4"/>
      <c r="CM998" s="4"/>
      <c r="CN998" s="4"/>
      <c r="CO998" s="4"/>
      <c r="CP998" s="4"/>
      <c r="CQ998" s="4"/>
      <c r="CR998" s="4"/>
      <c r="CS998" s="4"/>
      <c r="CT998" s="4"/>
      <c r="CU998" s="4"/>
      <c r="CV998" s="4"/>
      <c r="CW998" s="4"/>
      <c r="CX998" s="4"/>
      <c r="CY998" s="4"/>
      <c r="CZ998" s="4"/>
      <c r="DA998" s="4"/>
      <c r="DB998" s="4"/>
      <c r="DC998" s="4"/>
      <c r="DD998" s="4"/>
      <c r="DE998" s="4"/>
      <c r="DF998" s="4"/>
      <c r="DG998" s="4"/>
      <c r="DH998" s="4"/>
      <c r="DI998" s="4"/>
      <c r="DJ998" s="4"/>
      <c r="DK998" s="4"/>
      <c r="DL998" s="4"/>
      <c r="DM998" s="4"/>
      <c r="DN998" s="4"/>
      <c r="DO998" s="4"/>
      <c r="DP998" s="4"/>
      <c r="DQ998" s="4"/>
      <c r="DR998" s="4"/>
      <c r="DS998" s="4"/>
      <c r="DT998" s="4"/>
      <c r="DU998" s="4"/>
      <c r="DV998" s="4"/>
    </row>
    <row r="999">
      <c r="A999" s="2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  <c r="CI999" s="4"/>
      <c r="CJ999" s="4"/>
      <c r="CK999" s="4"/>
      <c r="CL999" s="4"/>
      <c r="CM999" s="4"/>
      <c r="CN999" s="4"/>
      <c r="CO999" s="4"/>
      <c r="CP999" s="4"/>
      <c r="CQ999" s="4"/>
      <c r="CR999" s="4"/>
      <c r="CS999" s="4"/>
      <c r="CT999" s="4"/>
      <c r="CU999" s="4"/>
      <c r="CV999" s="4"/>
      <c r="CW999" s="4"/>
      <c r="CX999" s="4"/>
      <c r="CY999" s="4"/>
      <c r="CZ999" s="4"/>
      <c r="DA999" s="4"/>
      <c r="DB999" s="4"/>
      <c r="DC999" s="4"/>
      <c r="DD999" s="4"/>
      <c r="DE999" s="4"/>
      <c r="DF999" s="4"/>
      <c r="DG999" s="4"/>
      <c r="DH999" s="4"/>
      <c r="DI999" s="4"/>
      <c r="DJ999" s="4"/>
      <c r="DK999" s="4"/>
      <c r="DL999" s="4"/>
      <c r="DM999" s="4"/>
      <c r="DN999" s="4"/>
      <c r="DO999" s="4"/>
      <c r="DP999" s="4"/>
      <c r="DQ999" s="4"/>
      <c r="DR999" s="4"/>
      <c r="DS999" s="4"/>
      <c r="DT999" s="4"/>
      <c r="DU999" s="4"/>
      <c r="DV999" s="4"/>
    </row>
    <row r="1000">
      <c r="A1000" s="2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  <c r="CI1000" s="4"/>
      <c r="CJ1000" s="4"/>
      <c r="CK1000" s="4"/>
      <c r="CL1000" s="4"/>
      <c r="CM1000" s="4"/>
      <c r="CN1000" s="4"/>
      <c r="CO1000" s="4"/>
      <c r="CP1000" s="4"/>
      <c r="CQ1000" s="4"/>
      <c r="CR1000" s="4"/>
      <c r="CS1000" s="4"/>
      <c r="CT1000" s="4"/>
      <c r="CU1000" s="4"/>
      <c r="CV1000" s="4"/>
      <c r="CW1000" s="4"/>
      <c r="CX1000" s="4"/>
      <c r="CY1000" s="4"/>
      <c r="CZ1000" s="4"/>
      <c r="DA1000" s="4"/>
      <c r="DB1000" s="4"/>
      <c r="DC1000" s="4"/>
      <c r="DD1000" s="4"/>
      <c r="DE1000" s="4"/>
      <c r="DF1000" s="4"/>
      <c r="DG1000" s="4"/>
      <c r="DH1000" s="4"/>
      <c r="DI1000" s="4"/>
      <c r="DJ1000" s="4"/>
      <c r="DK1000" s="4"/>
      <c r="DL1000" s="4"/>
      <c r="DM1000" s="4"/>
      <c r="DN1000" s="4"/>
      <c r="DO1000" s="4"/>
      <c r="DP1000" s="4"/>
      <c r="DQ1000" s="4"/>
      <c r="DR1000" s="4"/>
      <c r="DS1000" s="4"/>
      <c r="DT1000" s="4"/>
      <c r="DU1000" s="4"/>
      <c r="DV1000" s="4"/>
    </row>
  </sheetData>
  <drawing r:id="rId1"/>
</worksheet>
</file>